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hyounjin/Documents/GitHub/study_log/excel_data_analysis/"/>
    </mc:Choice>
  </mc:AlternateContent>
  <xr:revisionPtr revIDLastSave="0" documentId="8_{DF7C486A-DAE0-7F43-8B15-9B82740F21B0}" xr6:coauthVersionLast="47" xr6:coauthVersionMax="47" xr10:uidLastSave="{00000000-0000-0000-0000-000000000000}"/>
  <bookViews>
    <workbookView xWindow="0" yWindow="660" windowWidth="29400" windowHeight="16780" activeTab="3" xr2:uid="{8F573964-B267-4B01-9FB6-9CFA770CC9BA}"/>
  </bookViews>
  <sheets>
    <sheet name="CASE_01" sheetId="1" r:id="rId1"/>
    <sheet name="CASE_01_pivot" sheetId="2" r:id="rId2"/>
    <sheet name="CASE_01_heatmap" sheetId="3" r:id="rId3"/>
    <sheet name="CASE_02_상품" sheetId="4" r:id="rId4"/>
    <sheet name="CASE_02_고객" sheetId="5" r:id="rId5"/>
    <sheet name="CASE_02_pivot" sheetId="8" r:id="rId6"/>
    <sheet name="CASE_02_평가" sheetId="6" r:id="rId7"/>
  </sheets>
  <definedNames>
    <definedName name="_xlnm._FilterDatabase" localSheetId="3" hidden="1">CASE_02_상품!$A$1:$N$34</definedName>
    <definedName name="_xlnm._FilterDatabase" localSheetId="5" hidden="1">CASE_02_pivot!$A$1:$AI$21</definedName>
    <definedName name="AVERAGE">CASE_01!$Q$1</definedName>
    <definedName name="STDEV">CASE_01!$R$1</definedName>
  </definedNames>
  <calcPr calcId="191029"/>
  <pivotCaches>
    <pivotCache cacheId="10" r:id="rId8"/>
    <pivotCache cacheId="1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3" i="8" l="1"/>
  <c r="T23" i="8"/>
  <c r="S23" i="8"/>
  <c r="E23" i="8"/>
  <c r="D23" i="8"/>
  <c r="C23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AD23" i="8" s="1"/>
  <c r="M22" i="8"/>
  <c r="L22" i="8"/>
  <c r="K22" i="8"/>
  <c r="J22" i="8"/>
  <c r="I22" i="8"/>
  <c r="H22" i="8"/>
  <c r="G22" i="8"/>
  <c r="F22" i="8"/>
  <c r="E22" i="8"/>
  <c r="D22" i="8"/>
  <c r="C22" i="8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" i="1"/>
  <c r="U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" i="1"/>
  <c r="R1" i="1"/>
  <c r="Q1" i="1"/>
  <c r="K23" i="8" l="1"/>
  <c r="AA23" i="8"/>
  <c r="L23" i="8"/>
  <c r="AB23" i="8"/>
  <c r="F23" i="8"/>
  <c r="M23" i="8"/>
  <c r="AC23" i="8"/>
  <c r="V23" i="8"/>
  <c r="AH23" i="8"/>
  <c r="N23" i="8"/>
  <c r="G23" i="8"/>
  <c r="O23" i="8"/>
  <c r="W23" i="8"/>
  <c r="AE23" i="8"/>
  <c r="H23" i="8"/>
  <c r="P23" i="8"/>
  <c r="X23" i="8"/>
  <c r="AF23" i="8"/>
  <c r="I23" i="8"/>
  <c r="Q23" i="8"/>
  <c r="Y23" i="8"/>
  <c r="AG23" i="8"/>
  <c r="J23" i="8"/>
  <c r="R23" i="8"/>
  <c r="Z23" i="8"/>
</calcChain>
</file>

<file path=xl/sharedStrings.xml><?xml version="1.0" encoding="utf-8"?>
<sst xmlns="http://schemas.openxmlformats.org/spreadsheetml/2006/main" count="2422" uniqueCount="195">
  <si>
    <t>ID</t>
  </si>
  <si>
    <t>MntWines</t>
  </si>
  <si>
    <t>MntFruits</t>
  </si>
  <si>
    <t>MntMeatProducts</t>
  </si>
  <si>
    <t>MntFishProducts</t>
  </si>
  <si>
    <t>MntSweetProducts</t>
  </si>
  <si>
    <t>MntGoldProds</t>
  </si>
  <si>
    <t>Marital_Status</t>
  </si>
  <si>
    <t>Income</t>
  </si>
  <si>
    <t>Kidhome</t>
  </si>
  <si>
    <t>Teenhome</t>
  </si>
  <si>
    <t>Together</t>
  </si>
  <si>
    <t>Single</t>
  </si>
  <si>
    <t>행 레이블</t>
  </si>
  <si>
    <t>총합계</t>
  </si>
  <si>
    <t>열 레이블</t>
  </si>
  <si>
    <t>개수 : ID</t>
  </si>
  <si>
    <t>Income_표준화</t>
    <phoneticPr fontId="3" type="noConversion"/>
  </si>
  <si>
    <t>코사인 유사도</t>
    <phoneticPr fontId="3" type="noConversion"/>
  </si>
  <si>
    <t>-0.760917094683577--0.660917094683577</t>
  </si>
  <si>
    <t>-0.660917094683577--0.560917094683577</t>
  </si>
  <si>
    <t>-0.560917094683577--0.460917094683577</t>
  </si>
  <si>
    <t>-0.460917094683577--0.360917094683577</t>
  </si>
  <si>
    <t>-0.360917094683577--0.260917094683577</t>
  </si>
  <si>
    <t>-0.260917094683577--0.160917094683577</t>
  </si>
  <si>
    <t>-0.160917094683577--0.060917094683577</t>
  </si>
  <si>
    <t>-0.060917094683577-0.039082905316423</t>
  </si>
  <si>
    <t>0.039082905316423-0.139082905316423</t>
  </si>
  <si>
    <t>0.139082905316423-0.239082905316423</t>
  </si>
  <si>
    <t>0.239082905316423-0.339082905316423</t>
  </si>
  <si>
    <t>0.339082905316423-0.439082905316423</t>
  </si>
  <si>
    <t>0.439082905316423-0.539082905316423</t>
  </si>
  <si>
    <t>0.539082905316423-0.639082905316423</t>
  </si>
  <si>
    <t>0.639082905316423-0.739082905316423</t>
  </si>
  <si>
    <t>0.739082905316423-0.839082905316423</t>
  </si>
  <si>
    <t>0.839082905316423-0.939082905316423</t>
  </si>
  <si>
    <t>0.939082905316423-1.03908290531642</t>
  </si>
  <si>
    <t>평균 : MntGoldProds</t>
  </si>
  <si>
    <t>평균 : MntSweetProducts</t>
  </si>
  <si>
    <t>평균 : MntFishProducts</t>
  </si>
  <si>
    <t>평균 : MntMeatProducts</t>
  </si>
  <si>
    <t>평균 : MntFruits</t>
  </si>
  <si>
    <t>평균 : MntWines</t>
  </si>
  <si>
    <t>22/02/2022</t>
  </si>
  <si>
    <t>Android</t>
  </si>
  <si>
    <t>Moto G Power (2022)</t>
  </si>
  <si>
    <t>Motorola</t>
  </si>
  <si>
    <t>14/10/2021</t>
  </si>
  <si>
    <t>Moto G Pure</t>
  </si>
  <si>
    <t>14/01/2021</t>
  </si>
  <si>
    <t>Moto G Play (2021)</t>
  </si>
  <si>
    <t>27/04/2022</t>
  </si>
  <si>
    <t>Moto G Stylus (2022)</t>
  </si>
  <si>
    <t>27/01/2021</t>
  </si>
  <si>
    <t>Xperia Pro</t>
  </si>
  <si>
    <t>Sony</t>
  </si>
  <si>
    <t>27/07/2022</t>
  </si>
  <si>
    <t>Poco F4</t>
  </si>
  <si>
    <t>Xiaomi</t>
  </si>
  <si>
    <t>31/12/2021</t>
  </si>
  <si>
    <t>12 Pro</t>
  </si>
  <si>
    <t>05/10/2021</t>
  </si>
  <si>
    <t>11T Pro</t>
  </si>
  <si>
    <t>09/02/2022</t>
  </si>
  <si>
    <t>Redmi Note 11</t>
  </si>
  <si>
    <t>29/04/2022</t>
  </si>
  <si>
    <t>X80 Pro</t>
  </si>
  <si>
    <t>Vivo</t>
  </si>
  <si>
    <t>14/03/2022</t>
  </si>
  <si>
    <t>Find X5 Pro</t>
  </si>
  <si>
    <t>Oppo</t>
  </si>
  <si>
    <t>06/08/2022</t>
  </si>
  <si>
    <t>10T</t>
  </si>
  <si>
    <t>OnePlus</t>
  </si>
  <si>
    <t>11/01/2022</t>
  </si>
  <si>
    <t>10 Pro</t>
  </si>
  <si>
    <t>21/05/2022</t>
  </si>
  <si>
    <t>Nord 2T</t>
  </si>
  <si>
    <t>28/04/2022</t>
  </si>
  <si>
    <t>Nord N20</t>
  </si>
  <si>
    <t>28/10/2021</t>
  </si>
  <si>
    <t>Pixel 6 Pro </t>
  </si>
  <si>
    <t>Google</t>
  </si>
  <si>
    <t>21/07/2021</t>
  </si>
  <si>
    <t>Pixel 6a</t>
  </si>
  <si>
    <t>Pixel 6  </t>
  </si>
  <si>
    <t>11/08/2021</t>
  </si>
  <si>
    <t>Galaxy Z Fold 3</t>
  </si>
  <si>
    <t>Samsung</t>
  </si>
  <si>
    <t>Galaxy Z Flip 3</t>
  </si>
  <si>
    <t>25/02/2022</t>
  </si>
  <si>
    <t>Galaxy S22 Ultra</t>
  </si>
  <si>
    <t>Galaxy S22 Plus</t>
  </si>
  <si>
    <t>Galaxy S22</t>
  </si>
  <si>
    <t>24/03/2022</t>
  </si>
  <si>
    <t>Galaxy A53</t>
  </si>
  <si>
    <t>22/01/2021</t>
  </si>
  <si>
    <t>Galaxy A32</t>
  </si>
  <si>
    <t>23/03/2022</t>
  </si>
  <si>
    <t>Galaxy A13</t>
  </si>
  <si>
    <t>12/05/2021</t>
  </si>
  <si>
    <t>Zenfone 8</t>
  </si>
  <si>
    <t>Asus</t>
  </si>
  <si>
    <t>26/10/2018</t>
  </si>
  <si>
    <t>iOS</t>
  </si>
  <si>
    <t>iPhone XR</t>
  </si>
  <si>
    <t>Apple</t>
  </si>
  <si>
    <t>24/09/2021</t>
  </si>
  <si>
    <t>iPhone 13 Pro Max</t>
  </si>
  <si>
    <t>iPhone 13 Pro</t>
  </si>
  <si>
    <t>iPhone 13</t>
  </si>
  <si>
    <t>iPhone 13 Mini</t>
  </si>
  <si>
    <t>18/03/2022</t>
  </si>
  <si>
    <t>iPhone SE (2022)</t>
  </si>
  <si>
    <t>release date</t>
  </si>
  <si>
    <t>price</t>
  </si>
  <si>
    <t>weight</t>
  </si>
  <si>
    <t>screen size</t>
  </si>
  <si>
    <t>battery size</t>
  </si>
  <si>
    <t>selfie camera</t>
  </si>
  <si>
    <t>main camera</t>
  </si>
  <si>
    <t>performance</t>
  </si>
  <si>
    <t>RAM</t>
  </si>
  <si>
    <t>internal memory</t>
  </si>
  <si>
    <t>operating system</t>
  </si>
  <si>
    <t>model</t>
  </si>
  <si>
    <t>brand</t>
  </si>
  <si>
    <t>cellphone_id</t>
  </si>
  <si>
    <t>Executive Manager</t>
  </si>
  <si>
    <t>Male</t>
  </si>
  <si>
    <t>Manager</t>
  </si>
  <si>
    <t>Female</t>
  </si>
  <si>
    <t>Information Technology</t>
  </si>
  <si>
    <t>software developer</t>
  </si>
  <si>
    <t>ADMINISTRATIVE OFFICER</t>
  </si>
  <si>
    <t>Computer technician</t>
  </si>
  <si>
    <t>MANAGER</t>
  </si>
  <si>
    <t>HEALTHCARE</t>
  </si>
  <si>
    <t>HEALTHARE</t>
  </si>
  <si>
    <t>SALES MANAGER</t>
  </si>
  <si>
    <t>Security</t>
  </si>
  <si>
    <t>Education</t>
  </si>
  <si>
    <t>Transportation</t>
  </si>
  <si>
    <t>business</t>
  </si>
  <si>
    <t>registered</t>
  </si>
  <si>
    <t>construction</t>
  </si>
  <si>
    <t>writer</t>
  </si>
  <si>
    <t>Information technology</t>
  </si>
  <si>
    <t>Purchase Manager</t>
  </si>
  <si>
    <t>Administrative officer</t>
  </si>
  <si>
    <t>IT</t>
  </si>
  <si>
    <t>team leader</t>
  </si>
  <si>
    <t>-Select Gender-</t>
  </si>
  <si>
    <t>accountant</t>
  </si>
  <si>
    <t>master degree</t>
  </si>
  <si>
    <t>Data analyst</t>
  </si>
  <si>
    <t>manager</t>
  </si>
  <si>
    <t>president transportation company</t>
  </si>
  <si>
    <t>teacher</t>
  </si>
  <si>
    <t>homemaker</t>
  </si>
  <si>
    <t>technician</t>
  </si>
  <si>
    <t>retail</t>
  </si>
  <si>
    <t>EDUCATION</t>
  </si>
  <si>
    <t>Marketing</t>
  </si>
  <si>
    <t>System Administrator</t>
  </si>
  <si>
    <t>Administrator</t>
  </si>
  <si>
    <t>information</t>
  </si>
  <si>
    <t>Technical Engineer</t>
  </si>
  <si>
    <t>WEB DESIGN</t>
  </si>
  <si>
    <t>Sales</t>
  </si>
  <si>
    <t>Warehousing</t>
  </si>
  <si>
    <t>worker</t>
  </si>
  <si>
    <t>null</t>
  </si>
  <si>
    <t>executive</t>
  </si>
  <si>
    <t>nurse</t>
  </si>
  <si>
    <t>banking</t>
  </si>
  <si>
    <t>self employed</t>
  </si>
  <si>
    <t>Healthcare</t>
  </si>
  <si>
    <t>QA Software Manager</t>
  </si>
  <si>
    <t>ICT Officer</t>
  </si>
  <si>
    <t>Ops Manager</t>
  </si>
  <si>
    <t>Finance</t>
  </si>
  <si>
    <t>FINANCE</t>
  </si>
  <si>
    <t>Team leader</t>
  </si>
  <si>
    <t>it</t>
  </si>
  <si>
    <t>sales</t>
  </si>
  <si>
    <t>Accountant</t>
  </si>
  <si>
    <t>team worker in it</t>
  </si>
  <si>
    <t>occupation</t>
  </si>
  <si>
    <t>gender</t>
  </si>
  <si>
    <t>age</t>
  </si>
  <si>
    <t>user_id</t>
  </si>
  <si>
    <t>rating</t>
  </si>
  <si>
    <t>상관계수</t>
    <phoneticPr fontId="3" type="noConversion"/>
  </si>
  <si>
    <t>순위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</si>
</sst>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2" fillId="2" borderId="0" xfId="1">
      <alignment vertical="center"/>
    </xf>
    <xf numFmtId="0" fontId="2" fillId="2" borderId="1" xfId="1" applyBorder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5" fillId="7" borderId="1" xfId="0" applyFont="1" applyFill="1" applyBorder="1">
      <alignment vertical="center"/>
    </xf>
    <xf numFmtId="0" fontId="1" fillId="6" borderId="0" xfId="5">
      <alignment vertical="center"/>
    </xf>
    <xf numFmtId="0" fontId="1" fillId="5" borderId="0" xfId="4">
      <alignment vertical="center"/>
    </xf>
    <xf numFmtId="0" fontId="1" fillId="4" borderId="0" xfId="3">
      <alignment vertical="center"/>
    </xf>
    <xf numFmtId="0" fontId="4" fillId="3" borderId="0" xfId="2">
      <alignment vertical="center"/>
    </xf>
    <xf numFmtId="0" fontId="5" fillId="7" borderId="1" xfId="0" applyFont="1" applyFill="1" applyBorder="1" applyAlignment="1">
      <alignment horizontal="left" vertical="center"/>
    </xf>
  </cellXfs>
  <cellStyles count="6">
    <cellStyle name="20% - 강조색1" xfId="1" builtinId="30"/>
    <cellStyle name="20% - 강조색2" xfId="3" builtinId="34"/>
    <cellStyle name="40% - 강조색2" xfId="4" builtinId="35"/>
    <cellStyle name="60% - 강조색2" xfId="5" builtinId="36"/>
    <cellStyle name="강조색2" xfId="2" builtinId="33"/>
    <cellStyle name="표준" xfId="0" builtinId="0"/>
  </cellStyles>
  <dxfs count="2">
    <dxf>
      <numFmt numFmtId="176" formatCode="0.0"/>
    </dxf>
    <dxf>
      <numFmt numFmtId="176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배현진" refreshedDate="46115.472456481482" createdVersion="8" refreshedVersion="8" minRefreshableVersion="3" recordCount="2014" xr:uid="{B53D0081-C6FB-344D-9CB5-D3D0EDDDA7F8}">
  <cacheSource type="worksheet">
    <worksheetSource ref="A1:K2015" sheet="CASE_01"/>
  </cacheSource>
  <cacheFields count="11">
    <cacheField name="ID" numFmtId="0">
      <sharedItems containsSemiMixedTypes="0" containsString="0" containsNumber="1" containsInteger="1" minValue="0" maxValue="11191" count="2014">
        <n v="0"/>
        <n v="1"/>
        <n v="9"/>
        <n v="13"/>
        <n v="17"/>
        <n v="20"/>
        <n v="22"/>
        <n v="24"/>
        <n v="25"/>
        <n v="35"/>
        <n v="48"/>
        <n v="49"/>
        <n v="55"/>
        <n v="67"/>
        <n v="73"/>
        <n v="75"/>
        <n v="78"/>
        <n v="87"/>
        <n v="89"/>
        <n v="92"/>
        <n v="113"/>
        <n v="115"/>
        <n v="123"/>
        <n v="125"/>
        <n v="143"/>
        <n v="146"/>
        <n v="153"/>
        <n v="158"/>
        <n v="164"/>
        <n v="175"/>
        <n v="176"/>
        <n v="178"/>
        <n v="182"/>
        <n v="193"/>
        <n v="194"/>
        <n v="195"/>
        <n v="199"/>
        <n v="202"/>
        <n v="203"/>
        <n v="213"/>
        <n v="217"/>
        <n v="221"/>
        <n v="231"/>
        <n v="232"/>
        <n v="234"/>
        <n v="236"/>
        <n v="238"/>
        <n v="241"/>
        <n v="246"/>
        <n v="247"/>
        <n v="252"/>
        <n v="254"/>
        <n v="255"/>
        <n v="257"/>
        <n v="263"/>
        <n v="269"/>
        <n v="271"/>
        <n v="273"/>
        <n v="274"/>
        <n v="286"/>
        <n v="291"/>
        <n v="295"/>
        <n v="304"/>
        <n v="309"/>
        <n v="310"/>
        <n v="313"/>
        <n v="322"/>
        <n v="326"/>
        <n v="332"/>
        <n v="339"/>
        <n v="340"/>
        <n v="347"/>
        <n v="359"/>
        <n v="361"/>
        <n v="367"/>
        <n v="368"/>
        <n v="375"/>
        <n v="378"/>
        <n v="380"/>
        <n v="387"/>
        <n v="405"/>
        <n v="425"/>
        <n v="433"/>
        <n v="437"/>
        <n v="448"/>
        <n v="450"/>
        <n v="451"/>
        <n v="453"/>
        <n v="454"/>
        <n v="455"/>
        <n v="456"/>
        <n v="460"/>
        <n v="466"/>
        <n v="477"/>
        <n v="486"/>
        <n v="492"/>
        <n v="498"/>
        <n v="500"/>
        <n v="503"/>
        <n v="520"/>
        <n v="521"/>
        <n v="523"/>
        <n v="524"/>
        <n v="528"/>
        <n v="531"/>
        <n v="535"/>
        <n v="538"/>
        <n v="544"/>
        <n v="550"/>
        <n v="564"/>
        <n v="569"/>
        <n v="574"/>
        <n v="577"/>
        <n v="590"/>
        <n v="591"/>
        <n v="606"/>
        <n v="607"/>
        <n v="610"/>
        <n v="615"/>
        <n v="618"/>
        <n v="624"/>
        <n v="626"/>
        <n v="635"/>
        <n v="640"/>
        <n v="641"/>
        <n v="642"/>
        <n v="663"/>
        <n v="675"/>
        <n v="679"/>
        <n v="692"/>
        <n v="697"/>
        <n v="701"/>
        <n v="702"/>
        <n v="709"/>
        <n v="713"/>
        <n v="716"/>
        <n v="736"/>
        <n v="737"/>
        <n v="738"/>
        <n v="749"/>
        <n v="760"/>
        <n v="762"/>
        <n v="771"/>
        <n v="773"/>
        <n v="793"/>
        <n v="796"/>
        <n v="798"/>
        <n v="800"/>
        <n v="803"/>
        <n v="807"/>
        <n v="810"/>
        <n v="819"/>
        <n v="821"/>
        <n v="830"/>
        <n v="832"/>
        <n v="833"/>
        <n v="837"/>
        <n v="839"/>
        <n v="843"/>
        <n v="849"/>
        <n v="850"/>
        <n v="851"/>
        <n v="868"/>
        <n v="873"/>
        <n v="879"/>
        <n v="891"/>
        <n v="895"/>
        <n v="898"/>
        <n v="902"/>
        <n v="905"/>
        <n v="907"/>
        <n v="916"/>
        <n v="922"/>
        <n v="933"/>
        <n v="938"/>
        <n v="940"/>
        <n v="942"/>
        <n v="944"/>
        <n v="945"/>
        <n v="946"/>
        <n v="948"/>
        <n v="954"/>
        <n v="955"/>
        <n v="961"/>
        <n v="965"/>
        <n v="966"/>
        <n v="967"/>
        <n v="968"/>
        <n v="975"/>
        <n v="977"/>
        <n v="979"/>
        <n v="983"/>
        <n v="988"/>
        <n v="999"/>
        <n v="1000"/>
        <n v="1008"/>
        <n v="1010"/>
        <n v="1012"/>
        <n v="1016"/>
        <n v="1020"/>
        <n v="1029"/>
        <n v="1030"/>
        <n v="1031"/>
        <n v="1041"/>
        <n v="1044"/>
        <n v="1045"/>
        <n v="1048"/>
        <n v="1050"/>
        <n v="1052"/>
        <n v="1055"/>
        <n v="1064"/>
        <n v="1065"/>
        <n v="1071"/>
        <n v="1072"/>
        <n v="1077"/>
        <n v="1079"/>
        <n v="1081"/>
        <n v="1087"/>
        <n v="1092"/>
        <n v="1100"/>
        <n v="1103"/>
        <n v="1109"/>
        <n v="1118"/>
        <n v="1127"/>
        <n v="1131"/>
        <n v="1137"/>
        <n v="1139"/>
        <n v="1142"/>
        <n v="1143"/>
        <n v="1146"/>
        <n v="1150"/>
        <n v="1158"/>
        <n v="1160"/>
        <n v="1162"/>
        <n v="1165"/>
        <n v="1168"/>
        <n v="1170"/>
        <n v="1172"/>
        <n v="1173"/>
        <n v="1175"/>
        <n v="1176"/>
        <n v="1177"/>
        <n v="1183"/>
        <n v="1184"/>
        <n v="1204"/>
        <n v="1212"/>
        <n v="1215"/>
        <n v="1225"/>
        <n v="1232"/>
        <n v="1241"/>
        <n v="1245"/>
        <n v="1250"/>
        <n v="1272"/>
        <n v="1277"/>
        <n v="1291"/>
        <n v="1307"/>
        <n v="1321"/>
        <n v="1324"/>
        <n v="1328"/>
        <n v="1331"/>
        <n v="1340"/>
        <n v="1343"/>
        <n v="1349"/>
        <n v="1351"/>
        <n v="1357"/>
        <n v="1361"/>
        <n v="1362"/>
        <n v="1371"/>
        <n v="1377"/>
        <n v="1378"/>
        <n v="1379"/>
        <n v="1381"/>
        <n v="1384"/>
        <n v="1386"/>
        <n v="1399"/>
        <n v="1402"/>
        <n v="1403"/>
        <n v="1404"/>
        <n v="1406"/>
        <n v="1407"/>
        <n v="1409"/>
        <n v="1411"/>
        <n v="1419"/>
        <n v="1440"/>
        <n v="1446"/>
        <n v="1448"/>
        <n v="1453"/>
        <n v="1456"/>
        <n v="1458"/>
        <n v="1459"/>
        <n v="1461"/>
        <n v="1463"/>
        <n v="1473"/>
        <n v="1490"/>
        <n v="1491"/>
        <n v="1497"/>
        <n v="1501"/>
        <n v="1503"/>
        <n v="1506"/>
        <n v="1509"/>
        <n v="1513"/>
        <n v="1515"/>
        <n v="1517"/>
        <n v="1518"/>
        <n v="1519"/>
        <n v="1523"/>
        <n v="1524"/>
        <n v="1542"/>
        <n v="1544"/>
        <n v="1545"/>
        <n v="1553"/>
        <n v="1570"/>
        <n v="1577"/>
        <n v="1581"/>
        <n v="1584"/>
        <n v="1592"/>
        <n v="1600"/>
        <n v="1604"/>
        <n v="1606"/>
        <n v="1618"/>
        <n v="1619"/>
        <n v="1626"/>
        <n v="1627"/>
        <n v="1628"/>
        <n v="1630"/>
        <n v="1631"/>
        <n v="1640"/>
        <n v="1646"/>
        <n v="1650"/>
        <n v="1655"/>
        <n v="1663"/>
        <n v="1665"/>
        <n v="1672"/>
        <n v="1676"/>
        <n v="1685"/>
        <n v="1710"/>
        <n v="1715"/>
        <n v="1717"/>
        <n v="1726"/>
        <n v="1729"/>
        <n v="1734"/>
        <n v="1740"/>
        <n v="1743"/>
        <n v="1744"/>
        <n v="1745"/>
        <n v="1755"/>
        <n v="1763"/>
        <n v="1764"/>
        <n v="1772"/>
        <n v="1773"/>
        <n v="1777"/>
        <n v="1802"/>
        <n v="1818"/>
        <n v="1826"/>
        <n v="1829"/>
        <n v="1833"/>
        <n v="1834"/>
        <n v="1839"/>
        <n v="1857"/>
        <n v="1859"/>
        <n v="1867"/>
        <n v="1876"/>
        <n v="1878"/>
        <n v="1880"/>
        <n v="1890"/>
        <n v="1891"/>
        <n v="1907"/>
        <n v="1911"/>
        <n v="1915"/>
        <n v="1916"/>
        <n v="1920"/>
        <n v="1921"/>
        <n v="1927"/>
        <n v="1928"/>
        <n v="1940"/>
        <n v="1945"/>
        <n v="1951"/>
        <n v="1958"/>
        <n v="1964"/>
        <n v="1966"/>
        <n v="1968"/>
        <n v="1970"/>
        <n v="1987"/>
        <n v="1990"/>
        <n v="1991"/>
        <n v="1992"/>
        <n v="1993"/>
        <n v="2002"/>
        <n v="2004"/>
        <n v="2005"/>
        <n v="2008"/>
        <n v="2021"/>
        <n v="2036"/>
        <n v="2061"/>
        <n v="2066"/>
        <n v="2072"/>
        <n v="2075"/>
        <n v="2079"/>
        <n v="2088"/>
        <n v="2098"/>
        <n v="2106"/>
        <n v="2109"/>
        <n v="2114"/>
        <n v="2115"/>
        <n v="2118"/>
        <n v="2125"/>
        <n v="2130"/>
        <n v="2131"/>
        <n v="2134"/>
        <n v="2139"/>
        <n v="2147"/>
        <n v="2150"/>
        <n v="2154"/>
        <n v="2156"/>
        <n v="2157"/>
        <n v="2162"/>
        <n v="2166"/>
        <n v="2173"/>
        <n v="2174"/>
        <n v="2176"/>
        <n v="2181"/>
        <n v="2186"/>
        <n v="2202"/>
        <n v="2217"/>
        <n v="2223"/>
        <n v="2225"/>
        <n v="2230"/>
        <n v="2245"/>
        <n v="2254"/>
        <n v="2256"/>
        <n v="2258"/>
        <n v="2261"/>
        <n v="2262"/>
        <n v="2276"/>
        <n v="2278"/>
        <n v="2281"/>
        <n v="2285"/>
        <n v="2286"/>
        <n v="2292"/>
        <n v="2295"/>
        <n v="2296"/>
        <n v="2304"/>
        <n v="2308"/>
        <n v="2315"/>
        <n v="2320"/>
        <n v="2324"/>
        <n v="2337"/>
        <n v="2350"/>
        <n v="2371"/>
        <n v="2375"/>
        <n v="2379"/>
        <n v="2387"/>
        <n v="2404"/>
        <n v="2406"/>
        <n v="2407"/>
        <n v="2408"/>
        <n v="2410"/>
        <n v="2415"/>
        <n v="2416"/>
        <n v="2426"/>
        <n v="2428"/>
        <n v="2429"/>
        <n v="2431"/>
        <n v="2445"/>
        <n v="2447"/>
        <n v="2452"/>
        <n v="2453"/>
        <n v="2456"/>
        <n v="2457"/>
        <n v="2461"/>
        <n v="2471"/>
        <n v="2478"/>
        <n v="2488"/>
        <n v="2493"/>
        <n v="2495"/>
        <n v="2499"/>
        <n v="2516"/>
        <n v="2518"/>
        <n v="2521"/>
        <n v="2525"/>
        <n v="2532"/>
        <n v="2534"/>
        <n v="2535"/>
        <n v="2541"/>
        <n v="2544"/>
        <n v="2546"/>
        <n v="2549"/>
        <n v="2552"/>
        <n v="2557"/>
        <n v="2563"/>
        <n v="2564"/>
        <n v="2565"/>
        <n v="2569"/>
        <n v="2570"/>
        <n v="2574"/>
        <n v="2579"/>
        <n v="2587"/>
        <n v="2589"/>
        <n v="2591"/>
        <n v="2607"/>
        <n v="2611"/>
        <n v="2612"/>
        <n v="2613"/>
        <n v="2620"/>
        <n v="2625"/>
        <n v="2631"/>
        <n v="2632"/>
        <n v="2634"/>
        <n v="2639"/>
        <n v="2656"/>
        <n v="2661"/>
        <n v="2666"/>
        <n v="2669"/>
        <n v="2674"/>
        <n v="2677"/>
        <n v="2678"/>
        <n v="2681"/>
        <n v="2683"/>
        <n v="2686"/>
        <n v="2694"/>
        <n v="2698"/>
        <n v="2711"/>
        <n v="2712"/>
        <n v="2715"/>
        <n v="2724"/>
        <n v="2727"/>
        <n v="2730"/>
        <n v="2736"/>
        <n v="2740"/>
        <n v="2747"/>
        <n v="2781"/>
        <n v="2782"/>
        <n v="2795"/>
        <n v="2797"/>
        <n v="2798"/>
        <n v="2802"/>
        <n v="2811"/>
        <n v="2815"/>
        <n v="2826"/>
        <n v="2829"/>
        <n v="2831"/>
        <n v="2836"/>
        <n v="2853"/>
        <n v="2861"/>
        <n v="2868"/>
        <n v="2870"/>
        <n v="2874"/>
        <n v="2875"/>
        <n v="2877"/>
        <n v="2878"/>
        <n v="2882"/>
        <n v="2886"/>
        <n v="2891"/>
        <n v="2894"/>
        <n v="2895"/>
        <n v="2909"/>
        <n v="2918"/>
        <n v="2920"/>
        <n v="2926"/>
        <n v="2929"/>
        <n v="2930"/>
        <n v="2931"/>
        <n v="2936"/>
        <n v="2937"/>
        <n v="2939"/>
        <n v="2942"/>
        <n v="2945"/>
        <n v="2948"/>
        <n v="2952"/>
        <n v="2958"/>
        <n v="2961"/>
        <n v="2963"/>
        <n v="2964"/>
        <n v="2968"/>
        <n v="2975"/>
        <n v="2980"/>
        <n v="2986"/>
        <n v="2995"/>
        <n v="3005"/>
        <n v="3006"/>
        <n v="3007"/>
        <n v="3009"/>
        <n v="3010"/>
        <n v="3011"/>
        <n v="3025"/>
        <n v="3032"/>
        <n v="3033"/>
        <n v="3037"/>
        <n v="3050"/>
        <n v="3056"/>
        <n v="3066"/>
        <n v="3068"/>
        <n v="3074"/>
        <n v="3075"/>
        <n v="3076"/>
        <n v="3081"/>
        <n v="3083"/>
        <n v="3099"/>
        <n v="3102"/>
        <n v="3104"/>
        <n v="3107"/>
        <n v="3112"/>
        <n v="3120"/>
        <n v="3129"/>
        <n v="3136"/>
        <n v="3138"/>
        <n v="3139"/>
        <n v="3152"/>
        <n v="3153"/>
        <n v="3158"/>
        <n v="3170"/>
        <n v="3174"/>
        <n v="3179"/>
        <n v="3182"/>
        <n v="3194"/>
        <n v="3197"/>
        <n v="3202"/>
        <n v="3220"/>
        <n v="3225"/>
        <n v="3231"/>
        <n v="3233"/>
        <n v="3254"/>
        <n v="3262"/>
        <n v="3265"/>
        <n v="3267"/>
        <n v="3270"/>
        <n v="3276"/>
        <n v="3277"/>
        <n v="3281"/>
        <n v="3283"/>
        <n v="3286"/>
        <n v="3298"/>
        <n v="3308"/>
        <n v="3310"/>
        <n v="3312"/>
        <n v="3321"/>
        <n v="3332"/>
        <n v="3334"/>
        <n v="3336"/>
        <n v="3340"/>
        <n v="3376"/>
        <n v="3381"/>
        <n v="3386"/>
        <n v="3388"/>
        <n v="3389"/>
        <n v="3403"/>
        <n v="3406"/>
        <n v="3409"/>
        <n v="3412"/>
        <n v="3421"/>
        <n v="3422"/>
        <n v="3426"/>
        <n v="3427"/>
        <n v="3428"/>
        <n v="3433"/>
        <n v="3434"/>
        <n v="3436"/>
        <n v="3439"/>
        <n v="3445"/>
        <n v="3463"/>
        <n v="3469"/>
        <n v="3478"/>
        <n v="3479"/>
        <n v="3483"/>
        <n v="3491"/>
        <n v="3498"/>
        <n v="3503"/>
        <n v="3507"/>
        <n v="3515"/>
        <n v="3517"/>
        <n v="3518"/>
        <n v="3520"/>
        <n v="3523"/>
        <n v="3524"/>
        <n v="3525"/>
        <n v="3526"/>
        <n v="3535"/>
        <n v="3536"/>
        <n v="3537"/>
        <n v="3547"/>
        <n v="3551"/>
        <n v="3559"/>
        <n v="3570"/>
        <n v="3578"/>
        <n v="3584"/>
        <n v="3594"/>
        <n v="3595"/>
        <n v="3598"/>
        <n v="3599"/>
        <n v="3602"/>
        <n v="3619"/>
        <n v="3623"/>
        <n v="3628"/>
        <n v="3629"/>
        <n v="3635"/>
        <n v="3641"/>
        <n v="3643"/>
        <n v="3645"/>
        <n v="3657"/>
        <n v="3661"/>
        <n v="3665"/>
        <n v="3667"/>
        <n v="3673"/>
        <n v="3678"/>
        <n v="3690"/>
        <n v="3696"/>
        <n v="3697"/>
        <n v="3698"/>
        <n v="3706"/>
        <n v="3710"/>
        <n v="3711"/>
        <n v="3712"/>
        <n v="3717"/>
        <n v="3722"/>
        <n v="3725"/>
        <n v="3726"/>
        <n v="3732"/>
        <n v="3745"/>
        <n v="3749"/>
        <n v="3759"/>
        <n v="3762"/>
        <n v="3766"/>
        <n v="3767"/>
        <n v="3783"/>
        <n v="3790"/>
        <n v="3798"/>
        <n v="3799"/>
        <n v="3807"/>
        <n v="3828"/>
        <n v="3829"/>
        <n v="3830"/>
        <n v="3834"/>
        <n v="3839"/>
        <n v="3846"/>
        <n v="3850"/>
        <n v="3855"/>
        <n v="3856"/>
        <n v="3859"/>
        <n v="3865"/>
        <n v="3870"/>
        <n v="3878"/>
        <n v="3885"/>
        <n v="3887"/>
        <n v="3896"/>
        <n v="3900"/>
        <n v="3910"/>
        <n v="3916"/>
        <n v="3919"/>
        <n v="3921"/>
        <n v="3924"/>
        <n v="3933"/>
        <n v="3945"/>
        <n v="3955"/>
        <n v="3967"/>
        <n v="3968"/>
        <n v="3969"/>
        <n v="3972"/>
        <n v="3979"/>
        <n v="4001"/>
        <n v="4002"/>
        <n v="4012"/>
        <n v="4023"/>
        <n v="4037"/>
        <n v="4042"/>
        <n v="4047"/>
        <n v="4050"/>
        <n v="4055"/>
        <n v="4058"/>
        <n v="4065"/>
        <n v="4066"/>
        <n v="4070"/>
        <n v="4073"/>
        <n v="4084"/>
        <n v="4086"/>
        <n v="4088"/>
        <n v="4093"/>
        <n v="4094"/>
        <n v="4095"/>
        <n v="4098"/>
        <n v="4099"/>
        <n v="4107"/>
        <n v="4114"/>
        <n v="4120"/>
        <n v="4122"/>
        <n v="4127"/>
        <n v="4128"/>
        <n v="4136"/>
        <n v="4137"/>
        <n v="4138"/>
        <n v="4141"/>
        <n v="4148"/>
        <n v="4149"/>
        <n v="4168"/>
        <n v="4174"/>
        <n v="4179"/>
        <n v="4184"/>
        <n v="4188"/>
        <n v="4198"/>
        <n v="4200"/>
        <n v="4201"/>
        <n v="4207"/>
        <n v="4216"/>
        <n v="4220"/>
        <n v="4227"/>
        <n v="4240"/>
        <n v="4246"/>
        <n v="4248"/>
        <n v="4252"/>
        <n v="4259"/>
        <n v="4268"/>
        <n v="4271"/>
        <n v="4278"/>
        <n v="4279"/>
        <n v="4286"/>
        <n v="4290"/>
        <n v="4297"/>
        <n v="4298"/>
        <n v="4299"/>
        <n v="4303"/>
        <n v="4310"/>
        <n v="4320"/>
        <n v="4322"/>
        <n v="4324"/>
        <n v="4328"/>
        <n v="4329"/>
        <n v="4331"/>
        <n v="4333"/>
        <n v="4338"/>
        <n v="4339"/>
        <n v="4351"/>
        <n v="4356"/>
        <n v="4368"/>
        <n v="4369"/>
        <n v="4370"/>
        <n v="4376"/>
        <n v="4377"/>
        <n v="4381"/>
        <n v="4385"/>
        <n v="4390"/>
        <n v="4394"/>
        <n v="4399"/>
        <n v="4405"/>
        <n v="4406"/>
        <n v="4415"/>
        <n v="4418"/>
        <n v="4426"/>
        <n v="4427"/>
        <n v="4432"/>
        <n v="4437"/>
        <n v="4440"/>
        <n v="4442"/>
        <n v="4444"/>
        <n v="4452"/>
        <n v="4459"/>
        <n v="4470"/>
        <n v="4472"/>
        <n v="4475"/>
        <n v="4477"/>
        <n v="4478"/>
        <n v="4480"/>
        <n v="4483"/>
        <n v="4487"/>
        <n v="4501"/>
        <n v="4507"/>
        <n v="4508"/>
        <n v="4518"/>
        <n v="4530"/>
        <n v="4541"/>
        <n v="4543"/>
        <n v="4547"/>
        <n v="4548"/>
        <n v="4550"/>
        <n v="4552"/>
        <n v="4554"/>
        <n v="4557"/>
        <n v="4580"/>
        <n v="4587"/>
        <n v="4597"/>
        <n v="4603"/>
        <n v="4607"/>
        <n v="4609"/>
        <n v="4611"/>
        <n v="4619"/>
        <n v="4637"/>
        <n v="4640"/>
        <n v="4643"/>
        <n v="4646"/>
        <n v="4653"/>
        <n v="4654"/>
        <n v="4656"/>
        <n v="4669"/>
        <n v="4673"/>
        <n v="4676"/>
        <n v="4679"/>
        <n v="4682"/>
        <n v="4686"/>
        <n v="4687"/>
        <n v="4690"/>
        <n v="4692"/>
        <n v="4697"/>
        <n v="4702"/>
        <n v="4706"/>
        <n v="4712"/>
        <n v="4713"/>
        <n v="4725"/>
        <n v="4741"/>
        <n v="4743"/>
        <n v="4754"/>
        <n v="4756"/>
        <n v="4764"/>
        <n v="4767"/>
        <n v="4769"/>
        <n v="4785"/>
        <n v="4786"/>
        <n v="4789"/>
        <n v="4790"/>
        <n v="4791"/>
        <n v="4796"/>
        <n v="4808"/>
        <n v="4817"/>
        <n v="4827"/>
        <n v="4828"/>
        <n v="4832"/>
        <n v="4837"/>
        <n v="4838"/>
        <n v="4855"/>
        <n v="4856"/>
        <n v="4860"/>
        <n v="4864"/>
        <n v="4865"/>
        <n v="4867"/>
        <n v="4877"/>
        <n v="4887"/>
        <n v="4910"/>
        <n v="4915"/>
        <n v="4927"/>
        <n v="4931"/>
        <n v="4937"/>
        <n v="4939"/>
        <n v="4943"/>
        <n v="4945"/>
        <n v="4947"/>
        <n v="4954"/>
        <n v="4961"/>
        <n v="4964"/>
        <n v="4967"/>
        <n v="4974"/>
        <n v="4988"/>
        <n v="4990"/>
        <n v="4992"/>
        <n v="4994"/>
        <n v="4998"/>
        <n v="5010"/>
        <n v="5012"/>
        <n v="5015"/>
        <n v="5025"/>
        <n v="5029"/>
        <n v="5031"/>
        <n v="5036"/>
        <n v="5043"/>
        <n v="5046"/>
        <n v="5048"/>
        <n v="5057"/>
        <n v="5062"/>
        <n v="5063"/>
        <n v="5067"/>
        <n v="5068"/>
        <n v="5074"/>
        <n v="5077"/>
        <n v="5080"/>
        <n v="5081"/>
        <n v="5084"/>
        <n v="5092"/>
        <n v="5093"/>
        <n v="5113"/>
        <n v="5114"/>
        <n v="5117"/>
        <n v="5120"/>
        <n v="5121"/>
        <n v="5123"/>
        <n v="5125"/>
        <n v="5136"/>
        <n v="5138"/>
        <n v="5140"/>
        <n v="5147"/>
        <n v="5150"/>
        <n v="5154"/>
        <n v="5156"/>
        <n v="5172"/>
        <n v="5176"/>
        <n v="5177"/>
        <n v="5180"/>
        <n v="5181"/>
        <n v="5184"/>
        <n v="5185"/>
        <n v="5186"/>
        <n v="5204"/>
        <n v="5207"/>
        <n v="5209"/>
        <n v="5221"/>
        <n v="5223"/>
        <n v="5229"/>
        <n v="5231"/>
        <n v="5234"/>
        <n v="5236"/>
        <n v="5237"/>
        <n v="5247"/>
        <n v="5252"/>
        <n v="5253"/>
        <n v="5263"/>
        <n v="5267"/>
        <n v="5268"/>
        <n v="5272"/>
        <n v="5278"/>
        <n v="5283"/>
        <n v="5286"/>
        <n v="5287"/>
        <n v="5289"/>
        <n v="5290"/>
        <n v="5294"/>
        <n v="5299"/>
        <n v="5300"/>
        <n v="5302"/>
        <n v="5303"/>
        <n v="5304"/>
        <n v="5313"/>
        <n v="5316"/>
        <n v="5320"/>
        <n v="5324"/>
        <n v="5329"/>
        <n v="5331"/>
        <n v="5332"/>
        <n v="5336"/>
        <n v="5341"/>
        <n v="5342"/>
        <n v="5346"/>
        <n v="5350"/>
        <n v="5370"/>
        <n v="5371"/>
        <n v="5376"/>
        <n v="5386"/>
        <n v="5389"/>
        <n v="5393"/>
        <n v="5394"/>
        <n v="5396"/>
        <n v="5407"/>
        <n v="5423"/>
        <n v="5429"/>
        <n v="5430"/>
        <n v="5441"/>
        <n v="5453"/>
        <n v="5454"/>
        <n v="5455"/>
        <n v="5462"/>
        <n v="5474"/>
        <n v="5491"/>
        <n v="5493"/>
        <n v="5510"/>
        <n v="5512"/>
        <n v="5519"/>
        <n v="5524"/>
        <n v="5527"/>
        <n v="5534"/>
        <n v="5543"/>
        <n v="5544"/>
        <n v="5545"/>
        <n v="5547"/>
        <n v="5552"/>
        <n v="5555"/>
        <n v="5558"/>
        <n v="5562"/>
        <n v="5564"/>
        <n v="5577"/>
        <n v="5585"/>
        <n v="5589"/>
        <n v="5596"/>
        <n v="5602"/>
        <n v="5610"/>
        <n v="5621"/>
        <n v="5623"/>
        <n v="5626"/>
        <n v="5628"/>
        <n v="5631"/>
        <n v="5633"/>
        <n v="5636"/>
        <n v="5642"/>
        <n v="5644"/>
        <n v="5654"/>
        <n v="5667"/>
        <n v="5675"/>
        <n v="5680"/>
        <n v="5682"/>
        <n v="5684"/>
        <n v="5687"/>
        <n v="5692"/>
        <n v="5710"/>
        <n v="5718"/>
        <n v="5721"/>
        <n v="5723"/>
        <n v="5726"/>
        <n v="5731"/>
        <n v="5734"/>
        <n v="5740"/>
        <n v="5748"/>
        <n v="5751"/>
        <n v="5756"/>
        <n v="5758"/>
        <n v="5763"/>
        <n v="5782"/>
        <n v="5788"/>
        <n v="5790"/>
        <n v="5794"/>
        <n v="5796"/>
        <n v="5802"/>
        <n v="5823"/>
        <n v="5824"/>
        <n v="5827"/>
        <n v="5830"/>
        <n v="5831"/>
        <n v="5832"/>
        <n v="5835"/>
        <n v="5837"/>
        <n v="5841"/>
        <n v="5846"/>
        <n v="5847"/>
        <n v="5848"/>
        <n v="5863"/>
        <n v="5866"/>
        <n v="5868"/>
        <n v="5871"/>
        <n v="5872"/>
        <n v="5883"/>
        <n v="5892"/>
        <n v="5896"/>
        <n v="5899"/>
        <n v="5907"/>
        <n v="5909"/>
        <n v="5922"/>
        <n v="5929"/>
        <n v="5935"/>
        <n v="5939"/>
        <n v="5948"/>
        <n v="5954"/>
        <n v="5955"/>
        <n v="5956"/>
        <n v="5959"/>
        <n v="5961"/>
        <n v="5966"/>
        <n v="5967"/>
        <n v="5975"/>
        <n v="5985"/>
        <n v="5987"/>
        <n v="5989"/>
        <n v="5991"/>
        <n v="5995"/>
        <n v="6001"/>
        <n v="6019"/>
        <n v="6036"/>
        <n v="6049"/>
        <n v="6050"/>
        <n v="6055"/>
        <n v="6059"/>
        <n v="6072"/>
        <n v="6086"/>
        <n v="6097"/>
        <n v="6103"/>
        <n v="6116"/>
        <n v="6119"/>
        <n v="6131"/>
        <n v="6141"/>
        <n v="6142"/>
        <n v="6147"/>
        <n v="6168"/>
        <n v="6177"/>
        <n v="6181"/>
        <n v="6182"/>
        <n v="6184"/>
        <n v="6197"/>
        <n v="6200"/>
        <n v="6201"/>
        <n v="6203"/>
        <n v="6205"/>
        <n v="6211"/>
        <n v="6214"/>
        <n v="6215"/>
        <n v="6218"/>
        <n v="6230"/>
        <n v="6233"/>
        <n v="6237"/>
        <n v="6245"/>
        <n v="6246"/>
        <n v="6248"/>
        <n v="6250"/>
        <n v="6255"/>
        <n v="6257"/>
        <n v="6260"/>
        <n v="6261"/>
        <n v="6262"/>
        <n v="6263"/>
        <n v="6271"/>
        <n v="6274"/>
        <n v="6281"/>
        <n v="6287"/>
        <n v="6289"/>
        <n v="6292"/>
        <n v="6295"/>
        <n v="6299"/>
        <n v="6303"/>
        <n v="6310"/>
        <n v="6312"/>
        <n v="6320"/>
        <n v="6327"/>
        <n v="6336"/>
        <n v="6340"/>
        <n v="6343"/>
        <n v="6347"/>
        <n v="6349"/>
        <n v="6354"/>
        <n v="6355"/>
        <n v="6357"/>
        <n v="6365"/>
        <n v="6374"/>
        <n v="6376"/>
        <n v="6379"/>
        <n v="6382"/>
        <n v="6383"/>
        <n v="6384"/>
        <n v="6387"/>
        <n v="6398"/>
        <n v="6404"/>
        <n v="6406"/>
        <n v="6409"/>
        <n v="6417"/>
        <n v="6421"/>
        <n v="6422"/>
        <n v="6424"/>
        <n v="6428"/>
        <n v="6431"/>
        <n v="6437"/>
        <n v="6439"/>
        <n v="6445"/>
        <n v="6457"/>
        <n v="6460"/>
        <n v="6461"/>
        <n v="6466"/>
        <n v="6471"/>
        <n v="6488"/>
        <n v="6497"/>
        <n v="6504"/>
        <n v="6507"/>
        <n v="6515"/>
        <n v="6516"/>
        <n v="6518"/>
        <n v="6521"/>
        <n v="6528"/>
        <n v="6534"/>
        <n v="6543"/>
        <n v="6565"/>
        <n v="6566"/>
        <n v="6568"/>
        <n v="6575"/>
        <n v="6605"/>
        <n v="6606"/>
        <n v="6609"/>
        <n v="6613"/>
        <n v="6616"/>
        <n v="6619"/>
        <n v="6634"/>
        <n v="6637"/>
        <n v="6642"/>
        <n v="6646"/>
        <n v="6652"/>
        <n v="6653"/>
        <n v="6658"/>
        <n v="6663"/>
        <n v="6673"/>
        <n v="6678"/>
        <n v="6679"/>
        <n v="6682"/>
        <n v="6690"/>
        <n v="6694"/>
        <n v="6710"/>
        <n v="6715"/>
        <n v="6720"/>
        <n v="6721"/>
        <n v="6722"/>
        <n v="6728"/>
        <n v="6729"/>
        <n v="6730"/>
        <n v="6742"/>
        <n v="6749"/>
        <n v="6768"/>
        <n v="6770"/>
        <n v="6810"/>
        <n v="6815"/>
        <n v="6818"/>
        <n v="6825"/>
        <n v="6853"/>
        <n v="6856"/>
        <n v="6859"/>
        <n v="6862"/>
        <n v="6864"/>
        <n v="6866"/>
        <n v="6870"/>
        <n v="6872"/>
        <n v="6875"/>
        <n v="6878"/>
        <n v="6885"/>
        <n v="6887"/>
        <n v="6892"/>
        <n v="6905"/>
        <n v="6906"/>
        <n v="6912"/>
        <n v="6919"/>
        <n v="6927"/>
        <n v="6931"/>
        <n v="6932"/>
        <n v="6940"/>
        <n v="6941"/>
        <n v="6945"/>
        <n v="6950"/>
        <n v="6958"/>
        <n v="6961"/>
        <n v="6963"/>
        <n v="6969"/>
        <n v="6974"/>
        <n v="6977"/>
        <n v="6982"/>
        <n v="6983"/>
        <n v="6991"/>
        <n v="6999"/>
        <n v="7000"/>
        <n v="7002"/>
        <n v="7004"/>
        <n v="7005"/>
        <n v="7007"/>
        <n v="7011"/>
        <n v="7019"/>
        <n v="7022"/>
        <n v="7023"/>
        <n v="7030"/>
        <n v="7034"/>
        <n v="7037"/>
        <n v="7042"/>
        <n v="7053"/>
        <n v="7055"/>
        <n v="7072"/>
        <n v="7079"/>
        <n v="7093"/>
        <n v="7101"/>
        <n v="7106"/>
        <n v="7108"/>
        <n v="7118"/>
        <n v="7119"/>
        <n v="7124"/>
        <n v="7128"/>
        <n v="7129"/>
        <n v="7141"/>
        <n v="7143"/>
        <n v="7165"/>
        <n v="7181"/>
        <n v="7186"/>
        <n v="7192"/>
        <n v="7196"/>
        <n v="7214"/>
        <n v="7215"/>
        <n v="7232"/>
        <n v="7233"/>
        <n v="7235"/>
        <n v="7247"/>
        <n v="7250"/>
        <n v="7254"/>
        <n v="7264"/>
        <n v="7270"/>
        <n v="7274"/>
        <n v="7275"/>
        <n v="7279"/>
        <n v="7284"/>
        <n v="7286"/>
        <n v="7290"/>
        <n v="7297"/>
        <n v="7300"/>
        <n v="7301"/>
        <n v="7313"/>
        <n v="7325"/>
        <n v="7326"/>
        <n v="7327"/>
        <n v="7342"/>
        <n v="7348"/>
        <n v="7349"/>
        <n v="7352"/>
        <n v="7369"/>
        <n v="7373"/>
        <n v="7375"/>
        <n v="7378"/>
        <n v="7381"/>
        <n v="7384"/>
        <n v="7393"/>
        <n v="7396"/>
        <n v="7397"/>
        <n v="7408"/>
        <n v="7409"/>
        <n v="7411"/>
        <n v="7414"/>
        <n v="7419"/>
        <n v="7422"/>
        <n v="7426"/>
        <n v="7428"/>
        <n v="7431"/>
        <n v="7437"/>
        <n v="7441"/>
        <n v="7444"/>
        <n v="7446"/>
        <n v="7453"/>
        <n v="7458"/>
        <n v="7462"/>
        <n v="7476"/>
        <n v="7485"/>
        <n v="7488"/>
        <n v="7494"/>
        <n v="7495"/>
        <n v="7503"/>
        <n v="7505"/>
        <n v="7514"/>
        <n v="7527"/>
        <n v="7532"/>
        <n v="7533"/>
        <n v="7540"/>
        <n v="7573"/>
        <n v="7574"/>
        <n v="7600"/>
        <n v="7610"/>
        <n v="7613"/>
        <n v="7617"/>
        <n v="7620"/>
        <n v="7627"/>
        <n v="7628"/>
        <n v="7629"/>
        <n v="7631"/>
        <n v="7646"/>
        <n v="7660"/>
        <n v="7679"/>
        <n v="7683"/>
        <n v="7698"/>
        <n v="7706"/>
        <n v="7712"/>
        <n v="7718"/>
        <n v="7725"/>
        <n v="7732"/>
        <n v="7734"/>
        <n v="7736"/>
        <n v="7755"/>
        <n v="7761"/>
        <n v="7786"/>
        <n v="7788"/>
        <n v="7791"/>
        <n v="7793"/>
        <n v="7798"/>
        <n v="7801"/>
        <n v="7822"/>
        <n v="7828"/>
        <n v="7829"/>
        <n v="7832"/>
        <n v="7842"/>
        <n v="7848"/>
        <n v="7849"/>
        <n v="7851"/>
        <n v="7861"/>
        <n v="7872"/>
        <n v="7873"/>
        <n v="7875"/>
        <n v="7881"/>
        <n v="7892"/>
        <n v="7899"/>
        <n v="7901"/>
        <n v="7912"/>
        <n v="7919"/>
        <n v="7922"/>
        <n v="7930"/>
        <n v="7937"/>
        <n v="7938"/>
        <n v="7943"/>
        <n v="7947"/>
        <n v="7959"/>
        <n v="7960"/>
        <n v="7962"/>
        <n v="7966"/>
        <n v="7972"/>
        <n v="7987"/>
        <n v="7990"/>
        <n v="7998"/>
        <n v="7999"/>
        <n v="8008"/>
        <n v="8017"/>
        <n v="8026"/>
        <n v="8029"/>
        <n v="8036"/>
        <n v="8041"/>
        <n v="8070"/>
        <n v="8079"/>
        <n v="8080"/>
        <n v="8082"/>
        <n v="8086"/>
        <n v="8091"/>
        <n v="8093"/>
        <n v="8104"/>
        <n v="8132"/>
        <n v="8135"/>
        <n v="8140"/>
        <n v="8143"/>
        <n v="8146"/>
        <n v="8147"/>
        <n v="8148"/>
        <n v="8151"/>
        <n v="8159"/>
        <n v="8162"/>
        <n v="8164"/>
        <n v="8180"/>
        <n v="8181"/>
        <n v="8182"/>
        <n v="8204"/>
        <n v="8207"/>
        <n v="8210"/>
        <n v="8212"/>
        <n v="8213"/>
        <n v="8216"/>
        <n v="8230"/>
        <n v="8233"/>
        <n v="8234"/>
        <n v="8235"/>
        <n v="8275"/>
        <n v="8278"/>
        <n v="8286"/>
        <n v="8310"/>
        <n v="8314"/>
        <n v="8318"/>
        <n v="8341"/>
        <n v="8346"/>
        <n v="8369"/>
        <n v="8370"/>
        <n v="8375"/>
        <n v="8387"/>
        <n v="8395"/>
        <n v="8397"/>
        <n v="8402"/>
        <n v="8405"/>
        <n v="8414"/>
        <n v="8416"/>
        <n v="8418"/>
        <n v="8420"/>
        <n v="8430"/>
        <n v="8439"/>
        <n v="8442"/>
        <n v="8443"/>
        <n v="8461"/>
        <n v="8462"/>
        <n v="8475"/>
        <n v="8477"/>
        <n v="8486"/>
        <n v="8492"/>
        <n v="8514"/>
        <n v="8523"/>
        <n v="8527"/>
        <n v="8534"/>
        <n v="8537"/>
        <n v="8541"/>
        <n v="8545"/>
        <n v="8553"/>
        <n v="8560"/>
        <n v="8562"/>
        <n v="8566"/>
        <n v="8581"/>
        <n v="8584"/>
        <n v="8594"/>
        <n v="8601"/>
        <n v="8602"/>
        <n v="8605"/>
        <n v="8614"/>
        <n v="8624"/>
        <n v="8625"/>
        <n v="8629"/>
        <n v="8643"/>
        <n v="8650"/>
        <n v="8659"/>
        <n v="8663"/>
        <n v="8686"/>
        <n v="8687"/>
        <n v="8690"/>
        <n v="8692"/>
        <n v="8700"/>
        <n v="8707"/>
        <n v="8717"/>
        <n v="8724"/>
        <n v="8726"/>
        <n v="8732"/>
        <n v="8737"/>
        <n v="8746"/>
        <n v="8749"/>
        <n v="8754"/>
        <n v="8755"/>
        <n v="8773"/>
        <n v="8779"/>
        <n v="8783"/>
        <n v="8786"/>
        <n v="8789"/>
        <n v="8799"/>
        <n v="8805"/>
        <n v="8812"/>
        <n v="8825"/>
        <n v="8832"/>
        <n v="8852"/>
        <n v="8858"/>
        <n v="8870"/>
        <n v="8876"/>
        <n v="8890"/>
        <n v="8897"/>
        <n v="8908"/>
        <n v="8910"/>
        <n v="8911"/>
        <n v="8916"/>
        <n v="8920"/>
        <n v="8923"/>
        <n v="8925"/>
        <n v="8931"/>
        <n v="8932"/>
        <n v="8933"/>
        <n v="8939"/>
        <n v="8945"/>
        <n v="8952"/>
        <n v="8953"/>
        <n v="8955"/>
        <n v="8957"/>
        <n v="8962"/>
        <n v="8969"/>
        <n v="8970"/>
        <n v="8975"/>
        <n v="8977"/>
        <n v="8985"/>
        <n v="9010"/>
        <n v="9014"/>
        <n v="9029"/>
        <n v="9058"/>
        <n v="9076"/>
        <n v="9081"/>
        <n v="9094"/>
        <n v="9097"/>
        <n v="9119"/>
        <n v="9120"/>
        <n v="9135"/>
        <n v="9140"/>
        <n v="9145"/>
        <n v="9153"/>
        <n v="9166"/>
        <n v="9167"/>
        <n v="9185"/>
        <n v="9197"/>
        <n v="9204"/>
        <n v="9206"/>
        <n v="9212"/>
        <n v="9213"/>
        <n v="9214"/>
        <n v="9215"/>
        <n v="9216"/>
        <n v="9220"/>
        <n v="9224"/>
        <n v="9239"/>
        <n v="9240"/>
        <n v="9242"/>
        <n v="9246"/>
        <n v="9256"/>
        <n v="9260"/>
        <n v="9262"/>
        <n v="9264"/>
        <n v="9265"/>
        <n v="9274"/>
        <n v="9283"/>
        <n v="9284"/>
        <n v="9286"/>
        <n v="9289"/>
        <n v="9291"/>
        <n v="9292"/>
        <n v="9298"/>
        <n v="9303"/>
        <n v="9305"/>
        <n v="9316"/>
        <n v="9336"/>
        <n v="9347"/>
        <n v="9349"/>
        <n v="9353"/>
        <n v="9360"/>
        <n v="9362"/>
        <n v="9365"/>
        <n v="9369"/>
        <n v="9370"/>
        <n v="9381"/>
        <n v="9386"/>
        <n v="9392"/>
        <n v="9400"/>
        <n v="9405"/>
        <n v="9422"/>
        <n v="9423"/>
        <n v="9426"/>
        <n v="9449"/>
        <n v="9451"/>
        <n v="9463"/>
        <n v="9467"/>
        <n v="9478"/>
        <n v="9481"/>
        <n v="9483"/>
        <n v="9485"/>
        <n v="9491"/>
        <n v="9493"/>
        <n v="9499"/>
        <n v="9500"/>
        <n v="9503"/>
        <n v="9504"/>
        <n v="9507"/>
        <n v="9516"/>
        <n v="9523"/>
        <n v="9529"/>
        <n v="9530"/>
        <n v="9553"/>
        <n v="9559"/>
        <n v="9560"/>
        <n v="9576"/>
        <n v="9579"/>
        <n v="9592"/>
        <n v="9595"/>
        <n v="9596"/>
        <n v="9597"/>
        <n v="9606"/>
        <n v="9612"/>
        <n v="9617"/>
        <n v="9624"/>
        <n v="9635"/>
        <n v="9645"/>
        <n v="9648"/>
        <n v="9653"/>
        <n v="9665"/>
        <n v="9668"/>
        <n v="9672"/>
        <n v="9687"/>
        <n v="9697"/>
        <n v="9699"/>
        <n v="9701"/>
        <n v="9703"/>
        <n v="9706"/>
        <n v="9707"/>
        <n v="9710"/>
        <n v="9723"/>
        <n v="9725"/>
        <n v="9727"/>
        <n v="9729"/>
        <n v="9736"/>
        <n v="9738"/>
        <n v="9739"/>
        <n v="9743"/>
        <n v="9750"/>
        <n v="9771"/>
        <n v="9780"/>
        <n v="9790"/>
        <n v="9797"/>
        <n v="9799"/>
        <n v="9817"/>
        <n v="9829"/>
        <n v="9850"/>
        <n v="9855"/>
        <n v="9860"/>
        <n v="9862"/>
        <n v="9904"/>
        <n v="9905"/>
        <n v="9907"/>
        <n v="9909"/>
        <n v="9925"/>
        <n v="9930"/>
        <n v="9931"/>
        <n v="9937"/>
        <n v="9938"/>
        <n v="9940"/>
        <n v="9949"/>
        <n v="9952"/>
        <n v="9960"/>
        <n v="9967"/>
        <n v="9970"/>
        <n v="9971"/>
        <n v="9973"/>
        <n v="9974"/>
        <n v="9977"/>
        <n v="9984"/>
        <n v="9986"/>
        <n v="9988"/>
        <n v="9999"/>
        <n v="10001"/>
        <n v="10010"/>
        <n v="10022"/>
        <n v="10031"/>
        <n v="10032"/>
        <n v="10057"/>
        <n v="10061"/>
        <n v="10067"/>
        <n v="10069"/>
        <n v="10084"/>
        <n v="10089"/>
        <n v="10091"/>
        <n v="10092"/>
        <n v="10095"/>
        <n v="10099"/>
        <n v="10102"/>
        <n v="10104"/>
        <n v="10127"/>
        <n v="10129"/>
        <n v="10133"/>
        <n v="10140"/>
        <n v="10141"/>
        <n v="10142"/>
        <n v="10146"/>
        <n v="10150"/>
        <n v="10151"/>
        <n v="10156"/>
        <n v="10157"/>
        <n v="10159"/>
        <n v="10163"/>
        <n v="10164"/>
        <n v="10175"/>
        <n v="10176"/>
        <n v="10196"/>
        <n v="10203"/>
        <n v="10219"/>
        <n v="10232"/>
        <n v="10236"/>
        <n v="10240"/>
        <n v="10241"/>
        <n v="10242"/>
        <n v="10245"/>
        <n v="10250"/>
        <n v="10262"/>
        <n v="10270"/>
        <n v="10277"/>
        <n v="10281"/>
        <n v="10286"/>
        <n v="10299"/>
        <n v="10307"/>
        <n v="10311"/>
        <n v="10313"/>
        <n v="10314"/>
        <n v="10319"/>
        <n v="10323"/>
        <n v="10341"/>
        <n v="10343"/>
        <n v="10350"/>
        <n v="10352"/>
        <n v="10356"/>
        <n v="10364"/>
        <n v="10377"/>
        <n v="10379"/>
        <n v="10380"/>
        <n v="10381"/>
        <n v="10383"/>
        <n v="10390"/>
        <n v="10394"/>
        <n v="10395"/>
        <n v="10398"/>
        <n v="10401"/>
        <n v="10402"/>
        <n v="10403"/>
        <n v="10413"/>
        <n v="10420"/>
        <n v="10424"/>
        <n v="10430"/>
        <n v="10432"/>
        <n v="10446"/>
        <n v="10448"/>
        <n v="10466"/>
        <n v="10469"/>
        <n v="10470"/>
        <n v="10473"/>
        <n v="10476"/>
        <n v="10477"/>
        <n v="10478"/>
        <n v="10479"/>
        <n v="10486"/>
        <n v="10489"/>
        <n v="10490"/>
        <n v="10492"/>
        <n v="10500"/>
        <n v="10505"/>
        <n v="10507"/>
        <n v="10509"/>
        <n v="10513"/>
        <n v="10524"/>
        <n v="10525"/>
        <n v="10530"/>
        <n v="10542"/>
        <n v="10548"/>
        <n v="10552"/>
        <n v="10556"/>
        <n v="10560"/>
        <n v="10573"/>
        <n v="10581"/>
        <n v="10582"/>
        <n v="10584"/>
        <n v="10590"/>
        <n v="10591"/>
        <n v="10595"/>
        <n v="10598"/>
        <n v="10609"/>
        <n v="10613"/>
        <n v="10619"/>
        <n v="10623"/>
        <n v="10634"/>
        <n v="10637"/>
        <n v="10640"/>
        <n v="10641"/>
        <n v="10652"/>
        <n v="10659"/>
        <n v="10660"/>
        <n v="10664"/>
        <n v="10669"/>
        <n v="10673"/>
        <n v="10675"/>
        <n v="10676"/>
        <n v="10678"/>
        <n v="10680"/>
        <n v="10686"/>
        <n v="10691"/>
        <n v="10699"/>
        <n v="10701"/>
        <n v="10702"/>
        <n v="10704"/>
        <n v="10708"/>
        <n v="10710"/>
        <n v="10711"/>
        <n v="10722"/>
        <n v="10736"/>
        <n v="10738"/>
        <n v="10742"/>
        <n v="10749"/>
        <n v="10755"/>
        <n v="10757"/>
        <n v="10767"/>
        <n v="10770"/>
        <n v="10779"/>
        <n v="10785"/>
        <n v="10790"/>
        <n v="10796"/>
        <n v="10812"/>
        <n v="10814"/>
        <n v="10821"/>
        <n v="10827"/>
        <n v="10832"/>
        <n v="10833"/>
        <n v="10837"/>
        <n v="10839"/>
        <n v="10841"/>
        <n v="10846"/>
        <n v="10854"/>
        <n v="10855"/>
        <n v="10856"/>
        <n v="10858"/>
        <n v="10862"/>
        <n v="10868"/>
        <n v="10870"/>
        <n v="10882"/>
        <n v="10888"/>
        <n v="10909"/>
        <n v="10913"/>
        <n v="10914"/>
        <n v="10925"/>
        <n v="10928"/>
        <n v="10936"/>
        <n v="10949"/>
        <n v="10951"/>
        <n v="10955"/>
        <n v="10965"/>
        <n v="10967"/>
        <n v="10968"/>
        <n v="10971"/>
        <n v="10972"/>
        <n v="10983"/>
        <n v="10991"/>
        <n v="10992"/>
        <n v="10995"/>
        <n v="11003"/>
        <n v="11004"/>
        <n v="11007"/>
        <n v="11010"/>
        <n v="11013"/>
        <n v="11025"/>
        <n v="11030"/>
        <n v="11031"/>
        <n v="11039"/>
        <n v="11051"/>
        <n v="11056"/>
        <n v="11071"/>
        <n v="11074"/>
        <n v="11075"/>
        <n v="11086"/>
        <n v="11088"/>
        <n v="11091"/>
        <n v="11092"/>
        <n v="11096"/>
        <n v="11100"/>
        <n v="11101"/>
        <n v="11110"/>
        <n v="11112"/>
        <n v="11114"/>
        <n v="11121"/>
        <n v="11148"/>
        <n v="11166"/>
        <n v="11176"/>
        <n v="11178"/>
        <n v="11181"/>
        <n v="11187"/>
        <n v="11191"/>
      </sharedItems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2"/>
    </cacheField>
    <cacheField name="MntGoldProds" numFmtId="0">
      <sharedItems containsSemiMixedTypes="0" containsString="0" containsNumber="1" containsInteger="1" minValue="0" maxValue="321"/>
    </cacheField>
    <cacheField name="Marital_Status" numFmtId="0">
      <sharedItems count="2">
        <s v="Together"/>
        <s v="Single"/>
      </sharedItems>
    </cacheField>
    <cacheField name="Income" numFmtId="0">
      <sharedItems containsSemiMixedTypes="0" containsString="0" containsNumber="1" containsInteger="1" minValue="1730" maxValue="162397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배현진" refreshedDate="46115.480794097224" createdVersion="8" refreshedVersion="8" minRefreshableVersion="3" recordCount="2014" xr:uid="{A20218C3-E76E-E34A-8D50-B5DB0ACB527F}">
  <cacheSource type="worksheet">
    <worksheetSource ref="A1:O2015" sheet="CASE_01"/>
  </cacheSource>
  <cacheFields count="15">
    <cacheField name="ID" numFmtId="0">
      <sharedItems containsSemiMixedTypes="0" containsString="0" containsNumber="1" containsInteger="1" minValue="0" maxValue="11191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2"/>
    </cacheField>
    <cacheField name="MntGoldProds" numFmtId="0">
      <sharedItems containsSemiMixedTypes="0" containsString="0" containsNumber="1" containsInteger="1" minValue="0" maxValue="321"/>
    </cacheField>
    <cacheField name="Marital_Status" numFmtId="0">
      <sharedItems/>
    </cacheField>
    <cacheField name="Income" numFmtId="0">
      <sharedItems containsSemiMixedTypes="0" containsString="0" containsNumber="1" containsInteger="1" minValue="1730" maxValue="162397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Single" numFmtId="0">
      <sharedItems containsSemiMixedTypes="0" containsString="0" containsNumber="1" containsInteger="1" minValue="0" maxValue="1"/>
    </cacheField>
    <cacheField name="Together" numFmtId="0">
      <sharedItems containsSemiMixedTypes="0" containsString="0" containsNumber="1" containsInteger="1" minValue="0" maxValue="1"/>
    </cacheField>
    <cacheField name="Income_표준화" numFmtId="0">
      <sharedItems containsSemiMixedTypes="0" containsString="0" containsNumber="1" minValue="-2.3285148775370104" maxValue="5.1051788359815511"/>
    </cacheField>
    <cacheField name="코사인 유사도" numFmtId="0">
      <sharedItems containsSemiMixedTypes="0" containsString="0" containsNumber="1" minValue="-0.76091709468357704" maxValue="0.99999822395693927" count="1998">
        <n v="0.96706085365850003"/>
        <n v="0.18785065879535501"/>
        <n v="-0.13018169205716737"/>
        <n v="-0.54478673376504805"/>
        <n v="0.60236160276595674"/>
        <n v="0.25282262221677237"/>
        <n v="-0.15302171836818607"/>
        <n v="-0.32813053476044352"/>
        <n v="0.69038884122520094"/>
        <n v="-0.24318450049269336"/>
        <n v="0.49311489828738247"/>
        <n v="-0.59403969424528735"/>
        <n v="0.50531296863173381"/>
        <n v="-0.123243349565284"/>
        <n v="-1.0104040046549086E-2"/>
        <n v="0.12329867821629986"/>
        <n v="-0.24733005679883205"/>
        <n v="-0.20550731091325017"/>
        <n v="-0.29493946850282166"/>
        <n v="-0.41815302144938865"/>
        <n v="-0.12689220386571301"/>
        <n v="-0.2243145809514844"/>
        <n v="0.36461485914086594"/>
        <n v="0.34620131827246525"/>
        <n v="0.32290452147791354"/>
        <n v="0.61522811979576286"/>
        <n v="-0.6622236337055144"/>
        <n v="0.97121754376902547"/>
        <n v="-0.22138694465984199"/>
        <n v="0.78394799316671271"/>
        <n v="0.37355485780341668"/>
        <n v="0.64287677750107886"/>
        <n v="0.17562343577851425"/>
        <n v="-0.43897370937422253"/>
        <n v="0.23266330842279773"/>
        <n v="-0.32934548494309468"/>
        <n v="-0.25099014378591422"/>
        <n v="0.67171391638875566"/>
        <n v="0.66490653040239767"/>
        <n v="-0.50677451659450068"/>
        <n v="0.42198416172241293"/>
        <n v="0.30432190013433513"/>
        <n v="-0.16144636853020541"/>
        <n v="0.24583226145027862"/>
        <n v="-0.63682376199921109"/>
        <n v="-5.2031189114461786E-2"/>
        <n v="0.61217048825634568"/>
        <n v="0.99999782563619033"/>
        <n v="0.59971893312722702"/>
        <n v="-1.7239641473275242E-2"/>
        <n v="-0.377080328751489"/>
        <n v="0.44452472257595843"/>
        <n v="-0.51569149378413037"/>
        <n v="0.81441662290464567"/>
        <n v="-0.23785713364341207"/>
        <n v="-0.14148132061209714"/>
        <n v="-0.24254113100381122"/>
        <n v="-2.6239805074163985E-2"/>
        <n v="-0.34580536257582728"/>
        <n v="-0.16983115281077282"/>
        <n v="0.97854276813139929"/>
        <n v="0.66529546186989208"/>
        <n v="-0.57114373827567821"/>
        <n v="0.65865652779309891"/>
        <n v="0.63057488867023681"/>
        <n v="0.58262960916379569"/>
        <n v="0.10992974192176044"/>
        <n v="0.30343720661029061"/>
        <n v="0.27674850581551275"/>
        <n v="0.52567445653492084"/>
        <n v="0.46757224973806621"/>
        <n v="-0.28664067654547515"/>
        <n v="0.28592849347935134"/>
        <n v="0.12298442533515841"/>
        <n v="-2.11888806601177E-2"/>
        <n v="6.6119093907592602E-2"/>
        <n v="0.62338758974924247"/>
        <n v="0.57857434376194261"/>
        <n v="0.31217196522929574"/>
        <n v="-0.50044276043335534"/>
        <n v="-0.2671851418793289"/>
        <n v="0.30651849831476136"/>
        <n v="0.19913313999807331"/>
        <n v="0.60292311421503975"/>
        <n v="7.6159201093743994E-2"/>
        <n v="0.12617716817495833"/>
        <n v="-0.67392019701526495"/>
        <n v="-0.33766366512100204"/>
        <n v="0.75481165921484827"/>
        <n v="0.51990537544204329"/>
        <n v="-0.45866329104289905"/>
        <n v="0.99791920487172403"/>
        <n v="0.91026896192274065"/>
        <n v="0.99997566295383322"/>
        <n v="0.99999436823172794"/>
        <n v="-9.7528348657675706E-2"/>
        <n v="-0.48437399438113893"/>
        <n v="0.98940213838246149"/>
        <n v="-0.3182605371876569"/>
        <n v="-7.0540829269063146E-2"/>
        <n v="0.44826391392128118"/>
        <n v="-6.6233092563047881E-3"/>
        <n v="-0.3355503743434019"/>
        <n v="0.9176184922377133"/>
        <n v="0.14085925324599749"/>
        <n v="0.66645484844310376"/>
        <n v="-0.15823277836335173"/>
        <n v="0.87092527602769954"/>
        <n v="0.26393892155328297"/>
        <n v="0.5219730030330072"/>
        <n v="0.72082474491242798"/>
        <n v="0.17864640889808214"/>
        <n v="-0.19316977509155045"/>
        <n v="0.64195345114481872"/>
        <n v="0.34436024703475498"/>
        <n v="-0.47394763941557744"/>
        <n v="-0.26416957780214634"/>
        <n v="0.35731252652586187"/>
        <n v="-0.18775722767153732"/>
        <n v="0.75327127969630081"/>
        <n v="-0.69380700058487643"/>
        <n v="-8.969063859196888E-2"/>
        <n v="0.43298822940617548"/>
        <n v="0.53076328314619281"/>
        <n v="4.6059303834656884E-4"/>
        <n v="-0.37532610179705639"/>
        <n v="-0.53101394153318571"/>
        <n v="-5.0877829991921629E-4"/>
        <n v="4.2528195031092701E-3"/>
        <n v="-1.2701151911759627E-2"/>
        <n v="0.98685825638380853"/>
        <n v="0.80195107391481013"/>
        <n v="-0.11733567186485769"/>
        <n v="-1.4086267185056298E-2"/>
        <n v="0.49373092829434978"/>
        <n v="0.73314843169799304"/>
        <n v="-0.19291011469846459"/>
        <n v="0.99836895949826754"/>
        <n v="-0.20695383188345851"/>
        <n v="0.12204968166069474"/>
        <n v="0.22179795102733582"/>
        <n v="0.82081837477533615"/>
        <n v="0.4527455516557472"/>
        <n v="-0.19808061747790204"/>
        <n v="-0.31363958155961691"/>
        <n v="0.21222841324015207"/>
        <n v="-0.56595809279020137"/>
        <n v="0.15364038206485733"/>
        <n v="6.5408622406860198E-2"/>
        <n v="0.15566411871599828"/>
        <n v="0.80672827850690987"/>
        <n v="0.38176223279197913"/>
        <n v="0.73179058494982296"/>
        <n v="0.59003659581553547"/>
        <n v="0.70132722996105445"/>
        <n v="2.1311171453054154E-2"/>
        <n v="0.38347784410184266"/>
        <n v="0.21394028745595986"/>
        <n v="0.68317762045528063"/>
        <n v="0.5022552135470052"/>
        <n v="0.42894810309174664"/>
        <n v="0.43203071843546659"/>
        <n v="0.19418743049924564"/>
        <n v="0.54029216531288404"/>
        <n v="0.20972029069345244"/>
        <n v="-0.15365538185617825"/>
        <n v="0.40433442905576267"/>
        <n v="-0.27606540851590411"/>
        <n v="0.65219149744355309"/>
        <n v="-0.58213951772039041"/>
        <n v="0.23201096832716636"/>
        <n v="-0.22192340868175892"/>
        <n v="-0.12237679486920296"/>
        <n v="7.1137140608643293E-3"/>
        <n v="5.8716617873687316E-2"/>
        <n v="0.13480714104955471"/>
        <n v="-0.31124554700441293"/>
        <n v="0.50353887223233462"/>
        <n v="-2.6735763367142673E-2"/>
        <n v="-0.27053554233872129"/>
        <n v="-0.6685325538934721"/>
        <n v="-0.67139920341975712"/>
        <n v="0.21382818036788812"/>
        <n v="0.81158505857321561"/>
        <n v="9.6281073023681524E-2"/>
        <n v="0.18683169688026652"/>
        <n v="0.18832039358412833"/>
        <n v="-0.27411467826931152"/>
        <n v="4.8472961670870118E-2"/>
        <n v="0.26486909405041015"/>
        <n v="-0.43398538258555902"/>
        <n v="6.6378649909661469E-2"/>
        <n v="0.99904981305508855"/>
        <n v="0.69874809490691425"/>
        <n v="0.70741729622034177"/>
        <n v="0.27394286961611336"/>
        <n v="0.14797101200088619"/>
        <n v="0.25203748799428788"/>
        <n v="-0.41151384600950719"/>
        <n v="0.99752147115351564"/>
        <n v="0.67784151717440766"/>
        <n v="-0.24163181869775271"/>
        <n v="0.99970838640411308"/>
        <n v="0.77101147348870125"/>
        <n v="0.3979949787019606"/>
        <n v="-4.2628299402602474E-2"/>
        <n v="-0.23467835682591984"/>
        <n v="0.51856785147204154"/>
        <n v="0.34884428904955261"/>
        <n v="0.12855540345346103"/>
        <n v="0.66099840198855875"/>
        <n v="0.42233032369598478"/>
        <n v="-0.2870879906935615"/>
        <n v="0.72243716180871975"/>
        <n v="0.78413455614781913"/>
        <n v="0.5422596281900488"/>
        <n v="-0.28822616627992231"/>
        <n v="0.61325307883225699"/>
        <n v="5.8980516328427789E-2"/>
        <n v="0.862282827945417"/>
        <n v="-0.20806370919806649"/>
        <n v="0.36655085092561035"/>
        <n v="0.99966315951098417"/>
        <n v="1.3869643332496018E-2"/>
        <n v="0.6655298412505618"/>
        <n v="0.9805266083732308"/>
        <n v="0.49176551725948198"/>
        <n v="-0.29710294349153216"/>
        <n v="0.33742601304564934"/>
        <n v="0.99997768854511038"/>
        <n v="-8.5692961488598091E-2"/>
        <n v="-0.37121128136588616"/>
        <n v="-0.34936556267678698"/>
        <n v="-2.9358578262160102E-2"/>
        <n v="0.97444486995766277"/>
        <n v="-0.20836672930002842"/>
        <n v="0.99458018009750881"/>
        <n v="0.99432485099059742"/>
        <n v="-3.6038322118855902E-2"/>
        <n v="-0.23174996343839743"/>
        <n v="0.26911053671593721"/>
        <n v="-2.0797004129250823E-2"/>
        <n v="0.28361317980711315"/>
        <n v="0.72774465041796133"/>
        <n v="0.41758064705922815"/>
        <n v="0.96352055109080648"/>
        <n v="0.99812996047842695"/>
        <n v="0.96054842556457953"/>
        <n v="-0.38886930556465699"/>
        <n v="0.297208946443551"/>
        <n v="-0.35212985464699387"/>
        <n v="8.6039531202088598E-2"/>
        <n v="0.99588270577248283"/>
        <n v="-0.20640267468366177"/>
        <n v="-0.25914852483291101"/>
        <n v="-0.23447170528028172"/>
        <n v="3.5948097218988721E-2"/>
        <n v="0.54567150981065804"/>
        <n v="-0.38905486813449314"/>
        <n v="0.99412675060171674"/>
        <n v="0.46047345717317895"/>
        <n v="0.22297535514176903"/>
        <n v="0.56220332879165469"/>
        <n v="0.53770507231620368"/>
        <n v="0.99977892643363664"/>
        <n v="-0.56470438906004128"/>
        <n v="0.65452097721787383"/>
        <n v="-0.19749188289636538"/>
        <n v="0.34913480568492716"/>
        <n v="0.18425941539924057"/>
        <n v="-0.33548610914623861"/>
        <n v="-0.36063449824418004"/>
        <n v="-9.7084824055133107E-2"/>
        <n v="0.97836972150596591"/>
        <n v="0.93192549891813903"/>
        <n v="-4.9169540117224249E-2"/>
        <n v="-4.055071085781424E-2"/>
        <n v="2.5294943946584655E-2"/>
        <n v="-0.32008678321772616"/>
        <n v="8.2834388161934752E-2"/>
        <n v="0.67615731816022329"/>
        <n v="-6.7781207216763215E-2"/>
        <n v="0.57789518604061807"/>
        <n v="0.70101272877067666"/>
        <n v="-5.7073811145174166E-2"/>
        <n v="0.2026892422493525"/>
        <n v="0.21985754395120669"/>
        <n v="-0.31136228766221491"/>
        <n v="0.74899131863346391"/>
        <n v="-0.3104147769835624"/>
        <n v="-0.15004516918882807"/>
        <n v="-0.11362646692699613"/>
        <n v="0.4930649579540145"/>
        <n v="0.97050819097027918"/>
        <n v="-0.11006855403813491"/>
        <n v="0.92150501823112529"/>
        <n v="0.88819348993933234"/>
        <n v="-0.21166220285390477"/>
        <n v="0.99997683045418628"/>
        <n v="0.50421555510072757"/>
        <n v="-7.6025063181714037E-2"/>
        <n v="-0.47248613026753039"/>
        <n v="0.537655783097715"/>
        <n v="-0.28054155296813205"/>
        <n v="0.47002029231288306"/>
        <n v="0.669125283829058"/>
        <n v="6.5274138645332491E-2"/>
        <n v="0.66660699771644782"/>
        <n v="2.6775519237976293E-2"/>
        <n v="0.9998019673678703"/>
        <n v="0.75729790769079341"/>
        <n v="0.99605048288352094"/>
        <n v="-5.1239426645550805E-4"/>
        <n v="0.10278519507224156"/>
        <n v="0.99632088348399983"/>
        <n v="0.30426585281079027"/>
        <n v="0.26579589498624429"/>
        <n v="2.8835130050380745E-2"/>
        <n v="0.70154299780332463"/>
        <n v="0.99668741882130096"/>
        <n v="-0.32883874670195168"/>
        <n v="0.62901274096677906"/>
        <n v="0.9723648623195672"/>
        <n v="0.25208432090784633"/>
        <n v="0.90949975362380253"/>
        <n v="0.26284693046232727"/>
        <n v="-0.24845831852311973"/>
        <n v="0.99946661749963706"/>
        <n v="-7.2134337566118104E-2"/>
        <n v="-7.8985105005161288E-2"/>
        <n v="0.20086048982962265"/>
        <n v="0.69850875755952568"/>
        <n v="0.1463227358849758"/>
        <n v="0.87383432374910042"/>
        <n v="-0.48215418315291708"/>
        <n v="-0.23809764561099642"/>
        <n v="-0.30936704287488442"/>
        <n v="-0.66779354227214582"/>
        <n v="0.71102131717452255"/>
        <n v="5.0151120157604416E-2"/>
        <n v="0.69866549480343265"/>
        <n v="0.52401156648960556"/>
        <n v="-0.5650391160028585"/>
        <n v="0.69670648007082325"/>
        <n v="0.20559828196868812"/>
        <n v="0.99876568006625865"/>
        <n v="-0.42198528702210025"/>
        <n v="0.99696877172524923"/>
        <n v="-0.45895298963629277"/>
        <n v="-0.280152610958742"/>
        <n v="0.68442529033271071"/>
        <n v="-0.16835478943684792"/>
        <n v="0.69135123517969932"/>
        <n v="7.8271688423016003E-2"/>
        <n v="-0.32129703886801902"/>
        <n v="-0.39361686511724181"/>
        <n v="-0.3102995478809647"/>
        <n v="-0.10786559542463972"/>
        <n v="0.98799858417836917"/>
        <n v="0.42178885709298425"/>
        <n v="-0.38727117280707862"/>
        <n v="-0.32759689283648141"/>
        <n v="0.35609619913520002"/>
        <n v="9.8423807109556241E-2"/>
        <n v="0.64396752377542377"/>
        <n v="0.28183662509877577"/>
        <n v="0.93677738833756752"/>
        <n v="0.99662940222489371"/>
        <n v="0.22045126838116721"/>
        <n v="6.1087989365249319E-2"/>
        <n v="0.33549331064980109"/>
        <n v="0.75342714181772241"/>
        <n v="-0.12678785872119436"/>
        <n v="-0.24800082628149939"/>
        <n v="0.77815963054230086"/>
        <n v="-8.857207373260309E-2"/>
        <n v="0.47421880335158639"/>
        <n v="0.99934903439944289"/>
        <n v="0.99995904288356896"/>
        <n v="-0.169028224658372"/>
        <n v="-7.8762964826545462E-2"/>
        <n v="-0.58962671109488518"/>
        <n v="0.37837650775552456"/>
        <n v="0.19799643156335617"/>
        <n v="0.60458926187749007"/>
        <n v="0.56109055944394226"/>
        <n v="0.56103022661150159"/>
        <n v="0.4631563054176433"/>
        <n v="-3.9735615389796877E-2"/>
        <n v="0.99422380588900228"/>
        <n v="0.62226162231181525"/>
        <n v="0.54494901800974849"/>
        <n v="0.36027172173734201"/>
        <n v="3.470885094962322E-2"/>
        <n v="0.43165105026826106"/>
        <n v="0.97608379349657448"/>
        <n v="0.99895862825016213"/>
        <n v="0.99991418016276123"/>
        <n v="-6.155610307113716E-2"/>
        <n v="-0.37152228679296984"/>
        <n v="0.74581286247271017"/>
        <n v="0.67745494006351958"/>
        <n v="0.28032094211840031"/>
        <n v="0.65051985138503443"/>
        <n v="0.37496663126110952"/>
        <n v="0.13192268486865649"/>
        <n v="0.27593362404560962"/>
        <n v="4.4449513723727956E-2"/>
        <n v="0.99208647056082166"/>
        <n v="0.5693358853010726"/>
        <n v="-0.41508783708509572"/>
        <n v="-0.25840566269608667"/>
        <n v="-0.20293798082003225"/>
        <n v="0.5220211923406699"/>
        <n v="-0.11561266911394526"/>
        <n v="-0.30280313639460532"/>
        <n v="-0.12493240363836879"/>
        <n v="0.85212056112162315"/>
        <n v="0.96477637997965893"/>
        <n v="0.99968661557372662"/>
        <n v="9.510656908484004E-2"/>
        <n v="-2.941951955565496E-3"/>
        <n v="0.30522348337823757"/>
        <n v="0.67585459031208794"/>
        <n v="-0.27378161974902987"/>
        <n v="0.13411482595366125"/>
        <n v="0.95646412574957618"/>
        <n v="-0.18912979621686304"/>
        <n v="-0.10435291307749947"/>
        <n v="-0.23045948386662193"/>
        <n v="0.20389841431728592"/>
        <n v="0.15700236634359202"/>
        <n v="-0.42444565117734012"/>
        <n v="-0.42641327278337826"/>
        <n v="-1.9180546221609352E-2"/>
        <n v="-2.8122024537795724E-2"/>
        <n v="-0.57739541171498754"/>
        <n v="0.64607026967563597"/>
        <n v="-1.4400859091395913E-3"/>
        <n v="0.70925697198602988"/>
        <n v="0.24841575370223526"/>
        <n v="0.16829093043908785"/>
        <n v="0.25658480946535217"/>
        <n v="0.83100587466237741"/>
        <n v="-0.48719466117072413"/>
        <n v="0.48209794257625832"/>
        <n v="-7.5511424714825165E-2"/>
        <n v="-0.10365042229062987"/>
        <n v="0.51584611386134283"/>
        <n v="0.13713349655717316"/>
        <n v="0.35222382387865153"/>
        <n v="0.46343379451879257"/>
        <n v="0.95301056581761612"/>
        <n v="0.46132110026960166"/>
        <n v="0.66880356649837314"/>
        <n v="0.64412285801490399"/>
        <n v="0.46191085007315863"/>
        <n v="0.64430991924748415"/>
        <n v="-0.19772132041851034"/>
        <n v="0.45364190940962401"/>
        <n v="-0.3961243862191911"/>
        <n v="-0.19267111112864474"/>
        <n v="-0.15247598240346835"/>
        <n v="-5.6676754990612824E-2"/>
        <n v="0.64867057265590489"/>
        <n v="7.0903276992932071E-2"/>
        <n v="-0.14738273954987538"/>
        <n v="-2.0632733778069207E-2"/>
        <n v="0.84483916972260031"/>
        <n v="-0.2454102140359711"/>
        <n v="-0.40016406167091689"/>
        <n v="0.61881815917488259"/>
        <n v="0.87186896567469008"/>
        <n v="0.50183108347058791"/>
        <n v="0.20603118386186328"/>
        <n v="-0.36660581791781216"/>
        <n v="-5.3338916583245993E-2"/>
        <n v="3.1847571917122112E-2"/>
        <n v="0.5826158582522849"/>
        <n v="7.0890971262289907E-3"/>
        <n v="0.88794187663390312"/>
        <n v="-0.26757054503297245"/>
        <n v="0.14595824639544219"/>
        <n v="-0.45624983427134191"/>
        <n v="-0.30031784865809641"/>
        <n v="5.4068645902610984E-2"/>
        <n v="-0.49105237366848226"/>
        <n v="-0.23636776778782886"/>
        <n v="0.61865545508119046"/>
        <n v="0.53985803590400383"/>
        <n v="-0.40695888053197987"/>
        <n v="0.51220006516541416"/>
        <n v="0.63302172637942999"/>
        <n v="0.77447056411354032"/>
        <n v="-0.16721755913793768"/>
        <n v="-0.52800797585272075"/>
        <n v="0.51486355621170343"/>
        <n v="-0.29367476092580119"/>
        <n v="0.99977631972050718"/>
        <n v="0.98971404536897345"/>
        <n v="0.45323953918241833"/>
        <n v="-6.6598562749507456E-2"/>
        <n v="-0.24460458141605551"/>
        <n v="0.97269912551897975"/>
        <n v="0.28896467522946628"/>
        <n v="-0.62682980051348691"/>
        <n v="-0.18244005929680271"/>
        <n v="-0.23747948925149862"/>
        <n v="-0.55091084740605689"/>
        <n v="0.8246179916596752"/>
        <n v="0.59382381393954309"/>
        <n v="0.49925582035787136"/>
        <n v="0.23055434577312761"/>
        <n v="-0.41402045390115177"/>
        <n v="0.91158616014893423"/>
        <n v="0.25677962457624132"/>
        <n v="-0.33925505679729623"/>
        <n v="0.13562682722680891"/>
        <n v="-0.13452083565992431"/>
        <n v="-0.15217878576331426"/>
        <n v="0.78300091196167421"/>
        <n v="-0.42829954156427336"/>
        <n v="-0.38242836529749252"/>
        <n v="0.73405850434503073"/>
        <n v="0.65779198766578628"/>
        <n v="0.80307658686660965"/>
        <n v="-0.36878127309096331"/>
        <n v="0.93801544136364967"/>
        <n v="0.56258000111097517"/>
        <n v="0.45995159253826773"/>
        <n v="-0.31201392609922052"/>
        <n v="0.7857497112743993"/>
        <n v="0.98241891749665833"/>
        <n v="0.99915477430045785"/>
        <n v="-6.9195846741648484E-2"/>
        <n v="-9.7833189124012301E-2"/>
        <n v="-0.20297889825397047"/>
        <n v="0.69142436301083254"/>
        <n v="0.84098941839190888"/>
        <n v="0.1521153186856172"/>
        <n v="-7.8836692917109742E-3"/>
        <n v="-0.55921416244379918"/>
        <n v="-0.4666953067974573"/>
        <n v="0.3146190644874855"/>
        <n v="-0.39648608674181124"/>
        <n v="0.93228820005508983"/>
        <n v="0.18752842164684141"/>
        <n v="0.72681011053840772"/>
        <n v="0.38095140049289095"/>
        <n v="0.4871230397095429"/>
        <n v="0.38519936160381674"/>
        <n v="0.57489213398635386"/>
        <n v="-5.6142516179894471E-2"/>
        <n v="0.83897768973963005"/>
        <n v="-0.44091844785631173"/>
        <n v="1.5088265443557701E-2"/>
        <n v="0.49784624818495771"/>
        <n v="-0.68542309943602664"/>
        <n v="0.49341821465108049"/>
        <n v="0.55923902823903471"/>
        <n v="-0.27324327530539688"/>
        <n v="0.38957645232146115"/>
        <n v="0.99729994258019161"/>
        <n v="-0.16337334978778681"/>
        <n v="0.18755104835372396"/>
        <n v="0.27087512196200531"/>
        <n v="-0.37996415614673679"/>
        <n v="-0.13832764500252842"/>
        <n v="0.11986840932537352"/>
        <n v="0.98882909379498274"/>
        <n v="-0.26337424417886252"/>
        <n v="-0.11790824597985544"/>
        <n v="0.87909823067275294"/>
        <n v="-0.62606321930733733"/>
        <n v="-0.12797650025193832"/>
        <n v="0.92780437247260772"/>
        <n v="0.68263741070339179"/>
        <n v="-0.4699249218889926"/>
        <n v="6.840708066349635E-3"/>
        <n v="0.55650158117709247"/>
        <n v="0.99827311280304432"/>
        <n v="0.74999700719624074"/>
        <n v="-5.649228359843822E-2"/>
        <n v="-0.25900778100312905"/>
        <n v="3.8820370835085383E-2"/>
        <n v="0.48559850802899041"/>
        <n v="0.3703912804118365"/>
        <n v="0.29462640624342956"/>
        <n v="0.63122746277016828"/>
        <n v="-0.39453130859112234"/>
        <n v="0.96495818743261563"/>
        <n v="0.81116083156244023"/>
        <n v="0.60235131450123647"/>
        <n v="9.1400809654071991E-2"/>
        <n v="0.18352453137912478"/>
        <n v="-0.16871068085451876"/>
        <n v="-0.33356519951085345"/>
        <n v="0.67399098951179792"/>
        <n v="0.77688143461510828"/>
        <n v="-0.28775166733191043"/>
        <n v="2.7754598181482203E-2"/>
        <n v="-0.1613010240282855"/>
        <n v="0.19423635114136692"/>
        <n v="0.72515957060352232"/>
        <n v="0.59151332599129547"/>
        <n v="-0.20605126018558134"/>
        <n v="-0.17315462431134981"/>
        <n v="-0.11665663236204118"/>
        <n v="0.94415480429073562"/>
        <n v="0.88688624669403626"/>
        <n v="0.66946175959321774"/>
        <n v="-0.11400117500325628"/>
        <n v="0.55330476220957592"/>
        <n v="0.83334407491904361"/>
        <n v="0.54148295458728746"/>
        <n v="6.2827314206715015E-2"/>
        <n v="0.1232626629622053"/>
        <n v="1.3386224599875032E-2"/>
        <n v="0.64749597190289332"/>
        <n v="0.77181389166930137"/>
        <n v="0.49714584309847004"/>
        <n v="-5.2733299716207965E-2"/>
        <n v="0.53038227193092324"/>
        <n v="-0.36230204767488894"/>
        <n v="-2.7115373679593883E-2"/>
        <n v="-7.0884877423037312E-2"/>
        <n v="0.25864031706641338"/>
        <n v="0.77235547713863084"/>
        <n v="-0.52945312449728699"/>
        <n v="0.42099828222619246"/>
        <n v="-3.4927308512713327E-2"/>
        <n v="-2.5987373035212466E-2"/>
        <n v="0.32667837212026246"/>
        <n v="-0.48803870020355206"/>
        <n v="0.99214828738723981"/>
        <n v="0.71022644841506444"/>
        <n v="0.11806620126118174"/>
        <n v="8.689236570228609E-2"/>
        <n v="0.37361574009779469"/>
        <n v="-7.4841721247364157E-2"/>
        <n v="0.37144176368839116"/>
        <n v="0.74836696338488684"/>
        <n v="0.84461929359932431"/>
        <n v="-0.16125296956276464"/>
        <n v="-0.38308961122946505"/>
        <n v="0.7254751086052269"/>
        <n v="0.29789154906937021"/>
        <n v="0.82326146121744581"/>
        <n v="0.42441136207708258"/>
        <n v="0.5880456431653498"/>
        <n v="0.94921423381681169"/>
        <n v="0.97700193334727214"/>
        <n v="0.66247221889917984"/>
        <n v="-0.39697196632431558"/>
        <n v="0.42353410409969477"/>
        <n v="0.30791328974330001"/>
        <n v="0.7518893230194873"/>
        <n v="-0.3518454353801993"/>
        <n v="0.49948847920118583"/>
        <n v="-0.70594669002326293"/>
        <n v="0.4060230451935114"/>
        <n v="0.49692690376512033"/>
        <n v="0.48466041062301496"/>
        <n v="0.67494896810166238"/>
        <n v="0.51677043543199708"/>
        <n v="0.26329265609928204"/>
        <n v="-0.23677903369874043"/>
        <n v="-0.24769011050987461"/>
        <n v="0.72482657412265106"/>
        <n v="0.81477050915966054"/>
        <n v="-0.30902096447887151"/>
        <n v="1.6036941864610403E-2"/>
        <n v="2.1122423245466256E-2"/>
        <n v="0.45554301952506782"/>
        <n v="-0.32927636243216024"/>
        <n v="-0.14159921270777384"/>
        <n v="9.1585877164257271E-2"/>
        <n v="0.59261922735106354"/>
        <n v="-0.3725273794783166"/>
        <n v="0.13744629124597671"/>
        <n v="-7.8138005395678542E-2"/>
        <n v="-9.1018461335585985E-2"/>
        <n v="0.36845305161936465"/>
        <n v="0.83238953306817209"/>
        <n v="0.64683130008141487"/>
        <n v="0.6648994858748235"/>
        <n v="0.37881090487341884"/>
        <n v="0.70596858944052665"/>
        <n v="-0.30267891430342631"/>
        <n v="-0.63857546117342323"/>
        <n v="-0.33457436920456485"/>
        <n v="1.4627908186853066E-2"/>
        <n v="-0.40141372483297461"/>
        <n v="0.87781932971040322"/>
        <n v="-0.52232255023805618"/>
        <n v="-0.32222963534951338"/>
        <n v="0.6603433778630623"/>
        <n v="-0.24696970504920449"/>
        <n v="0.99888793398359932"/>
        <n v="8.5746305273548137E-2"/>
        <n v="0.1761826210234298"/>
        <n v="0.9981478087956599"/>
        <n v="-0.41137346038491346"/>
        <n v="6.220620437951447E-2"/>
        <n v="0.99624115115025369"/>
        <n v="-0.50353071445522579"/>
        <n v="-0.31072789565532299"/>
        <n v="0.99819251322325131"/>
        <n v="1.0535839725128565E-2"/>
        <n v="0.61665753117789224"/>
        <n v="-0.16380251964424158"/>
        <n v="0.69154279879183478"/>
        <n v="-7.2806621578817551E-2"/>
        <n v="0.41503890586099451"/>
        <n v="-0.27829065923159202"/>
        <n v="0.98303425255817967"/>
        <n v="0.4591581460156452"/>
        <n v="0.52663118421127553"/>
        <n v="-0.54685571123254773"/>
        <n v="0.61938715752205475"/>
        <n v="0.34118823132622605"/>
        <n v="-4.1513103460951307E-2"/>
        <n v="7.8416366259431755E-2"/>
        <n v="0.72316954030518321"/>
        <n v="0.5902943233983643"/>
        <n v="0.77440085664471714"/>
        <n v="-0.25862523429273654"/>
        <n v="0.3715103280177488"/>
        <n v="0.4126984398205617"/>
        <n v="-0.58214137045543768"/>
        <n v="0.13272463829489789"/>
        <n v="-0.38753093772872627"/>
        <n v="-0.33881710274498339"/>
        <n v="0.65937398161844141"/>
        <n v="0.79565642521177005"/>
        <n v="-0.35979189219095065"/>
        <n v="0.88879830695744866"/>
        <n v="-0.4565488988738623"/>
        <n v="-8.9436156290314373E-2"/>
        <n v="-0.52195514896871043"/>
        <n v="-0.21400035165645925"/>
        <n v="0.69924032997927088"/>
        <n v="0.68470965713412946"/>
        <n v="0.31950873980667921"/>
        <n v="0.56622833098238212"/>
        <n v="-0.6107090463895557"/>
        <n v="0.15579651690466828"/>
        <n v="0.17247641948996548"/>
        <n v="0.38518056687761298"/>
        <n v="-0.75292367896015622"/>
        <n v="0.99661746757190794"/>
        <n v="0.4421743124284826"/>
        <n v="0.14525881853589551"/>
        <n v="0.282208674898972"/>
        <n v="0.72269407489676152"/>
        <n v="0.40565955246288932"/>
        <n v="0.83095228458772896"/>
        <n v="0.63740545501161971"/>
        <n v="-0.28360489977610948"/>
        <n v="-0.22807700368387696"/>
        <n v="0.6933191298973338"/>
        <n v="0.46362921803843499"/>
        <n v="-0.61017034348247867"/>
        <n v="0.32514417541032381"/>
        <n v="0.32718173926088673"/>
        <n v="-0.58756148925758411"/>
        <n v="0.73677730438481326"/>
        <n v="0.88396918440164285"/>
        <n v="0.611603319742827"/>
        <n v="-0.39029764626516344"/>
        <n v="-0.13330845515277667"/>
        <n v="0.34991340405285165"/>
        <n v="0.49872218327219048"/>
        <n v="-6.7446387660954916E-3"/>
        <n v="-0.22822158080705213"/>
        <n v="-0.14989517041169459"/>
        <n v="0.15759634450872864"/>
        <n v="0.99692523483881335"/>
        <n v="-6.8660069135061744E-2"/>
        <n v="0.99701193846929181"/>
        <n v="0.83638672334208564"/>
        <n v="0.50072211621052642"/>
        <n v="-0.68288430434933434"/>
        <n v="0.96511845243141092"/>
        <n v="0.51879227293361052"/>
        <n v="0.97127206701754876"/>
        <n v="2.3706128013444867E-2"/>
        <n v="0.99071825221604204"/>
        <n v="-0.30778294025534181"/>
        <n v="0.48023921278748438"/>
        <n v="-0.31031731871261814"/>
        <n v="0.39907732656562772"/>
        <n v="-0.36859940745042025"/>
        <n v="-0.1472349700837291"/>
        <n v="0.17659034580995095"/>
        <n v="0.15720751441692768"/>
        <n v="0.99906271964705351"/>
        <n v="0.72436132987948199"/>
        <n v="0.5895818487354787"/>
        <n v="-8.935371593881937E-2"/>
        <n v="-0.35956208771088949"/>
        <n v="-0.74800696058182503"/>
        <n v="0.75159059900168956"/>
        <n v="0.18256480676252537"/>
        <n v="-0.46282185206904564"/>
        <n v="0.42581695174009876"/>
        <n v="3.1175792070911333E-2"/>
        <n v="0.70532594595304099"/>
        <n v="-0.26245066625506575"/>
        <n v="0.14884958594208403"/>
        <n v="-0.15401892816522753"/>
        <n v="-0.27985308315935731"/>
        <n v="-0.32005959514467169"/>
        <n v="0.77281335920532424"/>
        <n v="-0.4641336070910736"/>
        <n v="0.99858311208934269"/>
        <n v="0.21200817610285974"/>
        <n v="0.99478633842974018"/>
        <n v="0.12812276858487753"/>
        <n v="-0.29866337826324707"/>
        <n v="-0.33908889146479648"/>
        <n v="0.9996991846814991"/>
        <n v="-0.10317723703983449"/>
        <n v="-0.32400604019224988"/>
        <n v="0.72506287098518041"/>
        <n v="-0.30469576963057798"/>
        <n v="0.78248099255094705"/>
        <n v="0.27975286925592896"/>
        <n v="0.43706741742540184"/>
        <n v="9.3494915179515747E-2"/>
        <n v="-0.55999093710131553"/>
        <n v="0.41942397743205007"/>
        <n v="0.19769344816891402"/>
        <n v="-0.3844093103807546"/>
        <n v="0.81689868582501945"/>
        <n v="0.99896390059957985"/>
        <n v="0.94933302805437703"/>
        <n v="0.4407995960738143"/>
        <n v="0.7260334686023987"/>
        <n v="-0.33146799380604314"/>
        <n v="0.71776196805746861"/>
        <n v="8.2410943233869535E-2"/>
        <n v="0.68073682463994445"/>
        <n v="-0.46036677239047763"/>
        <n v="0.58154224112257302"/>
        <n v="0.67234562677119358"/>
        <n v="-0.14750784513564033"/>
        <n v="-0.16272286050733581"/>
        <n v="-4.5150812695690101E-2"/>
        <n v="-0.48053382463903505"/>
        <n v="0.56197639969946178"/>
        <n v="-0.39106334509915042"/>
        <n v="0.9529154675336684"/>
        <n v="0.74942859172980147"/>
        <n v="0.55627206018965925"/>
        <n v="0.60111724762750929"/>
        <n v="0.56689723724824204"/>
        <n v="-0.30696225033675889"/>
        <n v="0.52689521565097652"/>
        <n v="0.56501903407709531"/>
        <n v="0.6043368929234334"/>
        <n v="0.87943877301062989"/>
        <n v="0.6404776085359255"/>
        <n v="3.7822226586732913E-2"/>
        <n v="0.99974970624241"/>
        <n v="-0.36689532314528889"/>
        <n v="-0.21551274495039138"/>
        <n v="-8.9545579727336774E-2"/>
        <n v="0.53407710746742409"/>
        <n v="0.25613555664461601"/>
        <n v="-0.29700158062041665"/>
        <n v="0.98960868495304233"/>
        <n v="-0.25683834658272403"/>
        <n v="0.99957875662150264"/>
        <n v="0.69940264969692323"/>
        <n v="0.96975508077106298"/>
        <n v="0.54024531105121176"/>
        <n v="0.97791531234388873"/>
        <n v="0.78152287217594052"/>
        <n v="0.59823391595302855"/>
        <n v="0.43031921696623399"/>
        <n v="-0.204251054966163"/>
        <n v="0.9959313148380663"/>
        <n v="0.11798554920722729"/>
        <n v="0.98753777925956487"/>
        <n v="-2.1856357498477582E-2"/>
        <n v="-0.26043923948490416"/>
        <n v="0.85888201216210103"/>
        <n v="0.33852977809865359"/>
        <n v="0.84299860280051042"/>
        <n v="0.55359761169017807"/>
        <n v="0.67577323232959741"/>
        <n v="0.99871414225227118"/>
        <n v="0.35994079059270873"/>
        <n v="-0.50520587104896197"/>
        <n v="0.34145550097317789"/>
        <n v="-0.40884960913454721"/>
        <n v="-0.37067052068501682"/>
        <n v="-0.13109469236335117"/>
        <n v="0.35693283876403303"/>
        <n v="0.69561321645465513"/>
        <n v="0.50504217318481082"/>
        <n v="-8.9085886131457834E-2"/>
        <n v="0.40046709001318881"/>
        <n v="6.3700589269906474E-2"/>
        <n v="0.96688025549215317"/>
        <n v="0.44855296354943069"/>
        <n v="0.60881288675261469"/>
        <n v="0.7120747075891255"/>
        <n v="0.99877531182326806"/>
        <n v="0.55660090735583101"/>
        <n v="0.16381413125412914"/>
        <n v="-6.5333482931873521E-2"/>
        <n v="-0.4247474386896688"/>
        <n v="-0.66999968520519992"/>
        <n v="7.9313996377705129E-2"/>
        <n v="0.55728175995007323"/>
        <n v="-0.21419405171235331"/>
        <n v="-0.28665215835573121"/>
        <n v="-0.15630588704446571"/>
        <n v="0.99969477155901976"/>
        <n v="-0.55775274361914506"/>
        <n v="-7.146144193798884E-2"/>
        <n v="2.8961157536440536E-2"/>
        <n v="-0.28681514815349735"/>
        <n v="2.8483210016788472E-2"/>
        <n v="7.3920627670153713E-2"/>
        <n v="0.50606230081338355"/>
        <n v="0.42783524017239477"/>
        <n v="-0.28745270839846365"/>
        <n v="0.92406520818430871"/>
        <n v="0.18933875352349544"/>
        <n v="1.064231840779856E-2"/>
        <n v="0.96397118384087788"/>
        <n v="6.0984996094735032E-2"/>
        <n v="0.71755251639289108"/>
        <n v="0.2369449643789987"/>
        <n v="-0.30862170231151226"/>
        <n v="0.98435619189268397"/>
        <n v="1.909982053783155E-2"/>
        <n v="0.42061205251430522"/>
        <n v="-5.9223492100860323E-2"/>
        <n v="0.7898258449721185"/>
        <n v="-0.35818305445560944"/>
        <n v="0.632153708317851"/>
        <n v="0.99055175412627239"/>
        <n v="-0.54880333081131949"/>
        <n v="-0.18803450514039308"/>
        <n v="-6.8110340333781313E-2"/>
        <n v="-9.5033080066399794E-2"/>
        <n v="-0.39762201280227877"/>
        <n v="0.99992230111288083"/>
        <n v="-0.24216765885793343"/>
        <n v="-0.26100038064975445"/>
        <n v="0.53981665705340753"/>
        <n v="-0.15632288368795225"/>
        <n v="0.62902840853448294"/>
        <n v="0.36767702297206667"/>
        <n v="-0.50187197929044658"/>
        <n v="0.99814047148667051"/>
        <n v="-0.57257890511618181"/>
        <n v="-0.19939354520722846"/>
        <n v="0.83293179281971907"/>
        <n v="0.53779442303840141"/>
        <n v="0.22847113507730887"/>
        <n v="0.16648400889180809"/>
        <n v="-1.3219647287294214E-2"/>
        <n v="-0.54303263129004664"/>
        <n v="0.70416631546417363"/>
        <n v="0.81239803267748145"/>
        <n v="-0.13664305615967406"/>
        <n v="0.92813597526986924"/>
        <n v="0.12247976260309185"/>
        <n v="-0.25226930261319097"/>
        <n v="0.99744255499208612"/>
        <n v="0.32991024490386983"/>
        <n v="-0.19487304485997126"/>
        <n v="0.67683000839656082"/>
        <n v="0.72338223833034154"/>
        <n v="-0.59760632535042568"/>
        <n v="-0.35086281406297865"/>
        <n v="0.64216570350529212"/>
        <n v="0.68965180063620601"/>
        <n v="-0.17081390439335215"/>
        <n v="0.55851657064241322"/>
        <n v="-3.8997572551448367E-2"/>
        <n v="-0.55598415799870216"/>
        <n v="-0.51626766229401311"/>
        <n v="0.98442750720595917"/>
        <n v="0.55824258873159227"/>
        <n v="0.98547098802976762"/>
        <n v="0.35263761154375356"/>
        <n v="-5.5550533414151851E-2"/>
        <n v="0.41776775868730037"/>
        <n v="0.22512286937845793"/>
        <n v="0.45154868965079736"/>
        <n v="0.14391761915838208"/>
        <n v="-0.128313882455934"/>
        <n v="0.83493967692612814"/>
        <n v="-5.1363434888451402E-2"/>
        <n v="2.7049833402416654E-2"/>
        <n v="-0.5609682171818986"/>
        <n v="0.37907996939369687"/>
        <n v="-0.14226479280221796"/>
        <n v="-0.42144991959204858"/>
        <n v="-0.15122531708638093"/>
        <n v="0.44400081896202676"/>
        <n v="0.99964535702948809"/>
        <n v="-0.20538628226398467"/>
        <n v="-0.37662043421399716"/>
        <n v="-5.8309469833287289E-2"/>
        <n v="-0.22164642619494671"/>
        <n v="8.7835315131169572E-2"/>
        <n v="-0.61338843845715529"/>
        <n v="0.74926968862795129"/>
        <n v="3.8202499980259055E-2"/>
        <n v="0.99575706820034671"/>
        <n v="0.99756959510367627"/>
        <n v="-0.47132853069633612"/>
        <n v="1.5953404294920936E-2"/>
        <n v="-0.3591860707092574"/>
        <n v="-0.1731867106054743"/>
        <n v="0.55391129555444008"/>
        <n v="-0.3273662031361162"/>
        <n v="0.98709325337146592"/>
        <n v="0.99975212857212137"/>
        <n v="0.90564337182858712"/>
        <n v="0.57926300608124603"/>
        <n v="-0.67235146753769703"/>
        <n v="-0.27481016382829909"/>
        <n v="0.72247521138011395"/>
        <n v="-0.10938721161646421"/>
        <n v="-0.58573253445695928"/>
        <n v="-0.49712454997610256"/>
        <n v="0.99245256846994179"/>
        <n v="0.19652024224326636"/>
        <n v="-0.56254787734404221"/>
        <n v="-0.57436905659798498"/>
        <n v="0.94740762184033278"/>
        <n v="0.4244608976962827"/>
        <n v="-0.19415846233103715"/>
        <n v="0.21606310594889219"/>
        <n v="0.37580408181829955"/>
        <n v="5.5523649790322184E-2"/>
        <n v="0.99681641429517798"/>
        <n v="0.20150311502963858"/>
        <n v="-0.12270077582128909"/>
        <n v="0.72641477163370272"/>
        <n v="-0.23479178155663119"/>
        <n v="0.26576781001651517"/>
        <n v="4.0410090181470099E-2"/>
        <n v="0.15195116658588401"/>
        <n v="0.495135097039057"/>
        <n v="0.67216853144440758"/>
        <n v="0.22428639926549498"/>
        <n v="-0.29169299670651522"/>
        <n v="0.27857363517613537"/>
        <n v="0.54273000155620565"/>
        <n v="0.37119950624500037"/>
        <n v="0.99518869387051923"/>
        <n v="0.9999965267053843"/>
        <n v="-7.3505287046735632E-2"/>
        <n v="0.81008606695953989"/>
        <n v="0.72378333270796336"/>
        <n v="0.5939063099792331"/>
        <n v="0.65008664547973372"/>
        <n v="0.16602839774764006"/>
        <n v="-0.58683007124579478"/>
        <n v="-2.0048568276017417E-3"/>
        <n v="0.56593527816269218"/>
        <n v="0.93172084732490568"/>
        <n v="-7.8667015613648722E-2"/>
        <n v="0.24955340686989946"/>
        <n v="-0.13253045338163447"/>
        <n v="0.34026638185233127"/>
        <n v="0.84346211383527425"/>
        <n v="-8.7253346704175463E-2"/>
        <n v="0.2818267130918149"/>
        <n v="-0.57812399363662625"/>
        <n v="0.64279996641932968"/>
        <n v="0.12342445616688083"/>
        <n v="-2.0973701805000675E-2"/>
        <n v="0.61081762369579051"/>
        <n v="-3.9132585230381989E-2"/>
        <n v="-4.1626343556873571E-2"/>
        <n v="0.30374182989288906"/>
        <n v="-0.16104938491626231"/>
        <n v="0.66915662424002353"/>
        <n v="-0.2448671920774696"/>
        <n v="7.9133982720875698E-2"/>
        <n v="0.99873443916875415"/>
        <n v="0.99999822395693927"/>
        <n v="0.31721819966009368"/>
        <n v="-0.45766418775645729"/>
        <n v="-0.2167225483823326"/>
        <n v="0.52388374376976621"/>
        <n v="-0.47359369349510044"/>
        <n v="0.58659185247519763"/>
        <n v="-0.46732842473128927"/>
        <n v="5.0745945371413699E-2"/>
        <n v="0.90878212901669386"/>
        <n v="0.33581338159963342"/>
        <n v="0.56052203001451928"/>
        <n v="0.22932206189682661"/>
        <n v="-0.14020513086476777"/>
        <n v="0.23831695973997177"/>
        <n v="0.99391607773488"/>
        <n v="-0.44136319796758822"/>
        <n v="-0.44949295450030852"/>
        <n v="-4.2317225160091329E-2"/>
        <n v="-0.33924446108948092"/>
        <n v="0.70348241330179806"/>
        <n v="0.8371382775328996"/>
        <n v="0.99451055704401914"/>
        <n v="-0.63989110177772124"/>
        <n v="0.31081174532527328"/>
        <n v="0.61077623453900809"/>
        <n v="-0.29848548444174489"/>
        <n v="0.41750788383683063"/>
        <n v="0.99907611929680218"/>
        <n v="0.27562528362856958"/>
        <n v="0.28918361716477242"/>
        <n v="-0.3375550212555587"/>
        <n v="-0.3073259545129744"/>
        <n v="0.22506346959732548"/>
        <n v="0.83793400459751344"/>
        <n v="-5.8149623127411371E-2"/>
        <n v="0.98070581554489245"/>
        <n v="-0.44136750001753616"/>
        <n v="-7.8894661261278878E-2"/>
        <n v="0.55892731417622088"/>
        <n v="7.3797856110014728E-2"/>
        <n v="-6.3451041060787758E-4"/>
        <n v="8.6945658606948459E-2"/>
        <n v="1.6705446417068337E-2"/>
        <n v="0.14098887626651163"/>
        <n v="-0.24434465790457721"/>
        <n v="0.9736904221077709"/>
        <n v="-0.10832136065274506"/>
        <n v="-0.32827413745518252"/>
        <n v="0.13641414958699255"/>
        <n v="0.16929330546893973"/>
        <n v="-7.9690921751889063E-2"/>
        <n v="-0.29720892456602316"/>
        <n v="-0.43533870122167112"/>
        <n v="-0.43314338284663317"/>
        <n v="0.54007645725346609"/>
        <n v="0.28817350191152807"/>
        <n v="-0.26237516818972983"/>
        <n v="0.5180593893234976"/>
        <n v="-7.3268010324132448E-3"/>
        <n v="0.99774873666363884"/>
        <n v="0.98095660520468519"/>
        <n v="0.52435463569349705"/>
        <n v="0.97135069309166711"/>
        <n v="0.41229988975352555"/>
        <n v="0.60698622136079161"/>
        <n v="0.99840281001563747"/>
        <n v="-3.0793616753868654E-2"/>
        <n v="0.16609003559926636"/>
        <n v="0.31157106700519221"/>
        <n v="-0.31366732438180583"/>
        <n v="0.6605046132588861"/>
        <n v="-6.919630629576691E-2"/>
        <n v="0.90741987330235763"/>
        <n v="-0.53940275486871647"/>
        <n v="-0.15033971283827774"/>
        <n v="-9.1948558165521985E-2"/>
        <n v="0.56613316962144056"/>
        <n v="-0.22460700742027528"/>
        <n v="0.94717263178991973"/>
        <n v="-0.45759562592334757"/>
        <n v="0.82189676492010921"/>
        <n v="-0.27934296005999143"/>
        <n v="0.98527000510982887"/>
        <n v="-0.44539288353223777"/>
        <n v="-7.8102921015049459E-4"/>
        <n v="0.16710195166014341"/>
        <n v="-0.11757969655820455"/>
        <n v="0.58310393303901897"/>
        <n v="-0.16550996479379435"/>
        <n v="0.70416591194638467"/>
        <n v="-0.563738239790888"/>
        <n v="0.57645868816364942"/>
        <n v="0.58854834370755027"/>
        <n v="0.72713050539662627"/>
        <n v="6.2111197879298877E-2"/>
        <n v="0.76774750125313884"/>
        <n v="0.22005176072244637"/>
        <n v="0.99970886234511391"/>
        <n v="0.54771812567923317"/>
        <n v="0.5648542848710717"/>
        <n v="-3.1395035882753122E-2"/>
        <n v="0.36393655198510572"/>
        <n v="0.99999586379185357"/>
        <n v="9.7634497415676147E-2"/>
        <n v="-6.3611246008087374E-2"/>
        <n v="0.47669245190990078"/>
        <n v="0.99968934701665735"/>
        <n v="0.4541749222134156"/>
        <n v="-0.24561988585238437"/>
        <n v="0.99528258175487283"/>
        <n v="-0.10093954612243525"/>
        <n v="0.68842503513970255"/>
        <n v="0.54408115679304569"/>
        <n v="0.91706757238750503"/>
        <n v="-0.15336495102911019"/>
        <n v="-0.48548518852035288"/>
        <n v="0.85021204888613944"/>
        <n v="-0.63269730858585649"/>
        <n v="0.33994691806630134"/>
        <n v="-0.38279713114640351"/>
        <n v="0.15020248896776603"/>
        <n v="0.18473912447596599"/>
        <n v="-0.1904156600742023"/>
        <n v="-1.2067492810084379E-2"/>
        <n v="0.1461391178090832"/>
        <n v="-9.8552762840706007E-2"/>
        <n v="0.2505033659954492"/>
        <n v="-0.10409590740208281"/>
        <n v="0.43660413079285726"/>
        <n v="0.32657495760577832"/>
        <n v="-0.34665343298441997"/>
        <n v="0.33336232444035696"/>
        <n v="0.99556778297984305"/>
        <n v="0.1894423867575504"/>
        <n v="0.99856870741233095"/>
        <n v="0.99832459646976668"/>
        <n v="0.9992974681568525"/>
        <n v="-9.7941287650331652E-2"/>
        <n v="0.62413993515088251"/>
        <n v="0.18176079931348285"/>
        <n v="-0.27096654685179"/>
        <n v="0.61448653390078545"/>
        <n v="0.93002080367051188"/>
        <n v="0.32061790262290452"/>
        <n v="-0.18753325052907741"/>
        <n v="0.27395533237602776"/>
        <n v="0.43406679926537933"/>
        <n v="-0.38078066283565282"/>
        <n v="3.4860521086910685E-2"/>
        <n v="0.3853364529984491"/>
        <n v="-0.32862704263273218"/>
        <n v="-0.47239607483115564"/>
        <n v="5.8924612405545466E-2"/>
        <n v="-0.35784341666382968"/>
        <n v="0.37689453263622846"/>
        <n v="0.99499570719275132"/>
        <n v="-0.34540681256677941"/>
        <n v="0.28084780889557526"/>
        <n v="0.87141650037860185"/>
        <n v="0.83063016211414631"/>
        <n v="0.68153050805829318"/>
        <n v="3.1100208125907226E-2"/>
        <n v="0.41662153059736629"/>
        <n v="0.13447811954484762"/>
        <n v="0.76219082737586519"/>
        <n v="-0.62666495051407312"/>
        <n v="0.18633266598399928"/>
        <n v="0.58062689728641648"/>
        <n v="2.0535386995384354E-2"/>
        <n v="-0.43040367846720762"/>
        <n v="0.46989917843836743"/>
        <n v="-0.35177891650738696"/>
        <n v="-0.36925823904189353"/>
        <n v="0.99371261764183749"/>
        <n v="0.39089414300104025"/>
        <n v="0.58906307265344882"/>
        <n v="-3.5065205175770095E-2"/>
        <n v="-0.66050324109456826"/>
        <n v="-0.12442600274897583"/>
        <n v="-0.54312707676310312"/>
        <n v="-0.33921746744279818"/>
        <n v="1.5598432921568796E-2"/>
        <n v="0.81621087896490851"/>
        <n v="9.5709677887079583E-2"/>
        <n v="0.21318221688164907"/>
        <n v="0.16655135440862159"/>
        <n v="0.7840906782715984"/>
        <n v="0.76624610920634562"/>
        <n v="-0.18033277901072822"/>
        <n v="0.50438512235181288"/>
        <n v="3.281387279466598E-2"/>
        <n v="-0.35539451117163584"/>
        <n v="0.55944938420959944"/>
        <n v="-0.21450669905734437"/>
        <n v="-0.30721545443568954"/>
        <n v="0.67166024634845067"/>
        <n v="0.98981752742470086"/>
        <n v="0.19961021114009039"/>
        <n v="8.5667574605175198E-2"/>
        <n v="0.61211966720662869"/>
        <n v="-0.30310659166622972"/>
        <n v="-0.49543346581547221"/>
        <n v="-0.76091709468357704"/>
        <n v="-0.73286667790612725"/>
        <n v="-3.053302064062775E-2"/>
        <n v="0.39793208576620931"/>
        <n v="0.69378267867724874"/>
        <n v="-0.13422875315569496"/>
        <n v="-0.62251081267029118"/>
        <n v="-0.43892409220504625"/>
        <n v="0.48547188908687861"/>
        <n v="0.24847040956297942"/>
        <n v="0.99866780317922843"/>
        <n v="0.69210260975620996"/>
        <n v="0.43101037521782126"/>
        <n v="-0.2318177823315149"/>
        <n v="0.15060678224949625"/>
        <n v="0.62565551034319811"/>
        <n v="0.99399822793104908"/>
        <n v="-8.2845221235355676E-2"/>
        <n v="-0.56878852828440252"/>
        <n v="0.68966905767250319"/>
        <n v="0.26807353946623358"/>
        <n v="-0.20270326173830958"/>
        <n v="-0.16206088243877109"/>
        <n v="0.63069042046297286"/>
        <n v="0.34741739861435339"/>
        <n v="0.9999679834230637"/>
        <n v="0.82021208449232597"/>
        <n v="0.98362261152920261"/>
        <n v="-0.29013108955207773"/>
        <n v="-0.23084084771361435"/>
        <n v="0.95760499489513817"/>
        <n v="0.44212798976405693"/>
        <n v="0.26853946404542717"/>
        <n v="-0.66418370442594266"/>
        <n v="0.24275964983230319"/>
        <n v="-0.12245678314104994"/>
        <n v="-9.157773097089153E-2"/>
        <n v="0.375032126202475"/>
        <n v="0.82631870768942361"/>
        <n v="-9.058405963804958E-2"/>
        <n v="0.71162757388811337"/>
        <n v="-0.23888275340678344"/>
        <n v="-8.2720395351208471E-3"/>
        <n v="-1.9934122450586712E-2"/>
        <n v="0.64040927383983248"/>
        <n v="0.61317073067167727"/>
        <n v="0.72622419450391695"/>
        <n v="0.29890315910560994"/>
        <n v="-0.32600408293574795"/>
        <n v="5.9873924970561439E-3"/>
        <n v="0.98992562135230855"/>
        <n v="-1.4752539560297945E-2"/>
        <n v="0.80303792815376085"/>
        <n v="0.50384939534588624"/>
        <n v="-0.30907372330819621"/>
        <n v="-0.19479515307915937"/>
        <n v="0.46605721036583003"/>
        <n v="-0.58172971842890653"/>
        <n v="0.81238902826129322"/>
        <n v="0.67890196303263672"/>
        <n v="-0.15597130318115737"/>
        <n v="-0.12671428717060843"/>
        <n v="0.70026141572306022"/>
        <n v="7.8961386375187265E-2"/>
        <n v="0.85901431611626333"/>
        <n v="0.75993216000774488"/>
        <n v="-0.24879957312099688"/>
        <n v="0.95386865495191875"/>
        <n v="-0.36366303003455336"/>
        <n v="-0.11117613507623274"/>
        <n v="0.54403895147745152"/>
        <n v="2.3093204366014624E-2"/>
        <n v="2.1586109566753167E-3"/>
        <n v="0.18395054464296956"/>
        <n v="0.99613035427586283"/>
        <n v="-0.37071470837380632"/>
        <n v="0.95610356936654883"/>
        <n v="0.17575895327154553"/>
        <n v="0.11039455406282746"/>
        <n v="0.53915534403361065"/>
        <n v="0.40404744827707229"/>
        <n v="-0.56411621665279565"/>
        <n v="0.60102462743331131"/>
        <n v="1.9000181796525222E-2"/>
        <n v="0.51987376696053555"/>
        <n v="-1.4227668791453553E-2"/>
        <n v="0.18804708693016384"/>
        <n v="0.55682811619595085"/>
        <n v="-0.439385561009625"/>
        <n v="0.48069492327547891"/>
        <n v="-1.1367599095787859E-2"/>
        <n v="-9.2747486655982037E-2"/>
        <n v="0.37763458969902985"/>
        <n v="0.11825440403979606"/>
        <n v="0.6111334700440243"/>
        <n v="7.7939205682230631E-2"/>
        <n v="8.8470776597196224E-2"/>
        <n v="0.99840569254109257"/>
        <n v="-8.0008630840465791E-2"/>
        <n v="0.46235166093932889"/>
        <n v="0.42669368268829977"/>
        <n v="-0.11155114773265133"/>
        <n v="0.13820752345315912"/>
        <n v="-0.52411417673074923"/>
        <n v="-0.1371735152113831"/>
        <n v="0.38093913315925049"/>
        <n v="0.9981509482187999"/>
        <n v="0.49409225434694254"/>
        <n v="-0.51298254476830329"/>
        <n v="0.43836200024863176"/>
        <n v="0.10142139740920707"/>
        <n v="0.6430687396731174"/>
        <n v="-0.38267407961288274"/>
        <n v="-5.0013286775742724E-2"/>
        <n v="-0.6684100385056374"/>
        <n v="0.30076839497780544"/>
        <n v="9.8704350269978661E-2"/>
        <n v="0.30554986331816403"/>
        <n v="-0.19731083635794794"/>
        <n v="0.5045742254854686"/>
        <n v="0.61268064346778384"/>
        <n v="0.14562368604119158"/>
        <n v="0.37348690527663697"/>
        <n v="-0.5627084293297494"/>
        <n v="0.16080487546611344"/>
        <n v="0.2573300859109095"/>
        <n v="0.34819312869758928"/>
        <n v="-0.46019556159478997"/>
        <n v="-0.20210805352447048"/>
        <n v="-0.63706419164450878"/>
        <n v="-3.2927630085558012E-3"/>
        <n v="0.33066466818726503"/>
        <n v="-0.20739553347567347"/>
        <n v="-0.63032848564386879"/>
        <n v="0.99492732484977298"/>
        <n v="0.14613173691464434"/>
        <n v="-0.26461480861072423"/>
        <n v="0.62003655345047592"/>
        <n v="0.31113775938703542"/>
        <n v="-0.58753183703238332"/>
        <n v="0.77052398594088545"/>
        <n v="0.38530919484991893"/>
        <n v="0.24948226179082289"/>
        <n v="0.35064906375296601"/>
        <n v="0.91996166308922933"/>
        <n v="0.99245297712605407"/>
        <n v="0.68473217466925085"/>
        <n v="0.64823417889418578"/>
        <n v="-0.29045737432280627"/>
        <n v="0.54116055770246385"/>
        <n v="3.1654611970648713E-2"/>
        <n v="-0.48460522004229262"/>
        <n v="-0.27516264083040698"/>
        <n v="-7.6584872116676654E-3"/>
        <n v="0.63429861460236914"/>
        <n v="0.23747587210808702"/>
        <n v="0.4675973130818642"/>
        <n v="0.44962066875458734"/>
        <n v="0.99482321718549227"/>
        <n v="-0.37293813743878057"/>
        <n v="0.83458565539729934"/>
        <n v="-0.32532252965935937"/>
        <n v="-7.7977609484513266E-2"/>
        <n v="0.99834551177001274"/>
        <n v="0.53182632453807988"/>
        <n v="0.8308756792908889"/>
        <n v="0.99923916124355583"/>
        <n v="0.55184799503025184"/>
        <n v="0.93013665040872362"/>
        <n v="-0.69566602107413811"/>
        <n v="0.83524841094446278"/>
        <n v="-7.7517719368643712E-2"/>
        <n v="1.7481879774911769E-2"/>
        <n v="0.97541244562059459"/>
        <n v="0.32184831393626911"/>
        <n v="-0.62837884073403916"/>
        <n v="-0.30210989265338029"/>
        <n v="0.38170774275786029"/>
        <n v="-1.8486138532840677E-2"/>
        <n v="0.10278934937657726"/>
        <n v="0.99728817832326067"/>
        <n v="0.99960134639303411"/>
        <n v="0.74029801410095342"/>
        <n v="0.50632548490327955"/>
        <n v="0.57493499133344217"/>
        <n v="0.70024523638549019"/>
        <n v="-0.2518986614797622"/>
        <n v="-0.17399956548066567"/>
        <n v="0.98803176894608336"/>
        <n v="-3.2459549229224151E-2"/>
        <n v="0.30261155469334039"/>
        <n v="0.65226645322056331"/>
        <n v="0.72070580683076924"/>
        <n v="-0.19407952287302677"/>
        <n v="-0.13228094963778847"/>
        <n v="0.45388919329106625"/>
        <n v="-0.29148733594551707"/>
        <n v="-0.6290232732426625"/>
        <n v="-0.2402658525681024"/>
        <n v="0.10305421461253031"/>
        <n v="0.66955444419958488"/>
        <n v="0.99769284411091885"/>
        <n v="0.60761414466269459"/>
        <n v="0.50034714876872577"/>
        <n v="-0.21565308414770348"/>
        <n v="-0.28803347123486889"/>
        <n v="-0.45310223143283557"/>
        <n v="0.18961033664022725"/>
        <n v="-0.11575656362876301"/>
        <n v="0.29785361316379827"/>
        <n v="-0.30935640414994253"/>
        <n v="0.30653666832428267"/>
        <n v="-0.43648576398343941"/>
        <n v="0.99962240234638533"/>
        <n v="0.15843714256482555"/>
        <n v="-0.33382731690815554"/>
        <n v="0.99512550770643937"/>
        <n v="0.42791484769704402"/>
        <n v="0.46700721171757037"/>
        <n v="5.9440825723734582E-2"/>
        <n v="-0.39192829638519849"/>
        <n v="0.36095580216221806"/>
        <n v="-9.6859529205440664E-2"/>
        <n v="0.32006552630339818"/>
        <n v="-0.21514380780001424"/>
        <n v="0.75139163650414331"/>
        <n v="-0.1103220557884234"/>
        <n v="0.98421289711715576"/>
        <n v="0.38713462733902249"/>
        <n v="0.73641630219189125"/>
        <n v="0.99789447561564182"/>
        <n v="0.99674988938363263"/>
        <n v="-0.15541979432017863"/>
        <n v="-0.45061473960361126"/>
        <n v="-0.34873306685549282"/>
        <n v="0.81835700609107953"/>
        <n v="0.49792074648515244"/>
        <n v="0.14858874302361347"/>
        <n v="0.67157585771132688"/>
        <n v="0.15762137875383658"/>
        <n v="0.72111204432455644"/>
        <n v="0.32918068640329373"/>
        <n v="-0.4311294320667155"/>
        <n v="-0.18209996395165418"/>
        <n v="-0.27753210103166109"/>
        <n v="-0.4295656832849602"/>
        <n v="-0.29810063466899062"/>
        <n v="0.43333456445778179"/>
        <n v="-0.25464677120099016"/>
        <n v="-0.55158573170714498"/>
        <n v="-9.2564991302315977E-2"/>
        <n v="-0.25400748954299818"/>
        <n v="0.90582994277724871"/>
        <n v="-0.36399505742682581"/>
        <n v="-0.15261462157602956"/>
        <n v="0.98860590754010613"/>
        <n v="-0.17322378535048555"/>
        <n v="-0.33467461135987242"/>
        <n v="0.58817846716871647"/>
        <n v="0.48995589328253702"/>
        <n v="0.5711437546694168"/>
        <n v="-0.2572035869675513"/>
        <n v="0.69662777545395316"/>
        <n v="0.14887762041724326"/>
        <n v="-0.12380672188329732"/>
        <n v="0.63829175379676173"/>
        <n v="-9.5061714308962555E-2"/>
        <n v="0.26656271530766878"/>
        <n v="0.99979276637658132"/>
        <n v="-4.1589258860939504E-2"/>
        <n v="0.85137118573068082"/>
        <n v="0.41804848836368852"/>
        <n v="0.2078215893403218"/>
        <n v="0.33310010252179056"/>
        <n v="0.99915526479637062"/>
        <n v="-0.35587115695433524"/>
        <n v="-0.11120479878079924"/>
        <n v="0.95972091889721711"/>
        <n v="4.6491858095246537E-2"/>
        <n v="0.75860541788316915"/>
        <n v="-0.25394994346112865"/>
        <n v="-0.27227244439899206"/>
        <n v="0.42629523859403284"/>
        <n v="0.99956421901991821"/>
        <n v="0.13011705337724927"/>
        <n v="-0.7157983566444891"/>
        <n v="0.99734798890008813"/>
        <n v="0.85387736471211584"/>
        <n v="-0.50461321711273122"/>
        <n v="-0.22055750541572877"/>
        <n v="0.37090913184152818"/>
        <n v="9.4369026456526089E-2"/>
        <n v="0.81791879019723801"/>
        <n v="-4.6798969870766325E-3"/>
        <n v="0.20180940838448155"/>
        <n v="0.94898520788853769"/>
        <n v="0.5335195090705368"/>
        <n v="-3.0807837986270483E-2"/>
        <n v="0.52457076848002393"/>
        <n v="0.63423976807933691"/>
        <n v="0.5712993051579377"/>
        <n v="1.8452340092163594E-2"/>
        <n v="-8.4973072607685704E-2"/>
        <n v="-0.64872802657895012"/>
        <n v="0.30448563756438424"/>
        <n v="2.006659913402009E-3"/>
        <n v="0.6142811882536624"/>
        <n v="0.1811807417047217"/>
        <n v="-5.292519409446686E-2"/>
        <n v="-7.5378091944082626E-2"/>
        <n v="0.28553560569511455"/>
        <n v="-0.2004068959054553"/>
        <n v="0.99904947288849033"/>
        <n v="0.11063837976555826"/>
        <n v="0.50696042769016858"/>
        <n v="-0.25186858751724012"/>
        <n v="0.18932263582930486"/>
        <n v="0.68530792295088527"/>
        <n v="0.76171825167096519"/>
        <n v="0.86785990934862667"/>
        <n v="0.69085693577364637"/>
        <n v="-0.11988454817819934"/>
        <n v="0.23851127315438805"/>
        <n v="5.6223261142869567E-2"/>
        <n v="0.69735072353661176"/>
        <n v="-0.24321377313286088"/>
        <n v="5.0384434740791476E-2"/>
        <n v="0.26743617194919406"/>
        <n v="0.14930421998729357"/>
        <n v="0.78287937642714256"/>
        <n v="0.63329708153138398"/>
        <n v="-0.29905606859612682"/>
        <n v="-0.70720763757959537"/>
        <n v="0.73884741823499356"/>
        <n v="0.99992342448668836"/>
        <n v="-7.0239513008721029E-3"/>
        <n v="0.96113834259447695"/>
        <n v="0.65327289498916796"/>
        <n v="-0.14875993999270323"/>
        <n v="-0.59467088243716038"/>
        <n v="0.65177897252501116"/>
        <n v="-0.15877075346203159"/>
        <n v="0.61100382945245546"/>
        <n v="0.35509456443394061"/>
        <n v="-0.18842140077755304"/>
        <n v="0.28945793200923903"/>
        <n v="0.46044458269702604"/>
        <n v="0.57672427100652002"/>
        <n v="0.66998261397499581"/>
        <n v="0.72176989190206509"/>
        <n v="0.52472217529953746"/>
        <n v="5.7660799232582306E-2"/>
        <n v="0.35840003085462957"/>
        <n v="0.83356078414558865"/>
        <n v="0.79328600035144359"/>
        <n v="-0.45621833886596386"/>
        <n v="0.18506307292188853"/>
        <n v="0.17148338373249969"/>
        <n v="-3.3251810594766097E-2"/>
        <n v="0.72708009329467604"/>
        <n v="8.6306071844631141E-2"/>
        <n v="0.41125908845350201"/>
        <n v="0.2205856553606538"/>
        <n v="0.41340030146972623"/>
        <n v="6.7469357171286201E-2"/>
        <n v="0.16699325289079642"/>
        <n v="0.9629133896534241"/>
        <n v="-0.14214045842294654"/>
        <n v="0.99744129057857134"/>
        <n v="0.81437231580365255"/>
        <n v="0.99888636812246023"/>
        <n v="0.12587809708585415"/>
        <n v="0.44750657511759023"/>
        <n v="-1.5655053213891573E-2"/>
        <n v="-7.4551695821982747E-2"/>
        <n v="0.99944128160650281"/>
        <n v="0.99931627363424202"/>
        <n v="-0.47622935802278898"/>
        <n v="0.65228199806508047"/>
        <n v="-0.45234875997841606"/>
        <n v="0.26051688959727104"/>
        <n v="0.36594569417216744"/>
        <n v="0.99453522364185298"/>
        <n v="0.26658759349904593"/>
        <n v="-1.2176356347427825E-2"/>
        <n v="0.40622228484643952"/>
        <n v="0.2082813707658922"/>
        <n v="0.63227467825612449"/>
        <n v="0.91797121711163099"/>
        <n v="0.59808185325109831"/>
        <n v="0.34339696106638296"/>
        <n v="-0.5255812102956896"/>
        <n v="0.69542101869695794"/>
        <n v="0.34151703586218385"/>
        <n v="2.3068198393194725E-2"/>
        <n v="-0.10681085743580607"/>
        <n v="0.1659236130930824"/>
        <n v="0.55613851172472861"/>
        <n v="0.80045252578048642"/>
        <n v="0.78122421318313229"/>
        <n v="-0.40824336799953226"/>
        <n v="0.35385462370114834"/>
        <n v="-0.36193092139538918"/>
        <n v="0.5461372124503181"/>
        <n v="0.31307782465498118"/>
        <n v="-0.26836575185497363"/>
        <n v="0.61939263531541389"/>
        <n v="0.69007949909192479"/>
        <n v="0.54975831602362535"/>
        <n v="-0.61520512337217315"/>
        <n v="0.99938811495986357"/>
        <n v="8.5596389061964484E-2"/>
        <n v="-0.11158139656520293"/>
        <n v="7.7326763771718751E-2"/>
        <n v="0.98201164436786159"/>
        <n v="-0.25781116804698156"/>
        <n v="0.52521878641062336"/>
        <n v="0.99989322639602896"/>
        <n v="-0.11638339810277604"/>
        <n v="-5.4183847037269618E-2"/>
        <n v="-0.29786952145612033"/>
        <n v="0.8952710612451491"/>
        <n v="0.4325325136580434"/>
        <n v="0.98094752519067707"/>
        <n v="0.9600211808268686"/>
        <n v="-0.65750818615097717"/>
        <n v="-0.71517721812695534"/>
        <n v="0.91320222132046336"/>
        <n v="-4.7571270110356043E-2"/>
        <n v="0.90033609609341214"/>
        <n v="-0.11292611053357189"/>
        <n v="-3.8987466355851319E-2"/>
        <n v="5.8912934079140937E-2"/>
        <n v="-0.34158719164581258"/>
        <n v="-0.24980189635315928"/>
        <n v="0.57867172630688057"/>
        <n v="0.28020149158338015"/>
        <n v="0.36902724314293595"/>
        <n v="0.11454792834899868"/>
        <n v="1.3887660971135135E-2"/>
        <n v="-0.46122154593646603"/>
        <n v="0.47930178903686244"/>
        <n v="0.16025552932190909"/>
        <n v="0.73035378908902904"/>
        <n v="-0.16271012014491043"/>
        <n v="-0.32140798503776907"/>
        <n v="0.13569105750122601"/>
        <n v="9.4397098627462039E-2"/>
        <n v="0.12809573226406948"/>
        <n v="-0.41463596200146091"/>
        <n v="0.83065320398144482"/>
        <n v="0.30845820721727374"/>
        <n v="-0.5671249106304741"/>
        <n v="0.77889706438561668"/>
        <n v="0.64117859390894982"/>
        <n v="0.54982775435209508"/>
        <n v="0.534236025128209"/>
        <n v="-0.26352625510846223"/>
        <n v="-0.189960728905682"/>
        <n v="-0.25397524586336345"/>
        <n v="0.25617184768086632"/>
        <n v="0.19744012028767907"/>
        <n v="-0.29919648420565309"/>
        <n v="0.77767002501193094"/>
        <n v="-6.685804871196678E-2"/>
        <n v="0.71179832133468335"/>
        <n v="5.6192280101091681E-2"/>
        <n v="0.67684099116616026"/>
        <n v="-0.45423601093968607"/>
        <n v="0.53477708433051674"/>
        <n v="0.9980693911712033"/>
        <n v="0.68724405348926476"/>
        <n v="0.37867710241626656"/>
        <n v="0.99522193961766203"/>
        <n v="-0.52665428652990887"/>
        <n v="2.1605142376402441E-2"/>
        <n v="0.4834245771843958"/>
        <n v="0.69664712990560274"/>
        <n v="0.22280256061927151"/>
        <n v="-0.15076996912193857"/>
        <n v="0.54645906884872342"/>
        <n v="0.41560649397988092"/>
        <n v="-0.33317277237543119"/>
        <n v="0.42576420187367953"/>
        <n v="0.98808143184454045"/>
        <n v="-0.3097798942105322"/>
        <n v="5.3180171575009788E-2"/>
        <n v="-0.33068339630850169"/>
        <n v="-0.65484492955494245"/>
        <n v="0.56582598543822216"/>
        <n v="0.58020929497284435"/>
        <n v="-0.22013359884499342"/>
        <n v="-0.40036511292942684"/>
        <n v="-0.19329055860165184"/>
        <n v="0.76163664705070944"/>
        <n v="0.21391529443825993"/>
        <n v="0.41999567376198416"/>
        <n v="0.59215579540582064"/>
        <n v="0.484912419448571"/>
        <n v="0.65456501859025884"/>
        <n v="-5.6669662251325359E-2"/>
        <n v="0.56301956482494786"/>
        <n v="0.99972479233154743"/>
        <n v="0.7353535973337445"/>
        <n v="0.96119096898093193"/>
        <n v="-0.42269132003868898"/>
        <n v="0.3533137372664838"/>
        <n v="3.6327734447956714E-2"/>
        <n v="0.70104162979651596"/>
        <n v="0.17015950102605107"/>
        <n v="0.60007037597618207"/>
        <n v="0.20053984232822289"/>
        <n v="0.17612540997926865"/>
        <n v="0.67696551485682299"/>
        <n v="0.67184364945763575"/>
        <n v="-0.4515734733848748"/>
        <n v="0.1349892931016331"/>
        <n v="0.54077537895814598"/>
        <n v="-0.53610221331842045"/>
        <n v="-0.13140263919158895"/>
        <n v="-8.7771532108387021E-2"/>
        <n v="-0.46737415267336452"/>
        <n v="0.95524267974314037"/>
        <n v="-0.73102790104136428"/>
        <n v="0.22056070064010455"/>
        <n v="0.66278637063151025"/>
        <n v="-0.23351399919486007"/>
        <n v="-0.3041980912225411"/>
        <n v="-4.5371554395662893E-2"/>
        <n v="-0.48341836595630411"/>
        <n v="0.31680482987601222"/>
        <n v="0.9999920893620371"/>
        <n v="-0.14402033469120257"/>
        <n v="0.22193848160635563"/>
        <n v="-0.48286829821621907"/>
        <n v="0.23655989836739463"/>
        <n v="0.99999760683021732"/>
        <n v="0.70910027922775032"/>
        <n v="0.32352833697284961"/>
        <n v="0.5318089092684859"/>
        <n v="0.33501585538641682"/>
        <n v="0.26572717318578115"/>
        <n v="-0.35632289864844474"/>
        <n v="-0.2260093939700224"/>
        <n v="-0.66203272116621026"/>
        <n v="0.24723708245873943"/>
        <n v="0.12185995236236981"/>
        <n v="8.8384241750123979E-3"/>
        <n v="-0.11709912679370515"/>
        <n v="0.53392288097611251"/>
        <n v="-0.22043811096259275"/>
        <n v="0.9970165025504345"/>
        <n v="-0.67558308677623891"/>
        <n v="-0.55632577519832871"/>
        <n v="-0.2735674355209361"/>
        <n v="-4.0154541307408947E-2"/>
        <n v="-0.36923484430464459"/>
        <n v="0.97666384704606424"/>
        <n v="-0.1509628793124666"/>
        <n v="0.61380862078247744"/>
        <n v="0.58713895954968787"/>
        <n v="-0.60507212032818014"/>
        <n v="0.99955312918802064"/>
        <n v="-0.13522343318559324"/>
        <n v="0.15096619140524781"/>
        <n v="0.99833998908001576"/>
        <n v="8.2125036162667198E-2"/>
        <n v="0.53621016079668571"/>
        <n v="0.72379238575443616"/>
        <n v="5.0284656409352042E-2"/>
        <n v="0.3984761287694652"/>
        <n v="0.99199756013958107"/>
        <n v="0.99326329586466955"/>
        <n v="0.9940774149912357"/>
        <n v="0.30100415483314524"/>
        <n v="1.2989057436025901E-2"/>
        <n v="-0.12788286759923739"/>
        <n v="0.979384000236171"/>
        <n v="0.19843446154834077"/>
        <n v="-0.31030900735581224"/>
        <n v="0.87783683297174897"/>
        <n v="-6.9678844826704472E-2"/>
        <n v="-0.5302647451097815"/>
        <n v="0.48728298387926233"/>
        <n v="-1.3291663626696383E-2"/>
        <n v="0.54847272834094918"/>
        <n v="0.45357740610764041"/>
        <n v="0.47350507263956571"/>
        <n v="-0.36980412808518937"/>
        <n v="0.36169948905615973"/>
        <n v="9.431169941534899E-2"/>
        <n v="0.78516227379760251"/>
        <n v="0.69891541575018523"/>
        <n v="0.99180229448358315"/>
        <n v="-0.21990607769516465"/>
        <n v="-0.19709350207923468"/>
        <n v="-0.17637347266897135"/>
        <n v="0.13847897163585124"/>
        <n v="-1.9139736367915672E-3"/>
        <n v="0.74152730124527877"/>
        <n v="0.29322311515199101"/>
        <n v="0.79745097224775607"/>
        <n v="5.160751270761977E-2"/>
        <n v="0.1509437273067521"/>
        <n v="-0.63404208398992123"/>
        <n v="0.91318861868356405"/>
        <n v="0.603456718037789"/>
        <n v="-1.4302915037730632E-2"/>
        <n v="0.45814155959368641"/>
        <n v="0.73997028031302958"/>
        <n v="0.70958573230228594"/>
        <n v="0.87790682769698358"/>
        <n v="0.77584737011947413"/>
        <n v="-9.6707945925856964E-2"/>
        <n v="-6.385090494315028E-2"/>
        <n v="-0.1668034788136063"/>
        <n v="0.18109771831394014"/>
        <n v="0.9107281532437711"/>
        <n v="9.6444392114471422E-3"/>
        <n v="7.4098750107584044E-2"/>
        <n v="-0.36643526162178225"/>
        <n v="0.95835336258483494"/>
        <n v="0.4889100917697633"/>
        <n v="0.45659611178027143"/>
        <n v="-5.8870235837872702E-2"/>
        <n v="0.99936304962065492"/>
        <n v="-0.74338171692665878"/>
        <n v="-0.27236500489539728"/>
        <n v="-0.50659163888541792"/>
        <n v="0.99475125063186698"/>
        <n v="0.91325661605261532"/>
        <n v="-0.67120689235197017"/>
        <n v="0.14389698207306331"/>
        <n v="-0.34945655128753883"/>
        <n v="-0.15382134671968226"/>
        <n v="0.23840107306491257"/>
        <n v="0.96265826180222402"/>
        <n v="0.43156179295522201"/>
        <n v="-9.8458384064318161E-3"/>
        <n v="0.34118117222661626"/>
        <n v="0.68968534129738268"/>
        <n v="-0.268661611384509"/>
        <n v="-2.3320422447794961E-2"/>
        <n v="0.51280992935086567"/>
        <n v="0.16622105340621521"/>
        <n v="2.9749260757309715E-2"/>
        <n v="-5.5227597604707412E-2"/>
        <n v="-0.16380723384625342"/>
        <n v="0.72404093306556172"/>
        <n v="-0.15293138545203042"/>
        <n v="0.54241731122883652"/>
        <n v="0.61753526340152887"/>
        <n v="0.44439376815043302"/>
        <n v="-0.22558422144274315"/>
        <n v="0.99473663342131557"/>
        <n v="-0.46392711298540529"/>
        <n v="-0.49479653379624772"/>
        <n v="0.99202811554328252"/>
        <n v="0.71808497282571382"/>
        <n v="0.97461720701424348"/>
        <n v="0.57581871621274772"/>
        <n v="0.21910926808331335"/>
        <n v="0.69624544419747192"/>
        <n v="0.99033443350873052"/>
        <n v="-0.3697330866472095"/>
        <n v="0.15114316955284399"/>
        <n v="-0.23470486895333045"/>
        <n v="0.56606450323576363"/>
        <n v="0.98808804321596733"/>
        <n v="0.99779735177224693"/>
        <n v="0.71585545956998375"/>
        <n v="-0.3786208004785237"/>
        <n v="-0.24999066345969406"/>
        <n v="0.21274211243839986"/>
        <n v="-0.17874857953674081"/>
        <n v="-0.62970634887762933"/>
        <n v="0.93863820794622277"/>
        <n v="-2.0089339326912373E-2"/>
        <n v="-9.7876430596539651E-2"/>
        <n v="0.2483544745026631"/>
        <n v="0.3934145403886144"/>
        <n v="0.73201850310494332"/>
        <n v="0.97410897274795183"/>
        <n v="0.65154521162940993"/>
        <n v="0.69285465379670796"/>
        <n v="0.30609093050308461"/>
        <n v="-0.54071296228196331"/>
        <n v="0.84253784377907792"/>
        <n v="-5.6929811646165625E-2"/>
        <n v="-0.18982122899287174"/>
        <n v="0.52940500224002529"/>
        <n v="-5.3974660481002816E-3"/>
        <n v="0.99711131187270519"/>
        <n v="-0.7008192577568233"/>
        <n v="0.76976228216212783"/>
        <n v="-0.3303866287309104"/>
        <n v="-0.33349982654677812"/>
        <n v="-0.29394799034768782"/>
        <n v="0.33091531572272614"/>
        <n v="0.70379865864450342"/>
        <n v="-0.24962197320418311"/>
        <n v="0.92422478148065856"/>
        <n v="-0.53135511647601497"/>
        <n v="-0.36592146146630916"/>
      </sharedItems>
      <fieldGroup base="14">
        <rangePr startNum="-0.76091709468357704" endNum="0.99999822395693927" groupInterval="0.1"/>
        <groupItems count="20">
          <s v="&lt;-0.760917094683577"/>
          <s v="-0.760917094683577--0.660917094683577"/>
          <s v="-0.660917094683577--0.560917094683577"/>
          <s v="-0.560917094683577--0.460917094683577"/>
          <s v="-0.460917094683577--0.360917094683577"/>
          <s v="-0.360917094683577--0.260917094683577"/>
          <s v="-0.260917094683577--0.160917094683577"/>
          <s v="-0.160917094683577--0.060917094683577"/>
          <s v="-0.060917094683577-0.039082905316423"/>
          <s v="0.039082905316423-0.139082905316423"/>
          <s v="0.139082905316423-0.239082905316423"/>
          <s v="0.239082905316423-0.339082905316423"/>
          <s v="0.339082905316423-0.439082905316423"/>
          <s v="0.439082905316423-0.539082905316423"/>
          <s v="0.539082905316423-0.639082905316423"/>
          <s v="0.639082905316423-0.739082905316423"/>
          <s v="0.739082905316423-0.839082905316423"/>
          <s v="0.839082905316423-0.939082905316423"/>
          <s v="0.939082905316423-1.03908290531642"/>
          <s v="&gt;1.0390829053164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4">
  <r>
    <x v="0"/>
    <n v="239"/>
    <n v="10"/>
    <n v="554"/>
    <n v="254"/>
    <n v="87"/>
    <n v="54"/>
    <x v="0"/>
    <n v="70951"/>
    <n v="0"/>
    <n v="0"/>
  </r>
  <r>
    <x v="1"/>
    <n v="464"/>
    <n v="5"/>
    <n v="64"/>
    <n v="7"/>
    <n v="0"/>
    <n v="37"/>
    <x v="1"/>
    <n v="57091"/>
    <n v="0"/>
    <n v="0"/>
  </r>
  <r>
    <x v="2"/>
    <n v="57"/>
    <n v="0"/>
    <n v="27"/>
    <n v="0"/>
    <n v="0"/>
    <n v="36"/>
    <x v="1"/>
    <n v="46098"/>
    <n v="1"/>
    <n v="1"/>
  </r>
  <r>
    <x v="3"/>
    <n v="19"/>
    <n v="0"/>
    <n v="5"/>
    <n v="0"/>
    <n v="0"/>
    <n v="8"/>
    <x v="1"/>
    <n v="25358"/>
    <n v="0"/>
    <n v="1"/>
  </r>
  <r>
    <x v="4"/>
    <n v="637"/>
    <n v="47"/>
    <n v="237"/>
    <n v="12"/>
    <n v="19"/>
    <n v="76"/>
    <x v="0"/>
    <n v="60491"/>
    <n v="0"/>
    <n v="1"/>
  </r>
  <r>
    <x v="5"/>
    <n v="43"/>
    <n v="12"/>
    <n v="23"/>
    <n v="29"/>
    <n v="15"/>
    <n v="61"/>
    <x v="0"/>
    <n v="46891"/>
    <n v="0"/>
    <n v="1"/>
  </r>
  <r>
    <x v="6"/>
    <n v="185"/>
    <n v="2"/>
    <n v="88"/>
    <n v="15"/>
    <n v="5"/>
    <n v="14"/>
    <x v="1"/>
    <n v="46310"/>
    <n v="1"/>
    <n v="0"/>
  </r>
  <r>
    <x v="7"/>
    <n v="18"/>
    <n v="2"/>
    <n v="19"/>
    <n v="0"/>
    <n v="2"/>
    <n v="6"/>
    <x v="0"/>
    <n v="17144"/>
    <n v="1"/>
    <n v="1"/>
  </r>
  <r>
    <x v="8"/>
    <n v="460"/>
    <n v="35"/>
    <n v="422"/>
    <n v="33"/>
    <n v="12"/>
    <n v="153"/>
    <x v="0"/>
    <n v="65148"/>
    <n v="0"/>
    <n v="1"/>
  </r>
  <r>
    <x v="9"/>
    <n v="32"/>
    <n v="1"/>
    <n v="64"/>
    <n v="16"/>
    <n v="12"/>
    <n v="85"/>
    <x v="0"/>
    <n v="25545"/>
    <n v="1"/>
    <n v="0"/>
  </r>
  <r>
    <x v="10"/>
    <n v="136"/>
    <n v="1"/>
    <n v="12"/>
    <n v="0"/>
    <n v="3"/>
    <n v="32"/>
    <x v="0"/>
    <n v="55761"/>
    <n v="0"/>
    <n v="1"/>
  </r>
  <r>
    <x v="11"/>
    <n v="2"/>
    <n v="3"/>
    <n v="6"/>
    <n v="4"/>
    <n v="1"/>
    <n v="9"/>
    <x v="1"/>
    <n v="20587"/>
    <n v="1"/>
    <n v="0"/>
  </r>
  <r>
    <x v="12"/>
    <n v="509"/>
    <n v="0"/>
    <n v="65"/>
    <n v="7"/>
    <n v="11"/>
    <n v="5"/>
    <x v="0"/>
    <n v="56253"/>
    <n v="0"/>
    <n v="1"/>
  </r>
  <r>
    <x v="13"/>
    <n v="68"/>
    <n v="0"/>
    <n v="16"/>
    <n v="0"/>
    <n v="0"/>
    <n v="8"/>
    <x v="1"/>
    <n v="46423"/>
    <n v="1"/>
    <n v="1"/>
  </r>
  <r>
    <x v="14"/>
    <n v="14"/>
    <n v="0"/>
    <n v="3"/>
    <n v="0"/>
    <n v="0"/>
    <n v="1"/>
    <x v="1"/>
    <n v="51411"/>
    <n v="1"/>
    <n v="2"/>
  </r>
  <r>
    <x v="15"/>
    <n v="34"/>
    <n v="11"/>
    <n v="137"/>
    <n v="179"/>
    <n v="61"/>
    <n v="45"/>
    <x v="0"/>
    <n v="41039"/>
    <n v="0"/>
    <n v="0"/>
  </r>
  <r>
    <x v="16"/>
    <n v="15"/>
    <n v="0"/>
    <n v="11"/>
    <n v="0"/>
    <n v="2"/>
    <n v="9"/>
    <x v="0"/>
    <n v="25293"/>
    <n v="1"/>
    <n v="0"/>
  </r>
  <r>
    <x v="17"/>
    <n v="0"/>
    <n v="7"/>
    <n v="5"/>
    <n v="26"/>
    <n v="2"/>
    <n v="17"/>
    <x v="0"/>
    <n v="27733"/>
    <n v="1"/>
    <n v="0"/>
  </r>
  <r>
    <x v="18"/>
    <n v="5"/>
    <n v="9"/>
    <n v="20"/>
    <n v="6"/>
    <n v="8"/>
    <n v="21"/>
    <x v="0"/>
    <n v="22212"/>
    <n v="1"/>
    <n v="0"/>
  </r>
  <r>
    <x v="19"/>
    <n v="5"/>
    <n v="7"/>
    <n v="24"/>
    <n v="19"/>
    <n v="14"/>
    <n v="20"/>
    <x v="1"/>
    <n v="34176"/>
    <n v="1"/>
    <n v="0"/>
  </r>
  <r>
    <x v="20"/>
    <n v="11"/>
    <n v="0"/>
    <n v="7"/>
    <n v="3"/>
    <n v="1"/>
    <n v="6"/>
    <x v="0"/>
    <n v="30833"/>
    <n v="1"/>
    <n v="1"/>
  </r>
  <r>
    <x v="21"/>
    <n v="275"/>
    <n v="11"/>
    <n v="68"/>
    <n v="25"/>
    <n v="7"/>
    <n v="7"/>
    <x v="1"/>
    <n v="43456"/>
    <n v="0"/>
    <n v="1"/>
  </r>
  <r>
    <x v="22"/>
    <n v="544"/>
    <n v="35"/>
    <n v="133"/>
    <n v="23"/>
    <n v="151"/>
    <n v="107"/>
    <x v="1"/>
    <n v="67046"/>
    <n v="0"/>
    <n v="1"/>
  </r>
  <r>
    <x v="23"/>
    <n v="215"/>
    <n v="7"/>
    <n v="33"/>
    <n v="3"/>
    <n v="0"/>
    <n v="13"/>
    <x v="0"/>
    <n v="53083"/>
    <n v="1"/>
    <n v="1"/>
  </r>
  <r>
    <x v="24"/>
    <n v="466"/>
    <n v="0"/>
    <n v="224"/>
    <n v="119"/>
    <n v="49"/>
    <n v="99"/>
    <x v="1"/>
    <n v="61209"/>
    <n v="0"/>
    <n v="0"/>
  </r>
  <r>
    <x v="25"/>
    <n v="760"/>
    <n v="53"/>
    <n v="400"/>
    <n v="17"/>
    <n v="93"/>
    <n v="0"/>
    <x v="1"/>
    <n v="76045"/>
    <n v="0"/>
    <n v="0"/>
  </r>
  <r>
    <x v="26"/>
    <n v="19"/>
    <n v="3"/>
    <n v="6"/>
    <n v="4"/>
    <n v="2"/>
    <n v="12"/>
    <x v="1"/>
    <n v="23272"/>
    <n v="0"/>
    <n v="0"/>
  </r>
  <r>
    <x v="27"/>
    <n v="345"/>
    <n v="53"/>
    <n v="528"/>
    <n v="98"/>
    <n v="75"/>
    <n v="97"/>
    <x v="0"/>
    <n v="71604"/>
    <n v="0"/>
    <n v="0"/>
  </r>
  <r>
    <x v="28"/>
    <n v="206"/>
    <n v="0"/>
    <n v="46"/>
    <n v="3"/>
    <n v="2"/>
    <n v="12"/>
    <x v="0"/>
    <n v="28973"/>
    <n v="0"/>
    <n v="0"/>
  </r>
  <r>
    <x v="29"/>
    <n v="656"/>
    <n v="80"/>
    <n v="455"/>
    <n v="52"/>
    <n v="107"/>
    <n v="93"/>
    <x v="0"/>
    <n v="71952"/>
    <n v="1"/>
    <n v="0"/>
  </r>
  <r>
    <x v="30"/>
    <n v="90"/>
    <n v="38"/>
    <n v="67"/>
    <n v="33"/>
    <n v="36"/>
    <n v="67"/>
    <x v="1"/>
    <n v="67506"/>
    <n v="0"/>
    <n v="1"/>
  </r>
  <r>
    <x v="31"/>
    <n v="478"/>
    <n v="0"/>
    <n v="193"/>
    <n v="110"/>
    <n v="75"/>
    <n v="117"/>
    <x v="0"/>
    <n v="62503"/>
    <n v="0"/>
    <n v="1"/>
  </r>
  <r>
    <x v="32"/>
    <n v="284"/>
    <n v="0"/>
    <n v="55"/>
    <n v="0"/>
    <n v="6"/>
    <n v="52"/>
    <x v="0"/>
    <n v="44124"/>
    <n v="0"/>
    <n v="1"/>
  </r>
  <r>
    <x v="33"/>
    <n v="0"/>
    <n v="0"/>
    <n v="2"/>
    <n v="3"/>
    <n v="3"/>
    <n v="8"/>
    <x v="0"/>
    <n v="14421"/>
    <n v="0"/>
    <n v="0"/>
  </r>
  <r>
    <x v="34"/>
    <n v="23"/>
    <n v="0"/>
    <n v="11"/>
    <n v="3"/>
    <n v="2"/>
    <n v="2"/>
    <x v="0"/>
    <n v="48006"/>
    <n v="1"/>
    <n v="1"/>
  </r>
  <r>
    <x v="35"/>
    <n v="125"/>
    <n v="17"/>
    <n v="52"/>
    <n v="3"/>
    <n v="19"/>
    <n v="30"/>
    <x v="1"/>
    <n v="38808"/>
    <n v="1"/>
    <n v="0"/>
  </r>
  <r>
    <x v="36"/>
    <n v="219"/>
    <n v="3"/>
    <n v="60"/>
    <n v="12"/>
    <n v="9"/>
    <n v="12"/>
    <x v="1"/>
    <n v="45183"/>
    <n v="0"/>
    <n v="0"/>
  </r>
  <r>
    <x v="37"/>
    <n v="332"/>
    <n v="194"/>
    <n v="377"/>
    <n v="149"/>
    <n v="125"/>
    <n v="57"/>
    <x v="1"/>
    <n v="82032"/>
    <n v="0"/>
    <n v="0"/>
  </r>
  <r>
    <x v="38"/>
    <n v="1288"/>
    <n v="20"/>
    <n v="613"/>
    <n v="80"/>
    <n v="61"/>
    <n v="27"/>
    <x v="1"/>
    <n v="81169"/>
    <n v="0"/>
    <n v="0"/>
  </r>
  <r>
    <x v="39"/>
    <n v="35"/>
    <n v="0"/>
    <n v="11"/>
    <n v="0"/>
    <n v="0"/>
    <n v="2"/>
    <x v="1"/>
    <n v="23091"/>
    <n v="1"/>
    <n v="1"/>
  </r>
  <r>
    <x v="40"/>
    <n v="556"/>
    <n v="14"/>
    <n v="717"/>
    <n v="210"/>
    <n v="0"/>
    <n v="43"/>
    <x v="1"/>
    <n v="64857"/>
    <n v="0"/>
    <n v="0"/>
  </r>
  <r>
    <x v="41"/>
    <n v="138"/>
    <n v="3"/>
    <n v="38"/>
    <n v="4"/>
    <n v="0"/>
    <n v="59"/>
    <x v="0"/>
    <n v="48726"/>
    <n v="0"/>
    <n v="1"/>
  </r>
  <r>
    <x v="42"/>
    <n v="24"/>
    <n v="0"/>
    <n v="7"/>
    <n v="0"/>
    <n v="0"/>
    <n v="1"/>
    <x v="0"/>
    <n v="28839"/>
    <n v="1"/>
    <n v="1"/>
  </r>
  <r>
    <x v="43"/>
    <n v="279"/>
    <n v="83"/>
    <n v="88"/>
    <n v="32"/>
    <n v="14"/>
    <n v="34"/>
    <x v="1"/>
    <n v="61559"/>
    <n v="0"/>
    <n v="1"/>
  </r>
  <r>
    <x v="44"/>
    <n v="1"/>
    <n v="2"/>
    <n v="8"/>
    <n v="4"/>
    <n v="3"/>
    <n v="13"/>
    <x v="1"/>
    <n v="15287"/>
    <n v="1"/>
    <n v="0"/>
  </r>
  <r>
    <x v="45"/>
    <n v="28"/>
    <n v="23"/>
    <n v="29"/>
    <n v="29"/>
    <n v="14"/>
    <n v="47"/>
    <x v="0"/>
    <n v="34838"/>
    <n v="1"/>
    <n v="1"/>
  </r>
  <r>
    <x v="46"/>
    <n v="515"/>
    <n v="47"/>
    <n v="181"/>
    <n v="149"/>
    <n v="95"/>
    <n v="95"/>
    <x v="0"/>
    <n v="67309"/>
    <n v="1"/>
    <n v="1"/>
  </r>
  <r>
    <x v="47"/>
    <n v="901"/>
    <n v="31"/>
    <n v="345"/>
    <n v="75"/>
    <n v="31"/>
    <n v="191"/>
    <x v="0"/>
    <n v="83844"/>
    <n v="0"/>
    <n v="0"/>
  </r>
  <r>
    <x v="48"/>
    <n v="199"/>
    <n v="9"/>
    <n v="57"/>
    <n v="20"/>
    <n v="21"/>
    <n v="6"/>
    <x v="0"/>
    <n v="66480"/>
    <n v="1"/>
    <n v="1"/>
  </r>
  <r>
    <x v="49"/>
    <n v="172"/>
    <n v="10"/>
    <n v="125"/>
    <n v="21"/>
    <n v="13"/>
    <n v="16"/>
    <x v="0"/>
    <n v="36715"/>
    <n v="1"/>
    <n v="0"/>
  </r>
  <r>
    <x v="50"/>
    <n v="123"/>
    <n v="133"/>
    <n v="142"/>
    <n v="71"/>
    <n v="44"/>
    <n v="88"/>
    <x v="1"/>
    <n v="41003"/>
    <n v="0"/>
    <n v="0"/>
  </r>
  <r>
    <x v="51"/>
    <n v="399"/>
    <n v="4"/>
    <n v="30"/>
    <n v="6"/>
    <n v="4"/>
    <n v="30"/>
    <x v="0"/>
    <n v="53863"/>
    <n v="0"/>
    <n v="1"/>
  </r>
  <r>
    <x v="52"/>
    <n v="17"/>
    <n v="0"/>
    <n v="2"/>
    <n v="0"/>
    <n v="0"/>
    <n v="2"/>
    <x v="1"/>
    <n v="22263"/>
    <n v="1"/>
    <n v="1"/>
  </r>
  <r>
    <x v="53"/>
    <n v="952"/>
    <n v="12"/>
    <n v="180"/>
    <n v="47"/>
    <n v="12"/>
    <n v="12"/>
    <x v="0"/>
    <n v="75032"/>
    <n v="0"/>
    <n v="1"/>
  </r>
  <r>
    <x v="54"/>
    <n v="56"/>
    <n v="19"/>
    <n v="29"/>
    <n v="2"/>
    <n v="14"/>
    <n v="25"/>
    <x v="1"/>
    <n v="45576"/>
    <n v="0"/>
    <n v="0"/>
  </r>
  <r>
    <x v="55"/>
    <n v="777"/>
    <n v="30"/>
    <n v="163"/>
    <n v="0"/>
    <n v="51"/>
    <n v="122"/>
    <x v="1"/>
    <n v="46757"/>
    <n v="0"/>
    <n v="1"/>
  </r>
  <r>
    <x v="56"/>
    <n v="154"/>
    <n v="0"/>
    <n v="50"/>
    <n v="6"/>
    <n v="11"/>
    <n v="37"/>
    <x v="1"/>
    <n v="40590"/>
    <n v="1"/>
    <n v="1"/>
  </r>
  <r>
    <x v="57"/>
    <n v="130"/>
    <n v="0"/>
    <n v="16"/>
    <n v="0"/>
    <n v="0"/>
    <n v="5"/>
    <x v="0"/>
    <n v="36138"/>
    <n v="1"/>
    <n v="1"/>
  </r>
  <r>
    <x v="58"/>
    <n v="9"/>
    <n v="3"/>
    <n v="15"/>
    <n v="2"/>
    <n v="3"/>
    <n v="2"/>
    <x v="1"/>
    <n v="34853"/>
    <n v="1"/>
    <n v="1"/>
  </r>
  <r>
    <x v="59"/>
    <n v="95"/>
    <n v="11"/>
    <n v="35"/>
    <n v="0"/>
    <n v="4"/>
    <n v="7"/>
    <x v="1"/>
    <n v="44213"/>
    <n v="1"/>
    <n v="1"/>
  </r>
  <r>
    <x v="60"/>
    <n v="182"/>
    <n v="74"/>
    <n v="298"/>
    <n v="162"/>
    <n v="149"/>
    <n v="116"/>
    <x v="0"/>
    <n v="72940"/>
    <n v="0"/>
    <n v="0"/>
  </r>
  <r>
    <x v="61"/>
    <n v="493"/>
    <n v="70"/>
    <n v="324"/>
    <n v="146"/>
    <n v="40"/>
    <n v="84"/>
    <x v="1"/>
    <n v="81217"/>
    <n v="0"/>
    <n v="0"/>
  </r>
  <r>
    <x v="62"/>
    <n v="19"/>
    <n v="3"/>
    <n v="19"/>
    <n v="4"/>
    <n v="5"/>
    <n v="26"/>
    <x v="1"/>
    <n v="22944"/>
    <n v="1"/>
    <n v="0"/>
  </r>
  <r>
    <x v="63"/>
    <n v="918"/>
    <n v="21"/>
    <n v="118"/>
    <n v="13"/>
    <n v="10"/>
    <n v="21"/>
    <x v="0"/>
    <n v="63342"/>
    <n v="0"/>
    <n v="1"/>
  </r>
  <r>
    <x v="64"/>
    <n v="330"/>
    <n v="5"/>
    <n v="159"/>
    <n v="36"/>
    <n v="27"/>
    <n v="16"/>
    <x v="0"/>
    <n v="61872"/>
    <n v="0"/>
    <n v="1"/>
  </r>
  <r>
    <x v="65"/>
    <n v="901"/>
    <n v="61"/>
    <n v="757"/>
    <n v="186"/>
    <n v="163"/>
    <n v="20"/>
    <x v="1"/>
    <n v="73455"/>
    <n v="0"/>
    <n v="0"/>
  </r>
  <r>
    <x v="66"/>
    <n v="29"/>
    <n v="1"/>
    <n v="11"/>
    <n v="0"/>
    <n v="0"/>
    <n v="0"/>
    <x v="0"/>
    <n v="42554"/>
    <n v="1"/>
    <n v="1"/>
  </r>
  <r>
    <x v="67"/>
    <n v="235"/>
    <n v="6"/>
    <n v="45"/>
    <n v="8"/>
    <n v="9"/>
    <n v="12"/>
    <x v="0"/>
    <n v="51148"/>
    <n v="1"/>
    <n v="1"/>
  </r>
  <r>
    <x v="68"/>
    <n v="198"/>
    <n v="2"/>
    <n v="43"/>
    <n v="0"/>
    <n v="12"/>
    <n v="20"/>
    <x v="0"/>
    <n v="47743"/>
    <n v="0"/>
    <n v="1"/>
  </r>
  <r>
    <x v="69"/>
    <n v="462"/>
    <n v="0"/>
    <n v="24"/>
    <n v="6"/>
    <n v="0"/>
    <n v="4"/>
    <x v="0"/>
    <n v="57091"/>
    <n v="0"/>
    <n v="1"/>
  </r>
  <r>
    <x v="70"/>
    <n v="158"/>
    <n v="35"/>
    <n v="179"/>
    <n v="0"/>
    <n v="0"/>
    <n v="125"/>
    <x v="1"/>
    <n v="72967"/>
    <n v="0"/>
    <n v="1"/>
  </r>
  <r>
    <x v="71"/>
    <n v="229"/>
    <n v="27"/>
    <n v="71"/>
    <n v="13"/>
    <n v="3"/>
    <n v="34"/>
    <x v="1"/>
    <n v="40780"/>
    <n v="0"/>
    <n v="1"/>
  </r>
  <r>
    <x v="72"/>
    <n v="373"/>
    <n v="14"/>
    <n v="83"/>
    <n v="6"/>
    <n v="9"/>
    <n v="19"/>
    <x v="0"/>
    <n v="48070"/>
    <n v="0"/>
    <n v="1"/>
  </r>
  <r>
    <x v="73"/>
    <n v="5"/>
    <n v="1"/>
    <n v="7"/>
    <n v="2"/>
    <n v="1"/>
    <n v="4"/>
    <x v="0"/>
    <n v="43142"/>
    <n v="1"/>
    <n v="1"/>
  </r>
  <r>
    <x v="74"/>
    <n v="47"/>
    <n v="90"/>
    <n v="94"/>
    <n v="123"/>
    <n v="103"/>
    <n v="120"/>
    <x v="0"/>
    <n v="36550"/>
    <n v="1"/>
    <n v="0"/>
  </r>
  <r>
    <x v="75"/>
    <n v="91"/>
    <n v="65"/>
    <n v="52"/>
    <n v="10"/>
    <n v="44"/>
    <n v="28"/>
    <x v="0"/>
    <n v="40049"/>
    <n v="0"/>
    <n v="1"/>
  </r>
  <r>
    <x v="76"/>
    <n v="516"/>
    <n v="56"/>
    <n v="449"/>
    <n v="86"/>
    <n v="33"/>
    <n v="16"/>
    <x v="1"/>
    <n v="76773"/>
    <n v="0"/>
    <n v="0"/>
  </r>
  <r>
    <x v="77"/>
    <n v="283"/>
    <n v="112"/>
    <n v="151"/>
    <n v="51"/>
    <n v="72"/>
    <n v="125"/>
    <x v="0"/>
    <n v="52531"/>
    <n v="0"/>
    <n v="0"/>
  </r>
  <r>
    <x v="78"/>
    <n v="1170"/>
    <n v="48"/>
    <n v="320"/>
    <n v="42"/>
    <n v="32"/>
    <n v="192"/>
    <x v="1"/>
    <n v="64497"/>
    <n v="0"/>
    <n v="1"/>
  </r>
  <r>
    <x v="79"/>
    <n v="6"/>
    <n v="16"/>
    <n v="11"/>
    <n v="11"/>
    <n v="1"/>
    <n v="16"/>
    <x v="0"/>
    <n v="7500"/>
    <n v="0"/>
    <n v="0"/>
  </r>
  <r>
    <x v="80"/>
    <n v="315"/>
    <n v="0"/>
    <n v="31"/>
    <n v="4"/>
    <n v="0"/>
    <n v="91"/>
    <x v="1"/>
    <n v="41638"/>
    <n v="0"/>
    <n v="1"/>
  </r>
  <r>
    <x v="81"/>
    <n v="374"/>
    <n v="64"/>
    <n v="116"/>
    <n v="84"/>
    <n v="25"/>
    <n v="64"/>
    <x v="0"/>
    <n v="55357"/>
    <n v="2"/>
    <n v="0"/>
  </r>
  <r>
    <x v="82"/>
    <n v="534"/>
    <n v="5"/>
    <n v="47"/>
    <n v="0"/>
    <n v="5"/>
    <n v="41"/>
    <x v="1"/>
    <n v="61331"/>
    <n v="1"/>
    <n v="1"/>
  </r>
  <r>
    <x v="83"/>
    <n v="294"/>
    <n v="142"/>
    <n v="218"/>
    <n v="164"/>
    <n v="58"/>
    <n v="151"/>
    <x v="1"/>
    <n v="75012"/>
    <n v="0"/>
    <n v="0"/>
  </r>
  <r>
    <x v="84"/>
    <n v="308"/>
    <n v="85"/>
    <n v="137"/>
    <n v="102"/>
    <n v="45"/>
    <n v="118"/>
    <x v="1"/>
    <n v="54880"/>
    <n v="1"/>
    <n v="0"/>
  </r>
  <r>
    <x v="85"/>
    <n v="67"/>
    <n v="15"/>
    <n v="80"/>
    <n v="17"/>
    <n v="11"/>
    <n v="80"/>
    <x v="0"/>
    <n v="42315"/>
    <n v="0"/>
    <n v="1"/>
  </r>
  <r>
    <x v="86"/>
    <n v="9"/>
    <n v="0"/>
    <n v="7"/>
    <n v="2"/>
    <n v="0"/>
    <n v="4"/>
    <x v="1"/>
    <n v="9255"/>
    <n v="1"/>
    <n v="0"/>
  </r>
  <r>
    <x v="87"/>
    <n v="27"/>
    <n v="0"/>
    <n v="12"/>
    <n v="0"/>
    <n v="1"/>
    <n v="5"/>
    <x v="1"/>
    <n v="35340"/>
    <n v="1"/>
    <n v="1"/>
  </r>
  <r>
    <x v="88"/>
    <n v="824"/>
    <n v="32"/>
    <n v="162"/>
    <n v="42"/>
    <n v="32"/>
    <n v="43"/>
    <x v="0"/>
    <n v="69508"/>
    <n v="1"/>
    <n v="0"/>
  </r>
  <r>
    <x v="89"/>
    <n v="102"/>
    <n v="9"/>
    <n v="63"/>
    <n v="2"/>
    <n v="9"/>
    <n v="24"/>
    <x v="0"/>
    <n v="51012"/>
    <n v="0"/>
    <n v="0"/>
  </r>
  <r>
    <x v="90"/>
    <n v="1"/>
    <n v="11"/>
    <n v="5"/>
    <n v="4"/>
    <n v="6"/>
    <n v="9"/>
    <x v="0"/>
    <n v="7500"/>
    <n v="1"/>
    <n v="0"/>
  </r>
  <r>
    <x v="91"/>
    <n v="792"/>
    <n v="86"/>
    <n v="740"/>
    <n v="67"/>
    <n v="51"/>
    <n v="17"/>
    <x v="0"/>
    <n v="79930"/>
    <n v="0"/>
    <n v="0"/>
  </r>
  <r>
    <x v="92"/>
    <n v="388"/>
    <n v="14"/>
    <n v="218"/>
    <n v="91"/>
    <n v="14"/>
    <n v="21"/>
    <x v="0"/>
    <n v="65275"/>
    <n v="0"/>
    <n v="0"/>
  </r>
  <r>
    <x v="93"/>
    <n v="1060"/>
    <n v="61"/>
    <n v="835"/>
    <n v="80"/>
    <n v="20"/>
    <n v="101"/>
    <x v="0"/>
    <n v="83512"/>
    <n v="0"/>
    <n v="0"/>
  </r>
  <r>
    <x v="94"/>
    <n v="434"/>
    <n v="137"/>
    <n v="400"/>
    <n v="45"/>
    <n v="137"/>
    <n v="45"/>
    <x v="0"/>
    <n v="84219"/>
    <n v="0"/>
    <n v="0"/>
  </r>
  <r>
    <x v="95"/>
    <n v="322"/>
    <n v="3"/>
    <n v="50"/>
    <n v="4"/>
    <n v="3"/>
    <n v="42"/>
    <x v="1"/>
    <n v="48432"/>
    <n v="0"/>
    <n v="1"/>
  </r>
  <r>
    <x v="96"/>
    <n v="25"/>
    <n v="0"/>
    <n v="22"/>
    <n v="2"/>
    <n v="3"/>
    <n v="5"/>
    <x v="1"/>
    <n v="30015"/>
    <n v="1"/>
    <n v="0"/>
  </r>
  <r>
    <x v="97"/>
    <n v="908"/>
    <n v="43"/>
    <n v="735"/>
    <n v="40"/>
    <n v="194"/>
    <n v="21"/>
    <x v="0"/>
    <n v="96876"/>
    <n v="0"/>
    <n v="0"/>
  </r>
  <r>
    <x v="98"/>
    <n v="13"/>
    <n v="1"/>
    <n v="29"/>
    <n v="3"/>
    <n v="0"/>
    <n v="7"/>
    <x v="0"/>
    <n v="20559"/>
    <n v="1"/>
    <n v="0"/>
  </r>
  <r>
    <x v="99"/>
    <n v="3"/>
    <n v="3"/>
    <n v="7"/>
    <n v="6"/>
    <n v="2"/>
    <n v="9"/>
    <x v="0"/>
    <n v="34421"/>
    <n v="1"/>
    <n v="0"/>
  </r>
  <r>
    <x v="100"/>
    <n v="174"/>
    <n v="77"/>
    <n v="203"/>
    <n v="6"/>
    <n v="24"/>
    <n v="97"/>
    <x v="0"/>
    <n v="54006"/>
    <n v="1"/>
    <n v="0"/>
  </r>
  <r>
    <x v="101"/>
    <n v="23"/>
    <n v="0"/>
    <n v="26"/>
    <n v="7"/>
    <n v="15"/>
    <n v="3"/>
    <x v="0"/>
    <n v="37155"/>
    <n v="1"/>
    <n v="0"/>
  </r>
  <r>
    <x v="102"/>
    <n v="2"/>
    <n v="23"/>
    <n v="11"/>
    <n v="8"/>
    <n v="6"/>
    <n v="46"/>
    <x v="0"/>
    <n v="22634"/>
    <n v="0"/>
    <n v="0"/>
  </r>
  <r>
    <x v="103"/>
    <n v="267"/>
    <n v="38"/>
    <n v="701"/>
    <n v="149"/>
    <n v="165"/>
    <n v="63"/>
    <x v="0"/>
    <n v="65819"/>
    <n v="0"/>
    <n v="0"/>
  </r>
  <r>
    <x v="104"/>
    <n v="941"/>
    <n v="14"/>
    <n v="397"/>
    <n v="76"/>
    <n v="58"/>
    <n v="176"/>
    <x v="1"/>
    <n v="57333"/>
    <n v="0"/>
    <n v="1"/>
  </r>
  <r>
    <x v="105"/>
    <n v="163"/>
    <n v="23"/>
    <n v="424"/>
    <n v="27"/>
    <n v="65"/>
    <n v="76"/>
    <x v="1"/>
    <n v="81361"/>
    <n v="0"/>
    <n v="0"/>
  </r>
  <r>
    <x v="106"/>
    <n v="31"/>
    <n v="9"/>
    <n v="27"/>
    <n v="16"/>
    <n v="9"/>
    <n v="33"/>
    <x v="1"/>
    <n v="46107"/>
    <n v="1"/>
    <n v="0"/>
  </r>
  <r>
    <x v="107"/>
    <n v="398"/>
    <n v="61"/>
    <n v="265"/>
    <n v="138"/>
    <n v="61"/>
    <n v="53"/>
    <x v="0"/>
    <n v="62820"/>
    <n v="0"/>
    <n v="0"/>
  </r>
  <r>
    <x v="108"/>
    <n v="243"/>
    <n v="131"/>
    <n v="217"/>
    <n v="85"/>
    <n v="6"/>
    <n v="26"/>
    <x v="1"/>
    <n v="62335"/>
    <n v="0"/>
    <n v="1"/>
  </r>
  <r>
    <x v="109"/>
    <n v="746"/>
    <n v="8"/>
    <n v="125"/>
    <n v="11"/>
    <n v="8"/>
    <n v="8"/>
    <x v="0"/>
    <n v="56937"/>
    <n v="1"/>
    <n v="0"/>
  </r>
  <r>
    <x v="110"/>
    <n v="704"/>
    <n v="129"/>
    <n v="853"/>
    <n v="120"/>
    <n v="74"/>
    <n v="111"/>
    <x v="1"/>
    <n v="90273"/>
    <n v="0"/>
    <n v="0"/>
  </r>
  <r>
    <x v="111"/>
    <n v="14"/>
    <n v="36"/>
    <n v="11"/>
    <n v="3"/>
    <n v="26"/>
    <n v="35"/>
    <x v="0"/>
    <n v="42523"/>
    <n v="0"/>
    <n v="0"/>
  </r>
  <r>
    <x v="112"/>
    <n v="9"/>
    <n v="1"/>
    <n v="7"/>
    <n v="0"/>
    <n v="3"/>
    <n v="2"/>
    <x v="0"/>
    <n v="26907"/>
    <n v="1"/>
    <n v="1"/>
  </r>
  <r>
    <x v="113"/>
    <n v="816"/>
    <n v="66"/>
    <n v="549"/>
    <n v="216"/>
    <n v="66"/>
    <n v="99"/>
    <x v="1"/>
    <n v="78579"/>
    <n v="0"/>
    <n v="0"/>
  </r>
  <r>
    <x v="114"/>
    <n v="293"/>
    <n v="35"/>
    <n v="179"/>
    <n v="46"/>
    <n v="59"/>
    <n v="65"/>
    <x v="1"/>
    <n v="66033"/>
    <n v="0"/>
    <n v="1"/>
  </r>
  <r>
    <x v="115"/>
    <n v="6"/>
    <n v="1"/>
    <n v="2"/>
    <n v="2"/>
    <n v="0"/>
    <n v="4"/>
    <x v="1"/>
    <n v="25930"/>
    <n v="1"/>
    <n v="1"/>
  </r>
  <r>
    <x v="116"/>
    <n v="302"/>
    <n v="29"/>
    <n v="131"/>
    <n v="32"/>
    <n v="0"/>
    <n v="27"/>
    <x v="1"/>
    <n v="41769"/>
    <n v="0"/>
    <n v="1"/>
  </r>
  <r>
    <x v="117"/>
    <n v="349"/>
    <n v="4"/>
    <n v="78"/>
    <n v="6"/>
    <n v="0"/>
    <n v="43"/>
    <x v="0"/>
    <n v="53593"/>
    <n v="1"/>
    <n v="1"/>
  </r>
  <r>
    <x v="118"/>
    <n v="65"/>
    <n v="36"/>
    <n v="74"/>
    <n v="38"/>
    <n v="20"/>
    <n v="110"/>
    <x v="0"/>
    <n v="30507"/>
    <n v="0"/>
    <n v="0"/>
  </r>
  <r>
    <x v="119"/>
    <n v="422"/>
    <n v="7"/>
    <n v="238"/>
    <n v="69"/>
    <n v="46"/>
    <n v="15"/>
    <x v="0"/>
    <n v="69389"/>
    <n v="0"/>
    <n v="1"/>
  </r>
  <r>
    <x v="120"/>
    <n v="6"/>
    <n v="4"/>
    <n v="1"/>
    <n v="7"/>
    <n v="2"/>
    <n v="15"/>
    <x v="1"/>
    <n v="18890"/>
    <n v="0"/>
    <n v="0"/>
  </r>
  <r>
    <x v="121"/>
    <n v="22"/>
    <n v="2"/>
    <n v="12"/>
    <n v="0"/>
    <n v="2"/>
    <n v="5"/>
    <x v="0"/>
    <n v="32871"/>
    <n v="1"/>
    <n v="1"/>
  </r>
  <r>
    <x v="122"/>
    <n v="464"/>
    <n v="5"/>
    <n v="64"/>
    <n v="7"/>
    <n v="0"/>
    <n v="70"/>
    <x v="0"/>
    <n v="57183"/>
    <n v="1"/>
    <n v="1"/>
  </r>
  <r>
    <x v="123"/>
    <n v="356"/>
    <n v="80"/>
    <n v="329"/>
    <n v="138"/>
    <n v="17"/>
    <n v="106"/>
    <x v="0"/>
    <n v="57304"/>
    <n v="0"/>
    <n v="1"/>
  </r>
  <r>
    <x v="124"/>
    <n v="59"/>
    <n v="0"/>
    <n v="12"/>
    <n v="0"/>
    <n v="0"/>
    <n v="48"/>
    <x v="1"/>
    <n v="52074"/>
    <n v="0"/>
    <n v="1"/>
  </r>
  <r>
    <x v="125"/>
    <n v="1"/>
    <n v="3"/>
    <n v="2"/>
    <n v="20"/>
    <n v="30"/>
    <n v="47"/>
    <x v="0"/>
    <n v="16005"/>
    <n v="1"/>
    <n v="0"/>
  </r>
  <r>
    <x v="126"/>
    <n v="40"/>
    <n v="2"/>
    <n v="15"/>
    <n v="8"/>
    <n v="0"/>
    <n v="6"/>
    <x v="1"/>
    <n v="33996"/>
    <n v="0"/>
    <n v="0"/>
  </r>
  <r>
    <x v="127"/>
    <n v="146"/>
    <n v="0"/>
    <n v="93"/>
    <n v="7"/>
    <n v="13"/>
    <n v="73"/>
    <x v="1"/>
    <n v="52034"/>
    <n v="1"/>
    <n v="1"/>
  </r>
  <r>
    <x v="128"/>
    <n v="13"/>
    <n v="4"/>
    <n v="20"/>
    <n v="0"/>
    <n v="0"/>
    <n v="1"/>
    <x v="0"/>
    <n v="37633"/>
    <n v="1"/>
    <n v="1"/>
  </r>
  <r>
    <x v="129"/>
    <n v="4"/>
    <n v="2"/>
    <n v="5"/>
    <n v="0"/>
    <n v="0"/>
    <n v="5"/>
    <x v="0"/>
    <n v="36807"/>
    <n v="1"/>
    <n v="1"/>
  </r>
  <r>
    <x v="130"/>
    <n v="972"/>
    <n v="59"/>
    <n v="913"/>
    <n v="25"/>
    <n v="19"/>
    <n v="59"/>
    <x v="0"/>
    <n v="74918"/>
    <n v="0"/>
    <n v="0"/>
  </r>
  <r>
    <x v="131"/>
    <n v="707"/>
    <n v="21"/>
    <n v="250"/>
    <n v="85"/>
    <n v="43"/>
    <n v="73"/>
    <x v="0"/>
    <n v="73691"/>
    <n v="0"/>
    <n v="1"/>
  </r>
  <r>
    <x v="132"/>
    <n v="162"/>
    <n v="61"/>
    <n v="83"/>
    <n v="97"/>
    <n v="57"/>
    <n v="61"/>
    <x v="1"/>
    <n v="47682"/>
    <n v="0"/>
    <n v="1"/>
  </r>
  <r>
    <x v="133"/>
    <n v="787"/>
    <n v="20"/>
    <n v="204"/>
    <n v="0"/>
    <n v="0"/>
    <n v="92"/>
    <x v="1"/>
    <n v="51537"/>
    <n v="0"/>
    <n v="1"/>
  </r>
  <r>
    <x v="134"/>
    <n v="141"/>
    <n v="15"/>
    <n v="153"/>
    <n v="67"/>
    <n v="31"/>
    <n v="35"/>
    <x v="0"/>
    <n v="50353"/>
    <n v="0"/>
    <n v="0"/>
  </r>
  <r>
    <x v="135"/>
    <n v="529"/>
    <n v="0"/>
    <n v="356"/>
    <n v="63"/>
    <n v="28"/>
    <n v="0"/>
    <x v="0"/>
    <n v="67911"/>
    <n v="0"/>
    <n v="1"/>
  </r>
  <r>
    <x v="136"/>
    <n v="18"/>
    <n v="3"/>
    <n v="19"/>
    <n v="3"/>
    <n v="3"/>
    <n v="6"/>
    <x v="0"/>
    <n v="28427"/>
    <n v="1"/>
    <n v="0"/>
  </r>
  <r>
    <x v="137"/>
    <n v="1493"/>
    <n v="86"/>
    <n v="454"/>
    <n v="112"/>
    <n v="43"/>
    <n v="43"/>
    <x v="0"/>
    <n v="80360"/>
    <n v="0"/>
    <n v="0"/>
  </r>
  <r>
    <x v="138"/>
    <n v="48"/>
    <n v="13"/>
    <n v="57"/>
    <n v="24"/>
    <n v="15"/>
    <n v="25"/>
    <x v="1"/>
    <n v="42395"/>
    <n v="1"/>
    <n v="1"/>
  </r>
  <r>
    <x v="139"/>
    <n v="46"/>
    <n v="7"/>
    <n v="59"/>
    <n v="2"/>
    <n v="4"/>
    <n v="27"/>
    <x v="0"/>
    <n v="42162"/>
    <n v="1"/>
    <n v="0"/>
  </r>
  <r>
    <x v="140"/>
    <n v="588"/>
    <n v="7"/>
    <n v="76"/>
    <n v="110"/>
    <n v="15"/>
    <n v="15"/>
    <x v="1"/>
    <n v="60554"/>
    <n v="1"/>
    <n v="0"/>
  </r>
  <r>
    <x v="141"/>
    <n v="340"/>
    <n v="21"/>
    <n v="134"/>
    <n v="258"/>
    <n v="14"/>
    <n v="56"/>
    <x v="0"/>
    <n v="75774"/>
    <n v="1"/>
    <n v="0"/>
  </r>
  <r>
    <x v="142"/>
    <n v="135"/>
    <n v="9"/>
    <n v="39"/>
    <n v="4"/>
    <n v="0"/>
    <n v="7"/>
    <x v="0"/>
    <n v="54178"/>
    <n v="0"/>
    <n v="1"/>
  </r>
  <r>
    <x v="143"/>
    <n v="379"/>
    <n v="4"/>
    <n v="93"/>
    <n v="12"/>
    <n v="9"/>
    <n v="98"/>
    <x v="1"/>
    <n v="42835"/>
    <n v="1"/>
    <n v="1"/>
  </r>
  <r>
    <x v="144"/>
    <n v="18"/>
    <n v="3"/>
    <n v="17"/>
    <n v="3"/>
    <n v="0"/>
    <n v="4"/>
    <x v="0"/>
    <n v="20895"/>
    <n v="1"/>
    <n v="0"/>
  </r>
  <r>
    <x v="145"/>
    <n v="584"/>
    <n v="44"/>
    <n v="212"/>
    <n v="46"/>
    <n v="8"/>
    <n v="177"/>
    <x v="1"/>
    <n v="60161"/>
    <n v="0"/>
    <n v="1"/>
  </r>
  <r>
    <x v="146"/>
    <n v="2"/>
    <n v="0"/>
    <n v="6"/>
    <n v="8"/>
    <n v="6"/>
    <n v="5"/>
    <x v="1"/>
    <n v="23442"/>
    <n v="1"/>
    <n v="0"/>
  </r>
  <r>
    <x v="147"/>
    <n v="23"/>
    <n v="1"/>
    <n v="6"/>
    <n v="0"/>
    <n v="0"/>
    <n v="2"/>
    <x v="0"/>
    <n v="44512"/>
    <n v="1"/>
    <n v="1"/>
  </r>
  <r>
    <x v="148"/>
    <n v="12"/>
    <n v="0"/>
    <n v="5"/>
    <n v="0"/>
    <n v="0"/>
    <n v="4"/>
    <x v="0"/>
    <n v="40521"/>
    <n v="1"/>
    <n v="1"/>
  </r>
  <r>
    <x v="149"/>
    <n v="167"/>
    <n v="2"/>
    <n v="89"/>
    <n v="0"/>
    <n v="0"/>
    <n v="34"/>
    <x v="0"/>
    <n v="44602"/>
    <n v="1"/>
    <n v="1"/>
  </r>
  <r>
    <x v="150"/>
    <n v="151"/>
    <n v="81"/>
    <n v="86"/>
    <n v="168"/>
    <n v="91"/>
    <n v="64"/>
    <x v="0"/>
    <n v="74190"/>
    <n v="0"/>
    <n v="1"/>
  </r>
  <r>
    <x v="151"/>
    <n v="508"/>
    <n v="124"/>
    <n v="249"/>
    <n v="50"/>
    <n v="38"/>
    <n v="134"/>
    <x v="1"/>
    <n v="63285"/>
    <n v="0"/>
    <n v="0"/>
  </r>
  <r>
    <x v="152"/>
    <n v="962"/>
    <n v="61"/>
    <n v="921"/>
    <n v="52"/>
    <n v="61"/>
    <n v="20"/>
    <x v="1"/>
    <n v="92859"/>
    <n v="0"/>
    <n v="0"/>
  </r>
  <r>
    <x v="153"/>
    <n v="784"/>
    <n v="48"/>
    <n v="560"/>
    <n v="42"/>
    <n v="176"/>
    <n v="48"/>
    <x v="1"/>
    <n v="74004"/>
    <n v="0"/>
    <n v="0"/>
  </r>
  <r>
    <x v="154"/>
    <n v="561"/>
    <n v="14"/>
    <n v="113"/>
    <n v="10"/>
    <n v="14"/>
    <n v="35"/>
    <x v="0"/>
    <n v="65814"/>
    <n v="0"/>
    <n v="1"/>
  </r>
  <r>
    <x v="155"/>
    <n v="56"/>
    <n v="0"/>
    <n v="14"/>
    <n v="0"/>
    <n v="0"/>
    <n v="2"/>
    <x v="0"/>
    <n v="38452"/>
    <n v="1"/>
    <n v="1"/>
  </r>
  <r>
    <x v="156"/>
    <n v="63"/>
    <n v="6"/>
    <n v="57"/>
    <n v="13"/>
    <n v="13"/>
    <n v="22"/>
    <x v="0"/>
    <n v="54809"/>
    <n v="1"/>
    <n v="1"/>
  </r>
  <r>
    <x v="157"/>
    <n v="97"/>
    <n v="4"/>
    <n v="44"/>
    <n v="6"/>
    <n v="1"/>
    <n v="18"/>
    <x v="0"/>
    <n v="45503"/>
    <n v="1"/>
    <n v="0"/>
  </r>
  <r>
    <x v="158"/>
    <n v="303"/>
    <n v="0"/>
    <n v="280"/>
    <n v="60"/>
    <n v="147"/>
    <n v="15"/>
    <x v="0"/>
    <n v="64722"/>
    <n v="1"/>
    <n v="0"/>
  </r>
  <r>
    <x v="159"/>
    <n v="320"/>
    <n v="48"/>
    <n v="133"/>
    <n v="39"/>
    <n v="72"/>
    <n v="48"/>
    <x v="0"/>
    <n v="56129"/>
    <n v="0"/>
    <n v="1"/>
  </r>
  <r>
    <x v="160"/>
    <n v="381"/>
    <n v="28"/>
    <n v="215"/>
    <n v="84"/>
    <n v="28"/>
    <n v="21"/>
    <x v="1"/>
    <n v="70566"/>
    <n v="0"/>
    <n v="1"/>
  </r>
  <r>
    <x v="161"/>
    <n v="306"/>
    <n v="5"/>
    <n v="109"/>
    <n v="21"/>
    <n v="109"/>
    <n v="92"/>
    <x v="0"/>
    <n v="57136"/>
    <n v="1"/>
    <n v="1"/>
  </r>
  <r>
    <x v="162"/>
    <n v="54"/>
    <n v="0"/>
    <n v="7"/>
    <n v="0"/>
    <n v="0"/>
    <n v="4"/>
    <x v="0"/>
    <n v="44794"/>
    <n v="0"/>
    <n v="1"/>
  </r>
  <r>
    <x v="163"/>
    <n v="1099"/>
    <n v="0"/>
    <n v="45"/>
    <n v="0"/>
    <n v="0"/>
    <n v="34"/>
    <x v="0"/>
    <n v="62845"/>
    <n v="1"/>
    <n v="1"/>
  </r>
  <r>
    <x v="164"/>
    <n v="411"/>
    <n v="0"/>
    <n v="26"/>
    <n v="0"/>
    <n v="0"/>
    <n v="21"/>
    <x v="0"/>
    <n v="49681"/>
    <n v="0"/>
    <n v="2"/>
  </r>
  <r>
    <x v="165"/>
    <n v="6"/>
    <n v="0"/>
    <n v="2"/>
    <n v="2"/>
    <n v="0"/>
    <n v="1"/>
    <x v="0"/>
    <n v="29298"/>
    <n v="1"/>
    <n v="1"/>
  </r>
  <r>
    <x v="166"/>
    <n v="410"/>
    <n v="16"/>
    <n v="114"/>
    <n v="0"/>
    <n v="5"/>
    <n v="49"/>
    <x v="0"/>
    <n v="61467"/>
    <n v="0"/>
    <n v="2"/>
  </r>
  <r>
    <x v="167"/>
    <n v="38"/>
    <n v="15"/>
    <n v="54"/>
    <n v="3"/>
    <n v="8"/>
    <n v="29"/>
    <x v="0"/>
    <n v="23477"/>
    <n v="1"/>
    <n v="0"/>
  </r>
  <r>
    <x v="168"/>
    <n v="224"/>
    <n v="12"/>
    <n v="48"/>
    <n v="4"/>
    <n v="12"/>
    <n v="12"/>
    <x v="0"/>
    <n v="62994"/>
    <n v="1"/>
    <n v="0"/>
  </r>
  <r>
    <x v="169"/>
    <n v="7"/>
    <n v="17"/>
    <n v="18"/>
    <n v="6"/>
    <n v="10"/>
    <n v="26"/>
    <x v="1"/>
    <n v="21846"/>
    <n v="1"/>
    <n v="0"/>
  </r>
  <r>
    <x v="170"/>
    <n v="254"/>
    <n v="6"/>
    <n v="71"/>
    <n v="4"/>
    <n v="0"/>
    <n v="27"/>
    <x v="0"/>
    <n v="46149"/>
    <n v="0"/>
    <n v="1"/>
  </r>
  <r>
    <x v="171"/>
    <n v="20"/>
    <n v="3"/>
    <n v="4"/>
    <n v="2"/>
    <n v="0"/>
    <n v="2"/>
    <x v="1"/>
    <n v="41644"/>
    <n v="1"/>
    <n v="1"/>
  </r>
  <r>
    <x v="172"/>
    <n v="16"/>
    <n v="2"/>
    <n v="11"/>
    <n v="3"/>
    <n v="0"/>
    <n v="16"/>
    <x v="0"/>
    <n v="31086"/>
    <n v="1"/>
    <n v="1"/>
  </r>
  <r>
    <x v="173"/>
    <n v="9"/>
    <n v="0"/>
    <n v="6"/>
    <n v="4"/>
    <n v="1"/>
    <n v="5"/>
    <x v="0"/>
    <n v="37717"/>
    <n v="1"/>
    <n v="0"/>
  </r>
  <r>
    <x v="174"/>
    <n v="51"/>
    <n v="1"/>
    <n v="7"/>
    <n v="2"/>
    <n v="1"/>
    <n v="25"/>
    <x v="0"/>
    <n v="40211"/>
    <n v="1"/>
    <n v="1"/>
  </r>
  <r>
    <x v="175"/>
    <n v="158"/>
    <n v="11"/>
    <n v="99"/>
    <n v="15"/>
    <n v="11"/>
    <n v="17"/>
    <x v="1"/>
    <n v="57100"/>
    <n v="1"/>
    <n v="0"/>
  </r>
  <r>
    <x v="176"/>
    <n v="139"/>
    <n v="13"/>
    <n v="78"/>
    <n v="20"/>
    <n v="13"/>
    <n v="36"/>
    <x v="1"/>
    <n v="39660"/>
    <n v="1"/>
    <n v="0"/>
  </r>
  <r>
    <x v="177"/>
    <n v="121"/>
    <n v="103"/>
    <n v="69"/>
    <n v="8"/>
    <n v="44"/>
    <n v="48"/>
    <x v="0"/>
    <n v="56181"/>
    <n v="0"/>
    <n v="1"/>
  </r>
  <r>
    <x v="178"/>
    <n v="87"/>
    <n v="3"/>
    <n v="25"/>
    <n v="3"/>
    <n v="2"/>
    <n v="13"/>
    <x v="0"/>
    <n v="36317"/>
    <n v="0"/>
    <n v="1"/>
  </r>
  <r>
    <x v="179"/>
    <n v="45"/>
    <n v="47"/>
    <n v="52"/>
    <n v="21"/>
    <n v="20"/>
    <n v="25"/>
    <x v="0"/>
    <n v="26490"/>
    <n v="0"/>
    <n v="0"/>
  </r>
  <r>
    <x v="180"/>
    <n v="4"/>
    <n v="7"/>
    <n v="7"/>
    <n v="6"/>
    <n v="4"/>
    <n v="13"/>
    <x v="1"/>
    <n v="10245"/>
    <n v="1"/>
    <n v="0"/>
  </r>
  <r>
    <x v="181"/>
    <n v="3"/>
    <n v="3"/>
    <n v="24"/>
    <n v="34"/>
    <n v="7"/>
    <n v="31"/>
    <x v="1"/>
    <n v="22123"/>
    <n v="0"/>
    <n v="0"/>
  </r>
  <r>
    <x v="182"/>
    <n v="167"/>
    <n v="2"/>
    <n v="44"/>
    <n v="6"/>
    <n v="2"/>
    <n v="19"/>
    <x v="0"/>
    <n v="47175"/>
    <n v="1"/>
    <n v="1"/>
  </r>
  <r>
    <x v="183"/>
    <n v="133"/>
    <n v="27"/>
    <n v="421"/>
    <n v="13"/>
    <n v="195"/>
    <n v="71"/>
    <x v="0"/>
    <n v="74716"/>
    <n v="0"/>
    <n v="1"/>
  </r>
  <r>
    <x v="184"/>
    <n v="235"/>
    <n v="65"/>
    <n v="164"/>
    <n v="50"/>
    <n v="49"/>
    <n v="27"/>
    <x v="1"/>
    <n v="55635"/>
    <n v="0"/>
    <n v="1"/>
  </r>
  <r>
    <x v="185"/>
    <n v="538"/>
    <n v="13"/>
    <n v="91"/>
    <n v="17"/>
    <n v="6"/>
    <n v="26"/>
    <x v="0"/>
    <n v="44529"/>
    <n v="0"/>
    <n v="1"/>
  </r>
  <r>
    <x v="186"/>
    <n v="342"/>
    <n v="9"/>
    <n v="112"/>
    <n v="19"/>
    <n v="14"/>
    <n v="19"/>
    <x v="0"/>
    <n v="46049"/>
    <n v="1"/>
    <n v="1"/>
  </r>
  <r>
    <x v="187"/>
    <n v="112"/>
    <n v="19"/>
    <n v="21"/>
    <n v="16"/>
    <n v="14"/>
    <n v="5"/>
    <x v="1"/>
    <n v="41335"/>
    <n v="1"/>
    <n v="0"/>
  </r>
  <r>
    <x v="188"/>
    <n v="178"/>
    <n v="4"/>
    <n v="26"/>
    <n v="8"/>
    <n v="4"/>
    <n v="44"/>
    <x v="1"/>
    <n v="54252"/>
    <n v="1"/>
    <n v="1"/>
  </r>
  <r>
    <x v="189"/>
    <n v="200"/>
    <n v="19"/>
    <n v="111"/>
    <n v="50"/>
    <n v="15"/>
    <n v="19"/>
    <x v="0"/>
    <n v="47320"/>
    <n v="0"/>
    <n v="1"/>
  </r>
  <r>
    <x v="190"/>
    <n v="6"/>
    <n v="10"/>
    <n v="21"/>
    <n v="19"/>
    <n v="14"/>
    <n v="42"/>
    <x v="1"/>
    <n v="33249"/>
    <n v="1"/>
    <n v="0"/>
  </r>
  <r>
    <x v="191"/>
    <n v="110"/>
    <n v="29"/>
    <n v="92"/>
    <n v="28"/>
    <n v="10"/>
    <n v="145"/>
    <x v="0"/>
    <n v="40059"/>
    <n v="1"/>
    <n v="0"/>
  </r>
  <r>
    <x v="192"/>
    <n v="410"/>
    <n v="0"/>
    <n v="592"/>
    <n v="147"/>
    <n v="22"/>
    <n v="22"/>
    <x v="0"/>
    <n v="81168"/>
    <n v="0"/>
    <n v="0"/>
  </r>
  <r>
    <x v="193"/>
    <n v="490"/>
    <n v="44"/>
    <n v="125"/>
    <n v="29"/>
    <n v="20"/>
    <n v="22"/>
    <x v="1"/>
    <n v="86037"/>
    <n v="0"/>
    <n v="0"/>
  </r>
  <r>
    <x v="194"/>
    <n v="505"/>
    <n v="72"/>
    <n v="270"/>
    <n v="36"/>
    <n v="27"/>
    <n v="54"/>
    <x v="0"/>
    <n v="74881"/>
    <n v="1"/>
    <n v="1"/>
  </r>
  <r>
    <x v="195"/>
    <n v="728"/>
    <n v="17"/>
    <n v="133"/>
    <n v="11"/>
    <n v="8"/>
    <n v="124"/>
    <x v="0"/>
    <n v="44953"/>
    <n v="0"/>
    <n v="0"/>
  </r>
  <r>
    <x v="196"/>
    <n v="41"/>
    <n v="0"/>
    <n v="17"/>
    <n v="3"/>
    <n v="1"/>
    <n v="16"/>
    <x v="0"/>
    <n v="46931"/>
    <n v="2"/>
    <n v="1"/>
  </r>
  <r>
    <x v="197"/>
    <n v="523"/>
    <n v="7"/>
    <n v="134"/>
    <n v="37"/>
    <n v="14"/>
    <n v="169"/>
    <x v="1"/>
    <n v="61823"/>
    <n v="0"/>
    <n v="1"/>
  </r>
  <r>
    <x v="198"/>
    <n v="41"/>
    <n v="1"/>
    <n v="6"/>
    <n v="2"/>
    <n v="0"/>
    <n v="5"/>
    <x v="1"/>
    <n v="34554"/>
    <n v="0"/>
    <n v="1"/>
  </r>
  <r>
    <x v="199"/>
    <n v="350"/>
    <n v="60"/>
    <n v="568"/>
    <n v="110"/>
    <n v="133"/>
    <n v="145"/>
    <x v="0"/>
    <n v="79593"/>
    <n v="0"/>
    <n v="0"/>
  </r>
  <r>
    <x v="200"/>
    <n v="200"/>
    <n v="5"/>
    <n v="44"/>
    <n v="0"/>
    <n v="10"/>
    <n v="20"/>
    <x v="0"/>
    <n v="64413"/>
    <n v="0"/>
    <n v="1"/>
  </r>
  <r>
    <x v="201"/>
    <n v="22"/>
    <n v="0"/>
    <n v="13"/>
    <n v="0"/>
    <n v="0"/>
    <n v="3"/>
    <x v="1"/>
    <n v="40637"/>
    <n v="1"/>
    <n v="1"/>
  </r>
  <r>
    <x v="202"/>
    <n v="600"/>
    <n v="20"/>
    <n v="350"/>
    <n v="29"/>
    <n v="30"/>
    <n v="33"/>
    <x v="0"/>
    <n v="85710"/>
    <n v="0"/>
    <n v="0"/>
  </r>
  <r>
    <x v="203"/>
    <n v="322"/>
    <n v="3"/>
    <n v="50"/>
    <n v="4"/>
    <n v="3"/>
    <n v="42"/>
    <x v="1"/>
    <n v="48432"/>
    <n v="0"/>
    <n v="1"/>
  </r>
  <r>
    <x v="204"/>
    <n v="299"/>
    <n v="5"/>
    <n v="201"/>
    <n v="21"/>
    <n v="21"/>
    <n v="49"/>
    <x v="0"/>
    <n v="58398"/>
    <n v="0"/>
    <n v="0"/>
  </r>
  <r>
    <x v="205"/>
    <n v="112"/>
    <n v="10"/>
    <n v="107"/>
    <n v="30"/>
    <n v="0"/>
    <n v="20"/>
    <x v="0"/>
    <n v="52117"/>
    <n v="0"/>
    <n v="1"/>
  </r>
  <r>
    <x v="206"/>
    <n v="63"/>
    <n v="3"/>
    <n v="67"/>
    <n v="8"/>
    <n v="9"/>
    <n v="28"/>
    <x v="0"/>
    <n v="35641"/>
    <n v="1"/>
    <n v="0"/>
  </r>
  <r>
    <x v="207"/>
    <n v="14"/>
    <n v="10"/>
    <n v="13"/>
    <n v="4"/>
    <n v="15"/>
    <n v="9"/>
    <x v="0"/>
    <n v="28332"/>
    <n v="0"/>
    <n v="0"/>
  </r>
  <r>
    <x v="208"/>
    <n v="656"/>
    <n v="38"/>
    <n v="161"/>
    <n v="62"/>
    <n v="47"/>
    <n v="37"/>
    <x v="0"/>
    <n v="56796"/>
    <n v="0"/>
    <n v="1"/>
  </r>
  <r>
    <x v="209"/>
    <n v="29"/>
    <n v="0"/>
    <n v="8"/>
    <n v="2"/>
    <n v="0"/>
    <n v="6"/>
    <x v="0"/>
    <n v="53204"/>
    <n v="1"/>
    <n v="1"/>
  </r>
  <r>
    <x v="210"/>
    <n v="22"/>
    <n v="1"/>
    <n v="11"/>
    <n v="0"/>
    <n v="5"/>
    <n v="3"/>
    <x v="0"/>
    <n v="42403"/>
    <n v="1"/>
    <n v="0"/>
  </r>
  <r>
    <x v="211"/>
    <n v="557"/>
    <n v="129"/>
    <n v="984"/>
    <n v="193"/>
    <n v="37"/>
    <n v="18"/>
    <x v="1"/>
    <n v="80695"/>
    <n v="0"/>
    <n v="0"/>
  </r>
  <r>
    <x v="212"/>
    <n v="532"/>
    <n v="88"/>
    <n v="168"/>
    <n v="69"/>
    <n v="44"/>
    <n v="133"/>
    <x v="1"/>
    <n v="70179"/>
    <n v="0"/>
    <n v="1"/>
  </r>
  <r>
    <x v="213"/>
    <n v="70"/>
    <n v="0"/>
    <n v="17"/>
    <n v="0"/>
    <n v="0"/>
    <n v="6"/>
    <x v="1"/>
    <n v="40760"/>
    <n v="0"/>
    <n v="1"/>
  </r>
  <r>
    <x v="214"/>
    <n v="258"/>
    <n v="105"/>
    <n v="239"/>
    <n v="237"/>
    <n v="172"/>
    <n v="9"/>
    <x v="0"/>
    <n v="56715"/>
    <n v="0"/>
    <n v="0"/>
  </r>
  <r>
    <x v="215"/>
    <n v="1000"/>
    <n v="0"/>
    <n v="76"/>
    <n v="0"/>
    <n v="0"/>
    <n v="10"/>
    <x v="0"/>
    <n v="71969"/>
    <n v="0"/>
    <n v="1"/>
  </r>
  <r>
    <x v="216"/>
    <n v="733"/>
    <n v="9"/>
    <n v="180"/>
    <n v="12"/>
    <n v="19"/>
    <n v="66"/>
    <x v="0"/>
    <n v="75283"/>
    <n v="1"/>
    <n v="2"/>
  </r>
  <r>
    <x v="217"/>
    <n v="16"/>
    <n v="14"/>
    <n v="36"/>
    <n v="37"/>
    <n v="22"/>
    <n v="48"/>
    <x v="0"/>
    <n v="22669"/>
    <n v="1"/>
    <n v="0"/>
  </r>
  <r>
    <x v="218"/>
    <n v="269"/>
    <n v="129"/>
    <n v="495"/>
    <n v="182"/>
    <n v="43"/>
    <n v="29"/>
    <x v="0"/>
    <n v="61014"/>
    <n v="0"/>
    <n v="1"/>
  </r>
  <r>
    <x v="219"/>
    <n v="24"/>
    <n v="4"/>
    <n v="22"/>
    <n v="0"/>
    <n v="2"/>
    <n v="9"/>
    <x v="0"/>
    <n v="41275"/>
    <n v="1"/>
    <n v="2"/>
  </r>
  <r>
    <x v="220"/>
    <n v="1486"/>
    <n v="55"/>
    <n v="278"/>
    <n v="49"/>
    <n v="0"/>
    <n v="185"/>
    <x v="0"/>
    <n v="81929"/>
    <n v="1"/>
    <n v="0"/>
  </r>
  <r>
    <x v="221"/>
    <n v="6"/>
    <n v="0"/>
    <n v="5"/>
    <n v="0"/>
    <n v="0"/>
    <n v="1"/>
    <x v="0"/>
    <n v="27590"/>
    <n v="1"/>
    <n v="0"/>
  </r>
  <r>
    <x v="222"/>
    <n v="544"/>
    <n v="13"/>
    <n v="85"/>
    <n v="8"/>
    <n v="6"/>
    <n v="29"/>
    <x v="0"/>
    <n v="50965"/>
    <n v="0"/>
    <n v="1"/>
  </r>
  <r>
    <x v="223"/>
    <n v="938"/>
    <n v="19"/>
    <n v="843"/>
    <n v="25"/>
    <n v="95"/>
    <n v="38"/>
    <x v="0"/>
    <n v="85844"/>
    <n v="0"/>
    <n v="0"/>
  </r>
  <r>
    <x v="224"/>
    <n v="85"/>
    <n v="0"/>
    <n v="3"/>
    <n v="0"/>
    <n v="0"/>
    <n v="7"/>
    <x v="1"/>
    <n v="52569"/>
    <n v="0"/>
    <n v="1"/>
  </r>
  <r>
    <x v="225"/>
    <n v="398"/>
    <n v="190"/>
    <n v="537"/>
    <n v="61"/>
    <n v="156"/>
    <n v="37"/>
    <x v="1"/>
    <n v="81246"/>
    <n v="0"/>
    <n v="0"/>
  </r>
  <r>
    <x v="226"/>
    <n v="1050"/>
    <n v="14"/>
    <n v="322"/>
    <n v="0"/>
    <n v="14"/>
    <n v="112"/>
    <x v="0"/>
    <n v="73356"/>
    <n v="0"/>
    <n v="0"/>
  </r>
  <r>
    <x v="227"/>
    <n v="208"/>
    <n v="7"/>
    <n v="82"/>
    <n v="30"/>
    <n v="66"/>
    <n v="35"/>
    <x v="0"/>
    <n v="55707"/>
    <n v="0"/>
    <n v="1"/>
  </r>
  <r>
    <x v="228"/>
    <n v="7"/>
    <n v="10"/>
    <n v="13"/>
    <n v="3"/>
    <n v="11"/>
    <n v="11"/>
    <x v="0"/>
    <n v="22063"/>
    <n v="1"/>
    <n v="0"/>
  </r>
  <r>
    <x v="229"/>
    <n v="520"/>
    <n v="8"/>
    <n v="223"/>
    <n v="32"/>
    <n v="49"/>
    <n v="42"/>
    <x v="0"/>
    <n v="49912"/>
    <n v="0"/>
    <n v="1"/>
  </r>
  <r>
    <x v="230"/>
    <n v="755"/>
    <n v="144"/>
    <n v="562"/>
    <n v="104"/>
    <n v="64"/>
    <n v="224"/>
    <x v="0"/>
    <n v="83532"/>
    <n v="0"/>
    <n v="0"/>
  </r>
  <r>
    <x v="231"/>
    <n v="102"/>
    <n v="1"/>
    <n v="15"/>
    <n v="2"/>
    <n v="0"/>
    <n v="24"/>
    <x v="1"/>
    <n v="48877"/>
    <n v="0"/>
    <n v="1"/>
  </r>
  <r>
    <x v="232"/>
    <n v="9"/>
    <n v="4"/>
    <n v="17"/>
    <n v="10"/>
    <n v="2"/>
    <n v="7"/>
    <x v="0"/>
    <n v="13260"/>
    <n v="1"/>
    <n v="1"/>
  </r>
  <r>
    <x v="233"/>
    <n v="124"/>
    <n v="83"/>
    <n v="267"/>
    <n v="85"/>
    <n v="59"/>
    <n v="35"/>
    <x v="1"/>
    <n v="42000"/>
    <n v="0"/>
    <n v="0"/>
  </r>
  <r>
    <x v="234"/>
    <n v="239"/>
    <n v="13"/>
    <n v="143"/>
    <n v="45"/>
    <n v="4"/>
    <n v="52"/>
    <x v="1"/>
    <n v="50729"/>
    <n v="1"/>
    <n v="1"/>
  </r>
  <r>
    <x v="235"/>
    <n v="322"/>
    <n v="53"/>
    <n v="899"/>
    <n v="34"/>
    <n v="40"/>
    <n v="53"/>
    <x v="0"/>
    <n v="72159"/>
    <n v="0"/>
    <n v="0"/>
  </r>
  <r>
    <x v="236"/>
    <n v="50"/>
    <n v="15"/>
    <n v="110"/>
    <n v="39"/>
    <n v="15"/>
    <n v="15"/>
    <x v="0"/>
    <n v="27573"/>
    <n v="1"/>
    <n v="0"/>
  </r>
  <r>
    <x v="237"/>
    <n v="979"/>
    <n v="44"/>
    <n v="935"/>
    <n v="29"/>
    <n v="25"/>
    <n v="22"/>
    <x v="0"/>
    <n v="92491"/>
    <n v="0"/>
    <n v="0"/>
  </r>
  <r>
    <x v="238"/>
    <n v="1200"/>
    <n v="105"/>
    <n v="758"/>
    <n v="0"/>
    <n v="42"/>
    <n v="147"/>
    <x v="0"/>
    <n v="77632"/>
    <n v="0"/>
    <n v="0"/>
  </r>
  <r>
    <x v="239"/>
    <n v="88"/>
    <n v="39"/>
    <n v="54"/>
    <n v="64"/>
    <n v="28"/>
    <n v="153"/>
    <x v="0"/>
    <n v="36262"/>
    <n v="0"/>
    <n v="0"/>
  </r>
  <r>
    <x v="240"/>
    <n v="2"/>
    <n v="6"/>
    <n v="4"/>
    <n v="3"/>
    <n v="1"/>
    <n v="9"/>
    <x v="0"/>
    <n v="26228"/>
    <n v="1"/>
    <n v="0"/>
  </r>
  <r>
    <x v="241"/>
    <n v="80"/>
    <n v="3"/>
    <n v="26"/>
    <n v="4"/>
    <n v="2"/>
    <n v="14"/>
    <x v="0"/>
    <n v="49618"/>
    <n v="1"/>
    <n v="1"/>
  </r>
  <r>
    <x v="242"/>
    <n v="9"/>
    <n v="1"/>
    <n v="4"/>
    <n v="3"/>
    <n v="2"/>
    <n v="3"/>
    <x v="0"/>
    <n v="36408"/>
    <n v="1"/>
    <n v="1"/>
  </r>
  <r>
    <x v="243"/>
    <n v="554"/>
    <n v="41"/>
    <n v="215"/>
    <n v="11"/>
    <n v="0"/>
    <n v="24"/>
    <x v="1"/>
    <n v="69674"/>
    <n v="0"/>
    <n v="2"/>
  </r>
  <r>
    <x v="244"/>
    <n v="1253"/>
    <n v="0"/>
    <n v="447"/>
    <n v="23"/>
    <n v="71"/>
    <n v="35"/>
    <x v="0"/>
    <n v="67536"/>
    <n v="0"/>
    <n v="1"/>
  </r>
  <r>
    <x v="245"/>
    <n v="384"/>
    <n v="25"/>
    <n v="292"/>
    <n v="130"/>
    <n v="41"/>
    <n v="64"/>
    <x v="0"/>
    <n v="52845"/>
    <n v="1"/>
    <n v="0"/>
  </r>
  <r>
    <x v="246"/>
    <n v="690"/>
    <n v="117"/>
    <n v="499"/>
    <n v="76"/>
    <n v="102"/>
    <n v="88"/>
    <x v="0"/>
    <n v="70440"/>
    <n v="0"/>
    <n v="0"/>
  </r>
  <r>
    <x v="247"/>
    <n v="483"/>
    <n v="84"/>
    <n v="398"/>
    <n v="205"/>
    <n v="84"/>
    <n v="241"/>
    <x v="0"/>
    <n v="80124"/>
    <n v="0"/>
    <n v="0"/>
  </r>
  <r>
    <x v="248"/>
    <n v="587"/>
    <n v="54"/>
    <n v="348"/>
    <n v="71"/>
    <n v="54"/>
    <n v="130"/>
    <x v="0"/>
    <n v="70038"/>
    <n v="0"/>
    <n v="0"/>
  </r>
  <r>
    <x v="249"/>
    <n v="13"/>
    <n v="3"/>
    <n v="8"/>
    <n v="7"/>
    <n v="4"/>
    <n v="16"/>
    <x v="0"/>
    <n v="14796"/>
    <n v="1"/>
    <n v="0"/>
  </r>
  <r>
    <x v="250"/>
    <n v="977"/>
    <n v="12"/>
    <n v="253"/>
    <n v="16"/>
    <n v="12"/>
    <n v="101"/>
    <x v="1"/>
    <n v="63810"/>
    <n v="0"/>
    <n v="1"/>
  </r>
  <r>
    <x v="251"/>
    <n v="34"/>
    <n v="6"/>
    <n v="21"/>
    <n v="11"/>
    <n v="4"/>
    <n v="8"/>
    <x v="1"/>
    <n v="37697"/>
    <n v="1"/>
    <n v="0"/>
  </r>
  <r>
    <x v="252"/>
    <n v="664"/>
    <n v="58"/>
    <n v="83"/>
    <n v="32"/>
    <n v="0"/>
    <n v="66"/>
    <x v="1"/>
    <n v="55250"/>
    <n v="0"/>
    <n v="1"/>
  </r>
  <r>
    <x v="253"/>
    <n v="434"/>
    <n v="22"/>
    <n v="388"/>
    <n v="104"/>
    <n v="22"/>
    <n v="34"/>
    <x v="0"/>
    <n v="78468"/>
    <n v="0"/>
    <n v="0"/>
  </r>
  <r>
    <x v="254"/>
    <n v="152"/>
    <n v="9"/>
    <n v="121"/>
    <n v="12"/>
    <n v="12"/>
    <n v="45"/>
    <x v="0"/>
    <n v="27683"/>
    <n v="1"/>
    <n v="0"/>
  </r>
  <r>
    <x v="255"/>
    <n v="27"/>
    <n v="5"/>
    <n v="8"/>
    <n v="8"/>
    <n v="3"/>
    <n v="12"/>
    <x v="1"/>
    <n v="41986"/>
    <n v="0"/>
    <n v="1"/>
  </r>
  <r>
    <x v="256"/>
    <n v="22"/>
    <n v="2"/>
    <n v="18"/>
    <n v="0"/>
    <n v="2"/>
    <n v="12"/>
    <x v="0"/>
    <n v="26067"/>
    <n v="1"/>
    <n v="0"/>
  </r>
  <r>
    <x v="257"/>
    <n v="23"/>
    <n v="3"/>
    <n v="21"/>
    <n v="3"/>
    <n v="19"/>
    <n v="22"/>
    <x v="0"/>
    <n v="38872"/>
    <n v="1"/>
    <n v="0"/>
  </r>
  <r>
    <x v="258"/>
    <n v="261"/>
    <n v="42"/>
    <n v="144"/>
    <n v="55"/>
    <n v="48"/>
    <n v="133"/>
    <x v="0"/>
    <n v="57937"/>
    <n v="0"/>
    <n v="1"/>
  </r>
  <r>
    <x v="259"/>
    <n v="12"/>
    <n v="6"/>
    <n v="20"/>
    <n v="30"/>
    <n v="1"/>
    <n v="3"/>
    <x v="1"/>
    <n v="35790"/>
    <n v="1"/>
    <n v="0"/>
  </r>
  <r>
    <x v="260"/>
    <n v="551"/>
    <n v="137"/>
    <n v="792"/>
    <n v="179"/>
    <n v="103"/>
    <n v="33"/>
    <x v="0"/>
    <n v="92910"/>
    <n v="0"/>
    <n v="0"/>
  </r>
  <r>
    <x v="261"/>
    <n v="368"/>
    <n v="24"/>
    <n v="68"/>
    <n v="38"/>
    <n v="0"/>
    <n v="88"/>
    <x v="0"/>
    <n v="58554"/>
    <n v="1"/>
    <n v="1"/>
  </r>
  <r>
    <x v="262"/>
    <n v="85"/>
    <n v="7"/>
    <n v="24"/>
    <n v="2"/>
    <n v="3"/>
    <n v="27"/>
    <x v="0"/>
    <n v="50447"/>
    <n v="2"/>
    <n v="0"/>
  </r>
  <r>
    <x v="263"/>
    <n v="962"/>
    <n v="12"/>
    <n v="194"/>
    <n v="16"/>
    <n v="24"/>
    <n v="12"/>
    <x v="0"/>
    <n v="58656"/>
    <n v="0"/>
    <n v="1"/>
  </r>
  <r>
    <x v="264"/>
    <n v="856"/>
    <n v="59"/>
    <n v="487"/>
    <n v="58"/>
    <n v="29"/>
    <n v="73"/>
    <x v="0"/>
    <n v="74854"/>
    <n v="1"/>
    <n v="2"/>
  </r>
  <r>
    <x v="265"/>
    <n v="1076"/>
    <n v="68"/>
    <n v="103"/>
    <n v="29"/>
    <n v="91"/>
    <n v="68"/>
    <x v="0"/>
    <n v="82584"/>
    <n v="0"/>
    <n v="0"/>
  </r>
  <r>
    <x v="266"/>
    <n v="33"/>
    <n v="87"/>
    <n v="64"/>
    <n v="175"/>
    <n v="16"/>
    <n v="74"/>
    <x v="1"/>
    <n v="31907"/>
    <n v="0"/>
    <n v="0"/>
  </r>
  <r>
    <x v="267"/>
    <n v="123"/>
    <n v="164"/>
    <n v="266"/>
    <n v="227"/>
    <n v="30"/>
    <n v="174"/>
    <x v="1"/>
    <n v="79941"/>
    <n v="0"/>
    <n v="0"/>
  </r>
  <r>
    <x v="268"/>
    <n v="182"/>
    <n v="4"/>
    <n v="33"/>
    <n v="0"/>
    <n v="0"/>
    <n v="66"/>
    <x v="1"/>
    <n v="44551"/>
    <n v="0"/>
    <n v="1"/>
  </r>
  <r>
    <x v="269"/>
    <n v="284"/>
    <n v="16"/>
    <n v="160"/>
    <n v="84"/>
    <n v="16"/>
    <n v="134"/>
    <x v="0"/>
    <n v="50334"/>
    <n v="0"/>
    <n v="1"/>
  </r>
  <r>
    <x v="270"/>
    <n v="154"/>
    <n v="2"/>
    <n v="46"/>
    <n v="20"/>
    <n v="4"/>
    <n v="15"/>
    <x v="0"/>
    <n v="42670"/>
    <n v="0"/>
    <n v="0"/>
  </r>
  <r>
    <x v="271"/>
    <n v="172"/>
    <n v="3"/>
    <n v="115"/>
    <n v="16"/>
    <n v="0"/>
    <n v="18"/>
    <x v="1"/>
    <n v="38513"/>
    <n v="1"/>
    <n v="0"/>
  </r>
  <r>
    <x v="272"/>
    <n v="6"/>
    <n v="4"/>
    <n v="14"/>
    <n v="8"/>
    <n v="8"/>
    <n v="22"/>
    <x v="0"/>
    <n v="17256"/>
    <n v="1"/>
    <n v="0"/>
  </r>
  <r>
    <x v="273"/>
    <n v="10"/>
    <n v="0"/>
    <n v="1"/>
    <n v="0"/>
    <n v="0"/>
    <n v="0"/>
    <x v="0"/>
    <n v="32474"/>
    <n v="1"/>
    <n v="1"/>
  </r>
  <r>
    <x v="274"/>
    <n v="407"/>
    <n v="114"/>
    <n v="445"/>
    <n v="181"/>
    <n v="165"/>
    <n v="203"/>
    <x v="0"/>
    <n v="72905"/>
    <n v="0"/>
    <n v="0"/>
  </r>
  <r>
    <x v="275"/>
    <n v="496"/>
    <n v="36"/>
    <n v="460"/>
    <n v="189"/>
    <n v="60"/>
    <n v="12"/>
    <x v="0"/>
    <n v="66991"/>
    <n v="0"/>
    <n v="0"/>
  </r>
  <r>
    <x v="276"/>
    <n v="8"/>
    <n v="4"/>
    <n v="15"/>
    <n v="3"/>
    <n v="5"/>
    <n v="3"/>
    <x v="0"/>
    <n v="34984"/>
    <n v="1"/>
    <n v="1"/>
  </r>
  <r>
    <x v="277"/>
    <n v="51"/>
    <n v="23"/>
    <n v="82"/>
    <n v="33"/>
    <n v="0"/>
    <n v="42"/>
    <x v="0"/>
    <n v="34916"/>
    <n v="2"/>
    <n v="0"/>
  </r>
  <r>
    <x v="278"/>
    <n v="280"/>
    <n v="7"/>
    <n v="81"/>
    <n v="20"/>
    <n v="0"/>
    <n v="27"/>
    <x v="1"/>
    <n v="53201"/>
    <n v="1"/>
    <n v="1"/>
  </r>
  <r>
    <x v="279"/>
    <n v="4"/>
    <n v="12"/>
    <n v="5"/>
    <n v="3"/>
    <n v="16"/>
    <n v="17"/>
    <x v="0"/>
    <n v="20425"/>
    <n v="1"/>
    <n v="0"/>
  </r>
  <r>
    <x v="280"/>
    <n v="270"/>
    <n v="3"/>
    <n v="27"/>
    <n v="39"/>
    <n v="6"/>
    <n v="99"/>
    <x v="0"/>
    <n v="40689"/>
    <n v="0"/>
    <n v="1"/>
  </r>
  <r>
    <x v="281"/>
    <n v="204"/>
    <n v="34"/>
    <n v="204"/>
    <n v="172"/>
    <n v="153"/>
    <n v="173"/>
    <x v="1"/>
    <n v="82623"/>
    <n v="0"/>
    <n v="0"/>
  </r>
  <r>
    <x v="282"/>
    <n v="18"/>
    <n v="6"/>
    <n v="15"/>
    <n v="12"/>
    <n v="8"/>
    <n v="17"/>
    <x v="0"/>
    <n v="34026"/>
    <n v="1"/>
    <n v="1"/>
  </r>
  <r>
    <x v="283"/>
    <n v="367"/>
    <n v="17"/>
    <n v="241"/>
    <n v="104"/>
    <n v="188"/>
    <n v="232"/>
    <x v="0"/>
    <n v="52513"/>
    <n v="0"/>
    <n v="0"/>
  </r>
  <r>
    <x v="284"/>
    <n v="387"/>
    <n v="68"/>
    <n v="569"/>
    <n v="89"/>
    <n v="45"/>
    <n v="68"/>
    <x v="1"/>
    <n v="86424"/>
    <n v="0"/>
    <n v="0"/>
  </r>
  <r>
    <x v="285"/>
    <n v="21"/>
    <n v="12"/>
    <n v="12"/>
    <n v="0"/>
    <n v="3"/>
    <n v="3"/>
    <x v="0"/>
    <n v="33562"/>
    <n v="1"/>
    <n v="2"/>
  </r>
  <r>
    <x v="286"/>
    <n v="735"/>
    <n v="40"/>
    <n v="183"/>
    <n v="52"/>
    <n v="20"/>
    <n v="30"/>
    <x v="1"/>
    <n v="57513"/>
    <n v="0"/>
    <n v="0"/>
  </r>
  <r>
    <x v="287"/>
    <n v="265"/>
    <n v="199"/>
    <n v="303"/>
    <n v="234"/>
    <n v="9"/>
    <n v="170"/>
    <x v="1"/>
    <n v="60474"/>
    <n v="0"/>
    <n v="1"/>
  </r>
  <r>
    <x v="288"/>
    <n v="8"/>
    <n v="3"/>
    <n v="19"/>
    <n v="3"/>
    <n v="3"/>
    <n v="8"/>
    <x v="0"/>
    <n v="21059"/>
    <n v="1"/>
    <n v="0"/>
  </r>
  <r>
    <x v="289"/>
    <n v="666"/>
    <n v="35"/>
    <n v="124"/>
    <n v="69"/>
    <n v="8"/>
    <n v="26"/>
    <x v="0"/>
    <n v="69063"/>
    <n v="0"/>
    <n v="1"/>
  </r>
  <r>
    <x v="290"/>
    <n v="17"/>
    <n v="1"/>
    <n v="12"/>
    <n v="3"/>
    <n v="1"/>
    <n v="4"/>
    <x v="1"/>
    <n v="36921"/>
    <n v="1"/>
    <n v="1"/>
  </r>
  <r>
    <x v="291"/>
    <n v="8"/>
    <n v="2"/>
    <n v="5"/>
    <n v="3"/>
    <n v="0"/>
    <n v="3"/>
    <x v="1"/>
    <n v="45160"/>
    <n v="1"/>
    <n v="1"/>
  </r>
  <r>
    <x v="292"/>
    <n v="53"/>
    <n v="1"/>
    <n v="5"/>
    <n v="2"/>
    <n v="1"/>
    <n v="10"/>
    <x v="1"/>
    <n v="47823"/>
    <n v="0"/>
    <n v="1"/>
  </r>
  <r>
    <x v="293"/>
    <n v="675"/>
    <n v="0"/>
    <n v="85"/>
    <n v="10"/>
    <n v="7"/>
    <n v="77"/>
    <x v="0"/>
    <n v="55759"/>
    <n v="0"/>
    <n v="1"/>
  </r>
  <r>
    <x v="294"/>
    <n v="162"/>
    <n v="33"/>
    <n v="124"/>
    <n v="40"/>
    <n v="28"/>
    <n v="172"/>
    <x v="0"/>
    <n v="71488"/>
    <n v="0"/>
    <n v="0"/>
  </r>
  <r>
    <x v="295"/>
    <n v="268"/>
    <n v="11"/>
    <n v="88"/>
    <n v="15"/>
    <n v="3"/>
    <n v="22"/>
    <x v="1"/>
    <n v="47958"/>
    <n v="0"/>
    <n v="1"/>
  </r>
  <r>
    <x v="296"/>
    <n v="55"/>
    <n v="16"/>
    <n v="1622"/>
    <n v="17"/>
    <n v="3"/>
    <n v="4"/>
    <x v="0"/>
    <n v="160803"/>
    <n v="0"/>
    <n v="0"/>
  </r>
  <r>
    <x v="297"/>
    <n v="85"/>
    <n v="1"/>
    <n v="16"/>
    <n v="2"/>
    <n v="1"/>
    <n v="2"/>
    <x v="0"/>
    <n v="162397"/>
    <n v="1"/>
    <n v="1"/>
  </r>
  <r>
    <x v="298"/>
    <n v="48"/>
    <n v="9"/>
    <n v="45"/>
    <n v="3"/>
    <n v="15"/>
    <n v="20"/>
    <x v="1"/>
    <n v="42160"/>
    <n v="1"/>
    <n v="1"/>
  </r>
  <r>
    <x v="299"/>
    <n v="152"/>
    <n v="27"/>
    <n v="103"/>
    <n v="106"/>
    <n v="54"/>
    <n v="81"/>
    <x v="0"/>
    <n v="84460"/>
    <n v="0"/>
    <n v="0"/>
  </r>
  <r>
    <x v="300"/>
    <n v="600"/>
    <n v="21"/>
    <n v="128"/>
    <n v="223"/>
    <n v="150"/>
    <n v="128"/>
    <x v="0"/>
    <n v="60839"/>
    <n v="1"/>
    <n v="1"/>
  </r>
  <r>
    <x v="301"/>
    <n v="11"/>
    <n v="2"/>
    <n v="7"/>
    <n v="4"/>
    <n v="2"/>
    <n v="2"/>
    <x v="0"/>
    <n v="34176"/>
    <n v="0"/>
    <n v="1"/>
  </r>
  <r>
    <x v="302"/>
    <n v="3"/>
    <n v="9"/>
    <n v="13"/>
    <n v="2"/>
    <n v="12"/>
    <n v="12"/>
    <x v="1"/>
    <n v="30822"/>
    <n v="1"/>
    <n v="0"/>
  </r>
  <r>
    <x v="303"/>
    <n v="379"/>
    <n v="6"/>
    <n v="157"/>
    <n v="25"/>
    <n v="91"/>
    <n v="91"/>
    <x v="0"/>
    <n v="62694"/>
    <n v="1"/>
    <n v="1"/>
  </r>
  <r>
    <x v="304"/>
    <n v="38"/>
    <n v="4"/>
    <n v="22"/>
    <n v="3"/>
    <n v="3"/>
    <n v="3"/>
    <x v="1"/>
    <n v="38578"/>
    <n v="1"/>
    <n v="1"/>
  </r>
  <r>
    <x v="305"/>
    <n v="69"/>
    <n v="2"/>
    <n v="15"/>
    <n v="2"/>
    <n v="2"/>
    <n v="6"/>
    <x v="0"/>
    <n v="59041"/>
    <n v="1"/>
    <n v="1"/>
  </r>
  <r>
    <x v="306"/>
    <n v="709"/>
    <n v="45"/>
    <n v="115"/>
    <n v="30"/>
    <n v="160"/>
    <n v="45"/>
    <x v="1"/>
    <n v="81698"/>
    <n v="0"/>
    <n v="0"/>
  </r>
  <r>
    <x v="307"/>
    <n v="347"/>
    <n v="0"/>
    <n v="35"/>
    <n v="4"/>
    <n v="3"/>
    <n v="7"/>
    <x v="1"/>
    <n v="56243"/>
    <n v="1"/>
    <n v="2"/>
  </r>
  <r>
    <x v="308"/>
    <n v="741"/>
    <n v="68"/>
    <n v="689"/>
    <n v="224"/>
    <n v="68"/>
    <n v="103"/>
    <x v="1"/>
    <n v="81380"/>
    <n v="0"/>
    <n v="0"/>
  </r>
  <r>
    <x v="309"/>
    <n v="120"/>
    <n v="19"/>
    <n v="206"/>
    <n v="25"/>
    <n v="19"/>
    <n v="54"/>
    <x v="0"/>
    <n v="38508"/>
    <n v="1"/>
    <n v="0"/>
  </r>
  <r>
    <x v="310"/>
    <n v="966"/>
    <n v="168"/>
    <n v="672"/>
    <n v="246"/>
    <n v="105"/>
    <n v="126"/>
    <x v="0"/>
    <n v="82657"/>
    <n v="0"/>
    <n v="0"/>
  </r>
  <r>
    <x v="311"/>
    <n v="664"/>
    <n v="9"/>
    <n v="240"/>
    <n v="50"/>
    <n v="19"/>
    <n v="57"/>
    <x v="0"/>
    <n v="69702"/>
    <n v="0"/>
    <n v="1"/>
  </r>
  <r>
    <x v="312"/>
    <n v="558"/>
    <n v="79"/>
    <n v="622"/>
    <n v="207"/>
    <n v="175"/>
    <n v="95"/>
    <x v="0"/>
    <n v="78569"/>
    <n v="0"/>
    <n v="0"/>
  </r>
  <r>
    <x v="313"/>
    <n v="2"/>
    <n v="0"/>
    <n v="8"/>
    <n v="2"/>
    <n v="2"/>
    <n v="3"/>
    <x v="0"/>
    <n v="37406"/>
    <n v="1"/>
    <n v="0"/>
  </r>
  <r>
    <x v="314"/>
    <n v="171"/>
    <n v="7"/>
    <n v="171"/>
    <n v="25"/>
    <n v="19"/>
    <n v="89"/>
    <x v="0"/>
    <n v="41443"/>
    <n v="1"/>
    <n v="0"/>
  </r>
  <r>
    <x v="315"/>
    <n v="547"/>
    <n v="99"/>
    <n v="812"/>
    <n v="151"/>
    <n v="82"/>
    <n v="33"/>
    <x v="0"/>
    <n v="90765"/>
    <n v="0"/>
    <n v="0"/>
  </r>
  <r>
    <x v="316"/>
    <n v="292"/>
    <n v="3"/>
    <n v="77"/>
    <n v="10"/>
    <n v="3"/>
    <n v="26"/>
    <x v="0"/>
    <n v="56962"/>
    <n v="2"/>
    <n v="1"/>
  </r>
  <r>
    <x v="317"/>
    <n v="184"/>
    <n v="2"/>
    <n v="19"/>
    <n v="8"/>
    <n v="8"/>
    <n v="4"/>
    <x v="0"/>
    <n v="47353"/>
    <n v="0"/>
    <n v="1"/>
  </r>
  <r>
    <x v="318"/>
    <n v="3"/>
    <n v="1"/>
    <n v="8"/>
    <n v="4"/>
    <n v="3"/>
    <n v="3"/>
    <x v="0"/>
    <n v="38590"/>
    <n v="1"/>
    <n v="0"/>
  </r>
  <r>
    <x v="319"/>
    <n v="577"/>
    <n v="0"/>
    <n v="64"/>
    <n v="0"/>
    <n v="0"/>
    <n v="51"/>
    <x v="0"/>
    <n v="56046"/>
    <n v="0"/>
    <n v="0"/>
  </r>
  <r>
    <x v="320"/>
    <n v="292"/>
    <n v="51"/>
    <n v="981"/>
    <n v="224"/>
    <n v="23"/>
    <n v="17"/>
    <x v="0"/>
    <n v="90369"/>
    <n v="0"/>
    <n v="0"/>
  </r>
  <r>
    <x v="321"/>
    <n v="15"/>
    <n v="0"/>
    <n v="8"/>
    <n v="4"/>
    <n v="2"/>
    <n v="20"/>
    <x v="1"/>
    <n v="35860"/>
    <n v="1"/>
    <n v="1"/>
  </r>
  <r>
    <x v="322"/>
    <n v="408"/>
    <n v="61"/>
    <n v="109"/>
    <n v="48"/>
    <n v="122"/>
    <n v="41"/>
    <x v="1"/>
    <n v="77297"/>
    <n v="0"/>
    <n v="0"/>
  </r>
  <r>
    <x v="323"/>
    <n v="354"/>
    <n v="21"/>
    <n v="311"/>
    <n v="167"/>
    <n v="75"/>
    <n v="32"/>
    <x v="0"/>
    <n v="71796"/>
    <n v="0"/>
    <n v="0"/>
  </r>
  <r>
    <x v="324"/>
    <n v="162"/>
    <n v="50"/>
    <n v="100"/>
    <n v="55"/>
    <n v="30"/>
    <n v="27"/>
    <x v="1"/>
    <n v="61825"/>
    <n v="0"/>
    <n v="1"/>
  </r>
  <r>
    <x v="325"/>
    <n v="890"/>
    <n v="63"/>
    <n v="292"/>
    <n v="0"/>
    <n v="25"/>
    <n v="12"/>
    <x v="0"/>
    <n v="65220"/>
    <n v="0"/>
    <n v="0"/>
  </r>
  <r>
    <x v="326"/>
    <n v="66"/>
    <n v="0"/>
    <n v="16"/>
    <n v="0"/>
    <n v="6"/>
    <n v="20"/>
    <x v="1"/>
    <n v="64587"/>
    <n v="1"/>
    <n v="1"/>
  </r>
  <r>
    <x v="327"/>
    <n v="4"/>
    <n v="9"/>
    <n v="12"/>
    <n v="11"/>
    <n v="2"/>
    <n v="8"/>
    <x v="0"/>
    <n v="25224"/>
    <n v="1"/>
    <n v="0"/>
  </r>
  <r>
    <x v="328"/>
    <n v="779"/>
    <n v="86"/>
    <n v="537"/>
    <n v="34"/>
    <n v="69"/>
    <n v="138"/>
    <x v="0"/>
    <n v="81843"/>
    <n v="0"/>
    <n v="0"/>
  </r>
  <r>
    <x v="329"/>
    <n v="16"/>
    <n v="3"/>
    <n v="15"/>
    <n v="2"/>
    <n v="1"/>
    <n v="11"/>
    <x v="0"/>
    <n v="34350"/>
    <n v="1"/>
    <n v="0"/>
  </r>
  <r>
    <x v="330"/>
    <n v="20"/>
    <n v="2"/>
    <n v="14"/>
    <n v="3"/>
    <n v="0"/>
    <n v="10"/>
    <x v="0"/>
    <n v="34043"/>
    <n v="1"/>
    <n v="0"/>
  </r>
  <r>
    <x v="331"/>
    <n v="1459"/>
    <n v="0"/>
    <n v="61"/>
    <n v="0"/>
    <n v="15"/>
    <n v="215"/>
    <x v="1"/>
    <n v="64140"/>
    <n v="0"/>
    <n v="2"/>
  </r>
  <r>
    <x v="332"/>
    <n v="204"/>
    <n v="7"/>
    <n v="149"/>
    <n v="20"/>
    <n v="15"/>
    <n v="66"/>
    <x v="0"/>
    <n v="65640"/>
    <n v="0"/>
    <n v="1"/>
  </r>
  <r>
    <x v="333"/>
    <n v="213"/>
    <n v="2"/>
    <n v="44"/>
    <n v="0"/>
    <n v="2"/>
    <n v="5"/>
    <x v="0"/>
    <n v="43057"/>
    <n v="0"/>
    <n v="1"/>
  </r>
  <r>
    <x v="334"/>
    <n v="796"/>
    <n v="14"/>
    <n v="590"/>
    <n v="38"/>
    <n v="44"/>
    <n v="0"/>
    <x v="0"/>
    <n v="62981"/>
    <n v="0"/>
    <n v="0"/>
  </r>
  <r>
    <x v="335"/>
    <n v="154"/>
    <n v="20"/>
    <n v="66"/>
    <n v="0"/>
    <n v="12"/>
    <n v="27"/>
    <x v="1"/>
    <n v="30168"/>
    <n v="1"/>
    <n v="0"/>
  </r>
  <r>
    <x v="336"/>
    <n v="9"/>
    <n v="4"/>
    <n v="18"/>
    <n v="7"/>
    <n v="5"/>
    <n v="5"/>
    <x v="0"/>
    <n v="25851"/>
    <n v="1"/>
    <n v="0"/>
  </r>
  <r>
    <x v="337"/>
    <n v="80"/>
    <n v="15"/>
    <n v="93"/>
    <n v="20"/>
    <n v="13"/>
    <n v="52"/>
    <x v="1"/>
    <n v="39747"/>
    <n v="1"/>
    <n v="0"/>
  </r>
  <r>
    <x v="338"/>
    <n v="3"/>
    <n v="9"/>
    <n v="15"/>
    <n v="13"/>
    <n v="2"/>
    <n v="39"/>
    <x v="1"/>
    <n v="22585"/>
    <n v="0"/>
    <n v="0"/>
  </r>
  <r>
    <x v="339"/>
    <n v="1043"/>
    <n v="24"/>
    <n v="97"/>
    <n v="32"/>
    <n v="24"/>
    <n v="157"/>
    <x v="0"/>
    <n v="66426"/>
    <n v="0"/>
    <n v="1"/>
  </r>
  <r>
    <x v="340"/>
    <n v="59"/>
    <n v="0"/>
    <n v="11"/>
    <n v="4"/>
    <n v="2"/>
    <n v="5"/>
    <x v="0"/>
    <n v="40706"/>
    <n v="2"/>
    <n v="1"/>
  </r>
  <r>
    <x v="341"/>
    <n v="760"/>
    <n v="38"/>
    <n v="104"/>
    <n v="50"/>
    <n v="9"/>
    <n v="38"/>
    <x v="0"/>
    <n v="55956"/>
    <n v="0"/>
    <n v="0"/>
  </r>
  <r>
    <x v="342"/>
    <n v="273"/>
    <n v="86"/>
    <n v="208"/>
    <n v="177"/>
    <n v="14"/>
    <n v="43"/>
    <x v="1"/>
    <n v="69719"/>
    <n v="0"/>
    <n v="0"/>
  </r>
  <r>
    <x v="343"/>
    <n v="9"/>
    <n v="7"/>
    <n v="13"/>
    <n v="3"/>
    <n v="2"/>
    <n v="20"/>
    <x v="1"/>
    <n v="23529"/>
    <n v="0"/>
    <n v="1"/>
  </r>
  <r>
    <x v="344"/>
    <n v="714"/>
    <n v="76"/>
    <n v="395"/>
    <n v="116"/>
    <n v="0"/>
    <n v="12"/>
    <x v="1"/>
    <n v="85696"/>
    <n v="0"/>
    <n v="0"/>
  </r>
  <r>
    <x v="345"/>
    <n v="30"/>
    <n v="11"/>
    <n v="25"/>
    <n v="29"/>
    <n v="1"/>
    <n v="18"/>
    <x v="0"/>
    <n v="45204"/>
    <n v="1"/>
    <n v="0"/>
  </r>
  <r>
    <x v="346"/>
    <n v="1259"/>
    <n v="172"/>
    <n v="815"/>
    <n v="97"/>
    <n v="148"/>
    <n v="33"/>
    <x v="0"/>
    <n v="87679"/>
    <n v="0"/>
    <n v="0"/>
  </r>
  <r>
    <x v="347"/>
    <n v="100"/>
    <n v="2"/>
    <n v="128"/>
    <n v="23"/>
    <n v="7"/>
    <n v="10"/>
    <x v="1"/>
    <n v="33955"/>
    <n v="1"/>
    <n v="0"/>
  </r>
  <r>
    <x v="348"/>
    <n v="1074"/>
    <n v="37"/>
    <n v="518"/>
    <n v="193"/>
    <n v="92"/>
    <n v="129"/>
    <x v="0"/>
    <n v="79174"/>
    <n v="0"/>
    <n v="0"/>
  </r>
  <r>
    <x v="349"/>
    <n v="5"/>
    <n v="6"/>
    <n v="15"/>
    <n v="11"/>
    <n v="7"/>
    <n v="13"/>
    <x v="0"/>
    <n v="12393"/>
    <n v="0"/>
    <n v="0"/>
  </r>
  <r>
    <x v="350"/>
    <n v="2"/>
    <n v="2"/>
    <n v="11"/>
    <n v="41"/>
    <n v="7"/>
    <n v="11"/>
    <x v="0"/>
    <n v="25965"/>
    <n v="0"/>
    <n v="0"/>
  </r>
  <r>
    <x v="351"/>
    <n v="412"/>
    <n v="5"/>
    <n v="119"/>
    <n v="38"/>
    <n v="29"/>
    <n v="77"/>
    <x v="0"/>
    <n v="64795"/>
    <n v="0"/>
    <n v="1"/>
  </r>
  <r>
    <x v="352"/>
    <n v="25"/>
    <n v="0"/>
    <n v="8"/>
    <n v="0"/>
    <n v="1"/>
    <n v="4"/>
    <x v="0"/>
    <n v="29732"/>
    <n v="1"/>
    <n v="0"/>
  </r>
  <r>
    <x v="353"/>
    <n v="189"/>
    <n v="104"/>
    <n v="379"/>
    <n v="111"/>
    <n v="189"/>
    <n v="218"/>
    <x v="1"/>
    <n v="84835"/>
    <n v="0"/>
    <n v="0"/>
  </r>
  <r>
    <x v="354"/>
    <n v="1148"/>
    <n v="0"/>
    <n v="60"/>
    <n v="0"/>
    <n v="0"/>
    <n v="24"/>
    <x v="1"/>
    <n v="54959"/>
    <n v="0"/>
    <n v="1"/>
  </r>
  <r>
    <x v="355"/>
    <n v="68"/>
    <n v="8"/>
    <n v="18"/>
    <n v="19"/>
    <n v="8"/>
    <n v="12"/>
    <x v="1"/>
    <n v="39190"/>
    <n v="1"/>
    <n v="0"/>
  </r>
  <r>
    <x v="356"/>
    <n v="30"/>
    <n v="5"/>
    <n v="23"/>
    <n v="4"/>
    <n v="1"/>
    <n v="4"/>
    <x v="1"/>
    <n v="35544"/>
    <n v="1"/>
    <n v="0"/>
  </r>
  <r>
    <x v="357"/>
    <n v="56"/>
    <n v="7"/>
    <n v="48"/>
    <n v="10"/>
    <n v="2"/>
    <n v="18"/>
    <x v="1"/>
    <n v="43322"/>
    <n v="0"/>
    <n v="0"/>
  </r>
  <r>
    <x v="358"/>
    <n v="46"/>
    <n v="0"/>
    <n v="12"/>
    <n v="0"/>
    <n v="2"/>
    <n v="23"/>
    <x v="1"/>
    <n v="47139"/>
    <n v="1"/>
    <n v="1"/>
  </r>
  <r>
    <x v="359"/>
    <n v="721"/>
    <n v="111"/>
    <n v="925"/>
    <n v="97"/>
    <n v="18"/>
    <n v="18"/>
    <x v="0"/>
    <n v="75251"/>
    <n v="0"/>
    <n v="0"/>
  </r>
  <r>
    <x v="360"/>
    <n v="652"/>
    <n v="48"/>
    <n v="350"/>
    <n v="94"/>
    <n v="84"/>
    <n v="108"/>
    <x v="1"/>
    <n v="64849"/>
    <n v="0"/>
    <n v="0"/>
  </r>
  <r>
    <x v="361"/>
    <n v="32"/>
    <n v="0"/>
    <n v="8"/>
    <n v="23"/>
    <n v="4"/>
    <n v="18"/>
    <x v="0"/>
    <n v="18929"/>
    <n v="0"/>
    <n v="0"/>
  </r>
  <r>
    <x v="362"/>
    <n v="4"/>
    <n v="6"/>
    <n v="8"/>
    <n v="6"/>
    <n v="3"/>
    <n v="10"/>
    <x v="0"/>
    <n v="23148"/>
    <n v="0"/>
    <n v="0"/>
  </r>
  <r>
    <x v="363"/>
    <n v="81"/>
    <n v="0"/>
    <n v="6"/>
    <n v="0"/>
    <n v="0"/>
    <n v="6"/>
    <x v="0"/>
    <n v="53537"/>
    <n v="1"/>
    <n v="1"/>
  </r>
  <r>
    <x v="364"/>
    <n v="11"/>
    <n v="1"/>
    <n v="4"/>
    <n v="2"/>
    <n v="0"/>
    <n v="7"/>
    <x v="0"/>
    <n v="42033"/>
    <n v="1"/>
    <n v="1"/>
  </r>
  <r>
    <x v="365"/>
    <n v="667"/>
    <n v="50"/>
    <n v="850"/>
    <n v="21"/>
    <n v="83"/>
    <n v="83"/>
    <x v="1"/>
    <n v="78789"/>
    <n v="0"/>
    <n v="0"/>
  </r>
  <r>
    <x v="366"/>
    <n v="965"/>
    <n v="69"/>
    <n v="279"/>
    <n v="54"/>
    <n v="41"/>
    <n v="69"/>
    <x v="1"/>
    <n v="63120"/>
    <n v="0"/>
    <n v="1"/>
  </r>
  <r>
    <x v="367"/>
    <n v="595"/>
    <n v="97"/>
    <n v="291"/>
    <n v="127"/>
    <n v="133"/>
    <n v="121"/>
    <x v="0"/>
    <n v="67430"/>
    <n v="0"/>
    <n v="0"/>
  </r>
  <r>
    <x v="368"/>
    <n v="794"/>
    <n v="115"/>
    <n v="243"/>
    <n v="150"/>
    <n v="0"/>
    <n v="205"/>
    <x v="0"/>
    <n v="78939"/>
    <n v="0"/>
    <n v="0"/>
  </r>
  <r>
    <x v="369"/>
    <n v="188"/>
    <n v="3"/>
    <n v="180"/>
    <n v="20"/>
    <n v="3"/>
    <n v="43"/>
    <x v="0"/>
    <n v="45736"/>
    <n v="0"/>
    <n v="1"/>
  </r>
  <r>
    <x v="370"/>
    <n v="44"/>
    <n v="4"/>
    <n v="21"/>
    <n v="6"/>
    <n v="0"/>
    <n v="27"/>
    <x v="0"/>
    <n v="40321"/>
    <n v="1"/>
    <n v="1"/>
  </r>
  <r>
    <x v="371"/>
    <n v="46"/>
    <n v="1"/>
    <n v="12"/>
    <n v="3"/>
    <n v="0"/>
    <n v="9"/>
    <x v="0"/>
    <n v="59062"/>
    <n v="2"/>
    <n v="1"/>
  </r>
  <r>
    <x v="372"/>
    <n v="399"/>
    <n v="27"/>
    <n v="159"/>
    <n v="58"/>
    <n v="8"/>
    <n v="39"/>
    <x v="0"/>
    <n v="69401"/>
    <n v="0"/>
    <n v="1"/>
  </r>
  <r>
    <x v="373"/>
    <n v="35"/>
    <n v="3"/>
    <n v="20"/>
    <n v="4"/>
    <n v="1"/>
    <n v="20"/>
    <x v="0"/>
    <n v="31814"/>
    <n v="1"/>
    <n v="0"/>
  </r>
  <r>
    <x v="374"/>
    <n v="1"/>
    <n v="3"/>
    <n v="4"/>
    <n v="2"/>
    <n v="2"/>
    <n v="6"/>
    <x v="0"/>
    <n v="25252"/>
    <n v="1"/>
    <n v="0"/>
  </r>
  <r>
    <x v="375"/>
    <n v="711"/>
    <n v="36"/>
    <n v="217"/>
    <n v="172"/>
    <n v="96"/>
    <n v="168"/>
    <x v="0"/>
    <n v="71434"/>
    <n v="0"/>
    <n v="1"/>
  </r>
  <r>
    <x v="376"/>
    <n v="228"/>
    <n v="122"/>
    <n v="122"/>
    <n v="208"/>
    <n v="129"/>
    <n v="30"/>
    <x v="0"/>
    <n v="34445"/>
    <n v="0"/>
    <n v="0"/>
  </r>
  <r>
    <x v="377"/>
    <n v="582"/>
    <n v="0"/>
    <n v="65"/>
    <n v="0"/>
    <n v="0"/>
    <n v="13"/>
    <x v="0"/>
    <n v="55012"/>
    <n v="0"/>
    <n v="1"/>
  </r>
  <r>
    <x v="378"/>
    <n v="446"/>
    <n v="107"/>
    <n v="768"/>
    <n v="33"/>
    <n v="196"/>
    <n v="53"/>
    <x v="0"/>
    <n v="86610"/>
    <n v="0"/>
    <n v="0"/>
  </r>
  <r>
    <x v="379"/>
    <n v="684"/>
    <n v="100"/>
    <n v="801"/>
    <n v="21"/>
    <n v="66"/>
    <n v="0"/>
    <x v="0"/>
    <n v="84618"/>
    <n v="0"/>
    <n v="0"/>
  </r>
  <r>
    <x v="380"/>
    <n v="5"/>
    <n v="1"/>
    <n v="5"/>
    <n v="10"/>
    <n v="0"/>
    <n v="7"/>
    <x v="1"/>
    <n v="45684"/>
    <n v="1"/>
    <n v="0"/>
  </r>
  <r>
    <x v="381"/>
    <n v="63"/>
    <n v="0"/>
    <n v="21"/>
    <n v="7"/>
    <n v="0"/>
    <n v="12"/>
    <x v="0"/>
    <n v="34053"/>
    <n v="0"/>
    <n v="1"/>
  </r>
  <r>
    <x v="382"/>
    <n v="1"/>
    <n v="10"/>
    <n v="11"/>
    <n v="19"/>
    <n v="3"/>
    <n v="15"/>
    <x v="1"/>
    <n v="21063"/>
    <n v="1"/>
    <n v="0"/>
  </r>
  <r>
    <x v="383"/>
    <n v="965"/>
    <n v="34"/>
    <n v="586"/>
    <n v="89"/>
    <n v="86"/>
    <n v="37"/>
    <x v="1"/>
    <n v="63159"/>
    <n v="0"/>
    <n v="0"/>
  </r>
  <r>
    <x v="384"/>
    <n v="78"/>
    <n v="0"/>
    <n v="11"/>
    <n v="0"/>
    <n v="0"/>
    <n v="7"/>
    <x v="0"/>
    <n v="44931"/>
    <n v="0"/>
    <n v="1"/>
  </r>
  <r>
    <x v="385"/>
    <n v="522"/>
    <n v="0"/>
    <n v="257"/>
    <n v="32"/>
    <n v="16"/>
    <n v="66"/>
    <x v="0"/>
    <n v="60597"/>
    <n v="0"/>
    <n v="1"/>
  </r>
  <r>
    <x v="386"/>
    <n v="867"/>
    <n v="0"/>
    <n v="86"/>
    <n v="0"/>
    <n v="0"/>
    <n v="19"/>
    <x v="0"/>
    <n v="58607"/>
    <n v="0"/>
    <n v="1"/>
  </r>
  <r>
    <x v="387"/>
    <n v="587"/>
    <n v="51"/>
    <n v="932"/>
    <n v="180"/>
    <n v="34"/>
    <n v="86"/>
    <x v="1"/>
    <n v="71964"/>
    <n v="0"/>
    <n v="0"/>
  </r>
  <r>
    <x v="388"/>
    <n v="619"/>
    <n v="54"/>
    <n v="260"/>
    <n v="127"/>
    <n v="54"/>
    <n v="54"/>
    <x v="1"/>
    <n v="72679"/>
    <n v="0"/>
    <n v="1"/>
  </r>
  <r>
    <x v="389"/>
    <n v="22"/>
    <n v="3"/>
    <n v="30"/>
    <n v="0"/>
    <n v="5"/>
    <n v="15"/>
    <x v="0"/>
    <n v="35765"/>
    <n v="1"/>
    <n v="0"/>
  </r>
  <r>
    <x v="390"/>
    <n v="372"/>
    <n v="23"/>
    <n v="384"/>
    <n v="250"/>
    <n v="12"/>
    <n v="108"/>
    <x v="0"/>
    <n v="77583"/>
    <n v="0"/>
    <n v="0"/>
  </r>
  <r>
    <x v="391"/>
    <n v="563"/>
    <n v="76"/>
    <n v="384"/>
    <n v="84"/>
    <n v="192"/>
    <n v="89"/>
    <x v="0"/>
    <n v="61456"/>
    <n v="0"/>
    <n v="1"/>
  </r>
  <r>
    <x v="392"/>
    <n v="243"/>
    <n v="11"/>
    <n v="119"/>
    <n v="10"/>
    <n v="3"/>
    <n v="15"/>
    <x v="0"/>
    <n v="57906"/>
    <n v="0"/>
    <n v="1"/>
  </r>
  <r>
    <x v="393"/>
    <n v="78"/>
    <n v="0"/>
    <n v="11"/>
    <n v="0"/>
    <n v="0"/>
    <n v="10"/>
    <x v="0"/>
    <n v="50737"/>
    <n v="0"/>
    <n v="1"/>
  </r>
  <r>
    <x v="394"/>
    <n v="70"/>
    <n v="0"/>
    <n v="11"/>
    <n v="2"/>
    <n v="8"/>
    <n v="23"/>
    <x v="0"/>
    <n v="38823"/>
    <n v="0"/>
    <n v="1"/>
  </r>
  <r>
    <x v="395"/>
    <n v="896"/>
    <n v="10"/>
    <n v="101"/>
    <n v="13"/>
    <n v="10"/>
    <n v="34"/>
    <x v="0"/>
    <n v="53374"/>
    <n v="0"/>
    <n v="1"/>
  </r>
  <r>
    <x v="396"/>
    <n v="377"/>
    <n v="10"/>
    <n v="540"/>
    <n v="80"/>
    <n v="30"/>
    <n v="10"/>
    <x v="0"/>
    <n v="72460"/>
    <n v="0"/>
    <n v="0"/>
  </r>
  <r>
    <x v="397"/>
    <n v="450"/>
    <n v="26"/>
    <n v="535"/>
    <n v="73"/>
    <n v="98"/>
    <n v="26"/>
    <x v="0"/>
    <n v="81044"/>
    <n v="0"/>
    <n v="0"/>
  </r>
  <r>
    <x v="398"/>
    <n v="997"/>
    <n v="15"/>
    <n v="414"/>
    <n v="99"/>
    <n v="30"/>
    <n v="76"/>
    <x v="0"/>
    <n v="84906"/>
    <n v="0"/>
    <n v="0"/>
  </r>
  <r>
    <x v="399"/>
    <n v="11"/>
    <n v="0"/>
    <n v="5"/>
    <n v="0"/>
    <n v="0"/>
    <n v="1"/>
    <x v="0"/>
    <n v="33581"/>
    <n v="2"/>
    <n v="0"/>
  </r>
  <r>
    <x v="400"/>
    <n v="0"/>
    <n v="6"/>
    <n v="3"/>
    <n v="7"/>
    <n v="6"/>
    <n v="12"/>
    <x v="0"/>
    <n v="20130"/>
    <n v="0"/>
    <n v="0"/>
  </r>
  <r>
    <x v="401"/>
    <n v="448"/>
    <n v="71"/>
    <n v="951"/>
    <n v="40"/>
    <n v="17"/>
    <n v="17"/>
    <x v="1"/>
    <n v="96843"/>
    <n v="0"/>
    <n v="0"/>
  </r>
  <r>
    <x v="402"/>
    <n v="1006"/>
    <n v="22"/>
    <n v="115"/>
    <n v="59"/>
    <n v="68"/>
    <n v="45"/>
    <x v="1"/>
    <n v="82800"/>
    <n v="0"/>
    <n v="0"/>
  </r>
  <r>
    <x v="403"/>
    <n v="54"/>
    <n v="0"/>
    <n v="10"/>
    <n v="0"/>
    <n v="0"/>
    <n v="2"/>
    <x v="0"/>
    <n v="50116"/>
    <n v="1"/>
    <n v="1"/>
  </r>
  <r>
    <x v="404"/>
    <n v="166"/>
    <n v="75"/>
    <n v="96"/>
    <n v="119"/>
    <n v="107"/>
    <n v="59"/>
    <x v="0"/>
    <n v="62905"/>
    <n v="0"/>
    <n v="1"/>
  </r>
  <r>
    <x v="405"/>
    <n v="194"/>
    <n v="61"/>
    <n v="480"/>
    <n v="225"/>
    <n v="112"/>
    <n v="30"/>
    <x v="1"/>
    <n v="63033"/>
    <n v="0"/>
    <n v="0"/>
  </r>
  <r>
    <x v="406"/>
    <n v="35"/>
    <n v="3"/>
    <n v="67"/>
    <n v="10"/>
    <n v="8"/>
    <n v="24"/>
    <x v="0"/>
    <n v="45203"/>
    <n v="2"/>
    <n v="0"/>
  </r>
  <r>
    <x v="407"/>
    <n v="1063"/>
    <n v="89"/>
    <n v="102"/>
    <n v="16"/>
    <n v="12"/>
    <n v="25"/>
    <x v="1"/>
    <n v="62859"/>
    <n v="0"/>
    <n v="1"/>
  </r>
  <r>
    <x v="408"/>
    <n v="263"/>
    <n v="5"/>
    <n v="233"/>
    <n v="69"/>
    <n v="41"/>
    <n v="83"/>
    <x v="1"/>
    <n v="53700"/>
    <n v="0"/>
    <n v="1"/>
  </r>
  <r>
    <x v="409"/>
    <n v="3"/>
    <n v="1"/>
    <n v="10"/>
    <n v="3"/>
    <n v="2"/>
    <n v="12"/>
    <x v="0"/>
    <n v="7500"/>
    <n v="1"/>
    <n v="0"/>
  </r>
  <r>
    <x v="410"/>
    <n v="736"/>
    <n v="63"/>
    <n v="946"/>
    <n v="219"/>
    <n v="189"/>
    <n v="126"/>
    <x v="0"/>
    <n v="76653"/>
    <n v="0"/>
    <n v="0"/>
  </r>
  <r>
    <x v="411"/>
    <n v="860"/>
    <n v="28"/>
    <n v="409"/>
    <n v="73"/>
    <n v="56"/>
    <n v="56"/>
    <x v="1"/>
    <n v="80995"/>
    <n v="0"/>
    <n v="1"/>
  </r>
  <r>
    <x v="412"/>
    <n v="15"/>
    <n v="0"/>
    <n v="12"/>
    <n v="7"/>
    <n v="3"/>
    <n v="7"/>
    <x v="1"/>
    <n v="30372"/>
    <n v="1"/>
    <n v="1"/>
  </r>
  <r>
    <x v="413"/>
    <n v="27"/>
    <n v="0"/>
    <n v="10"/>
    <n v="0"/>
    <n v="0"/>
    <n v="4"/>
    <x v="0"/>
    <n v="22554"/>
    <n v="1"/>
    <n v="1"/>
  </r>
  <r>
    <x v="414"/>
    <n v="15"/>
    <n v="8"/>
    <n v="16"/>
    <n v="11"/>
    <n v="5"/>
    <n v="22"/>
    <x v="0"/>
    <n v="26290"/>
    <n v="1"/>
    <n v="1"/>
  </r>
  <r>
    <x v="415"/>
    <n v="256"/>
    <n v="34"/>
    <n v="103"/>
    <n v="90"/>
    <n v="29"/>
    <n v="49"/>
    <x v="0"/>
    <n v="56939"/>
    <n v="0"/>
    <n v="1"/>
  </r>
  <r>
    <x v="416"/>
    <n v="12"/>
    <n v="1"/>
    <n v="3"/>
    <n v="0"/>
    <n v="0"/>
    <n v="7"/>
    <x v="1"/>
    <n v="46779"/>
    <n v="1"/>
    <n v="1"/>
  </r>
  <r>
    <x v="417"/>
    <n v="13"/>
    <n v="6"/>
    <n v="7"/>
    <n v="0"/>
    <n v="3"/>
    <n v="3"/>
    <x v="1"/>
    <n v="40049"/>
    <n v="0"/>
    <n v="1"/>
  </r>
  <r>
    <x v="418"/>
    <n v="11"/>
    <n v="1"/>
    <n v="6"/>
    <n v="2"/>
    <n v="1"/>
    <n v="6"/>
    <x v="1"/>
    <n v="46344"/>
    <n v="1"/>
    <n v="1"/>
  </r>
  <r>
    <x v="419"/>
    <n v="1218"/>
    <n v="16"/>
    <n v="272"/>
    <n v="104"/>
    <n v="0"/>
    <n v="80"/>
    <x v="0"/>
    <n v="80134"/>
    <n v="1"/>
    <n v="0"/>
  </r>
  <r>
    <x v="420"/>
    <n v="353"/>
    <n v="61"/>
    <n v="753"/>
    <n v="40"/>
    <n v="46"/>
    <n v="27"/>
    <x v="0"/>
    <n v="70617"/>
    <n v="0"/>
    <n v="0"/>
  </r>
  <r>
    <x v="421"/>
    <n v="938"/>
    <n v="142"/>
    <n v="754"/>
    <n v="159"/>
    <n v="81"/>
    <n v="183"/>
    <x v="0"/>
    <n v="82326"/>
    <n v="0"/>
    <n v="0"/>
  </r>
  <r>
    <x v="422"/>
    <n v="44"/>
    <n v="2"/>
    <n v="11"/>
    <n v="2"/>
    <n v="3"/>
    <n v="7"/>
    <x v="0"/>
    <n v="41154"/>
    <n v="0"/>
    <n v="1"/>
  </r>
  <r>
    <x v="423"/>
    <n v="11"/>
    <n v="1"/>
    <n v="2"/>
    <n v="2"/>
    <n v="1"/>
    <n v="6"/>
    <x v="0"/>
    <n v="37284"/>
    <n v="1"/>
    <n v="1"/>
  </r>
  <r>
    <x v="424"/>
    <n v="1215"/>
    <n v="33"/>
    <n v="249"/>
    <n v="64"/>
    <n v="116"/>
    <n v="149"/>
    <x v="1"/>
    <n v="64176"/>
    <n v="0"/>
    <n v="1"/>
  </r>
  <r>
    <x v="425"/>
    <n v="510"/>
    <n v="120"/>
    <n v="550"/>
    <n v="156"/>
    <n v="40"/>
    <n v="241"/>
    <x v="1"/>
    <n v="82582"/>
    <n v="0"/>
    <n v="0"/>
  </r>
  <r>
    <x v="426"/>
    <n v="27"/>
    <n v="2"/>
    <n v="14"/>
    <n v="0"/>
    <n v="0"/>
    <n v="0"/>
    <x v="0"/>
    <n v="23626"/>
    <n v="1"/>
    <n v="0"/>
  </r>
  <r>
    <x v="427"/>
    <n v="57"/>
    <n v="2"/>
    <n v="51"/>
    <n v="4"/>
    <n v="2"/>
    <n v="23"/>
    <x v="0"/>
    <n v="43641"/>
    <n v="1"/>
    <n v="1"/>
  </r>
  <r>
    <x v="428"/>
    <n v="627"/>
    <n v="120"/>
    <n v="414"/>
    <n v="121"/>
    <n v="80"/>
    <n v="93"/>
    <x v="0"/>
    <n v="69520"/>
    <n v="0"/>
    <n v="0"/>
  </r>
  <r>
    <x v="429"/>
    <n v="17"/>
    <n v="0"/>
    <n v="3"/>
    <n v="0"/>
    <n v="0"/>
    <n v="1"/>
    <x v="0"/>
    <n v="27159"/>
    <n v="1"/>
    <n v="1"/>
  </r>
  <r>
    <x v="430"/>
    <n v="8"/>
    <n v="4"/>
    <n v="15"/>
    <n v="7"/>
    <n v="6"/>
    <n v="2"/>
    <x v="0"/>
    <n v="32880"/>
    <n v="1"/>
    <n v="0"/>
  </r>
  <r>
    <x v="431"/>
    <n v="4"/>
    <n v="1"/>
    <n v="5"/>
    <n v="2"/>
    <n v="0"/>
    <n v="4"/>
    <x v="0"/>
    <n v="26304"/>
    <n v="1"/>
    <n v="0"/>
  </r>
  <r>
    <x v="432"/>
    <n v="202"/>
    <n v="5"/>
    <n v="74"/>
    <n v="11"/>
    <n v="5"/>
    <n v="14"/>
    <x v="0"/>
    <n v="45143"/>
    <n v="0"/>
    <n v="1"/>
  </r>
  <r>
    <x v="433"/>
    <n v="430"/>
    <n v="16"/>
    <n v="322"/>
    <n v="43"/>
    <n v="24"/>
    <n v="33"/>
    <x v="1"/>
    <n v="57959"/>
    <n v="0"/>
    <n v="1"/>
  </r>
  <r>
    <x v="434"/>
    <n v="4"/>
    <n v="17"/>
    <n v="19"/>
    <n v="30"/>
    <n v="24"/>
    <n v="39"/>
    <x v="1"/>
    <n v="33812"/>
    <n v="1"/>
    <n v="0"/>
  </r>
  <r>
    <x v="435"/>
    <n v="4"/>
    <n v="3"/>
    <n v="7"/>
    <n v="0"/>
    <n v="3"/>
    <n v="11"/>
    <x v="1"/>
    <n v="33697"/>
    <n v="1"/>
    <n v="0"/>
  </r>
  <r>
    <x v="436"/>
    <n v="213"/>
    <n v="9"/>
    <n v="76"/>
    <n v="4"/>
    <n v="3"/>
    <n v="30"/>
    <x v="0"/>
    <n v="36634"/>
    <n v="0"/>
    <n v="1"/>
  </r>
  <r>
    <x v="437"/>
    <n v="64"/>
    <n v="1"/>
    <n v="21"/>
    <n v="0"/>
    <n v="1"/>
    <n v="27"/>
    <x v="1"/>
    <n v="50785"/>
    <n v="1"/>
    <n v="1"/>
  </r>
  <r>
    <x v="438"/>
    <n v="5"/>
    <n v="4"/>
    <n v="8"/>
    <n v="2"/>
    <n v="0"/>
    <n v="5"/>
    <x v="1"/>
    <n v="22327"/>
    <n v="1"/>
    <n v="0"/>
  </r>
  <r>
    <x v="439"/>
    <n v="539"/>
    <n v="30"/>
    <n v="92"/>
    <n v="80"/>
    <n v="46"/>
    <n v="38"/>
    <x v="0"/>
    <n v="62670"/>
    <n v="0"/>
    <n v="1"/>
  </r>
  <r>
    <x v="440"/>
    <n v="3"/>
    <n v="2"/>
    <n v="11"/>
    <n v="2"/>
    <n v="2"/>
    <n v="10"/>
    <x v="0"/>
    <n v="37368"/>
    <n v="1"/>
    <n v="0"/>
  </r>
  <r>
    <x v="441"/>
    <n v="625"/>
    <n v="7"/>
    <n v="99"/>
    <n v="10"/>
    <n v="22"/>
    <n v="7"/>
    <x v="0"/>
    <n v="66313"/>
    <n v="0"/>
    <n v="1"/>
  </r>
  <r>
    <x v="442"/>
    <n v="110"/>
    <n v="5"/>
    <n v="137"/>
    <n v="26"/>
    <n v="23"/>
    <n v="29"/>
    <x v="0"/>
    <n v="46734"/>
    <n v="0"/>
    <n v="1"/>
  </r>
  <r>
    <x v="443"/>
    <n v="10"/>
    <n v="0"/>
    <n v="11"/>
    <n v="17"/>
    <n v="29"/>
    <n v="29"/>
    <x v="1"/>
    <n v="58401"/>
    <n v="0"/>
    <n v="1"/>
  </r>
  <r>
    <x v="444"/>
    <n v="508"/>
    <n v="11"/>
    <n v="59"/>
    <n v="23"/>
    <n v="5"/>
    <n v="29"/>
    <x v="0"/>
    <n v="47025"/>
    <n v="0"/>
    <n v="1"/>
  </r>
  <r>
    <x v="445"/>
    <n v="625"/>
    <n v="38"/>
    <n v="242"/>
    <n v="50"/>
    <n v="34"/>
    <n v="76"/>
    <x v="0"/>
    <n v="77044"/>
    <n v="0"/>
    <n v="1"/>
  </r>
  <r>
    <x v="446"/>
    <n v="9"/>
    <n v="1"/>
    <n v="24"/>
    <n v="2"/>
    <n v="1"/>
    <n v="2"/>
    <x v="1"/>
    <n v="29819"/>
    <n v="1"/>
    <n v="0"/>
  </r>
  <r>
    <x v="447"/>
    <n v="623"/>
    <n v="53"/>
    <n v="178"/>
    <n v="23"/>
    <n v="17"/>
    <n v="133"/>
    <x v="0"/>
    <n v="59666"/>
    <n v="1"/>
    <n v="1"/>
  </r>
  <r>
    <x v="448"/>
    <n v="39"/>
    <n v="1"/>
    <n v="22"/>
    <n v="3"/>
    <n v="4"/>
    <n v="12"/>
    <x v="0"/>
    <n v="33622"/>
    <n v="1"/>
    <n v="1"/>
  </r>
  <r>
    <x v="449"/>
    <n v="8"/>
    <n v="0"/>
    <n v="5"/>
    <n v="0"/>
    <n v="3"/>
    <n v="6"/>
    <x v="0"/>
    <n v="30261"/>
    <n v="1"/>
    <n v="2"/>
  </r>
  <r>
    <x v="450"/>
    <n v="778"/>
    <n v="44"/>
    <n v="499"/>
    <n v="95"/>
    <n v="73"/>
    <n v="146"/>
    <x v="1"/>
    <n v="69267"/>
    <n v="0"/>
    <n v="0"/>
  </r>
  <r>
    <x v="451"/>
    <n v="177"/>
    <n v="2"/>
    <n v="71"/>
    <n v="3"/>
    <n v="2"/>
    <n v="20"/>
    <x v="0"/>
    <n v="43776"/>
    <n v="1"/>
    <n v="1"/>
  </r>
  <r>
    <x v="452"/>
    <n v="173"/>
    <n v="4"/>
    <n v="30"/>
    <n v="3"/>
    <n v="6"/>
    <n v="41"/>
    <x v="0"/>
    <n v="53359"/>
    <n v="1"/>
    <n v="1"/>
  </r>
  <r>
    <x v="453"/>
    <n v="376"/>
    <n v="4"/>
    <n v="94"/>
    <n v="12"/>
    <n v="9"/>
    <n v="24"/>
    <x v="0"/>
    <n v="54591"/>
    <n v="0"/>
    <n v="1"/>
  </r>
  <r>
    <x v="454"/>
    <n v="823"/>
    <n v="25"/>
    <n v="459"/>
    <n v="124"/>
    <n v="29"/>
    <n v="95"/>
    <x v="0"/>
    <n v="69109"/>
    <n v="0"/>
    <n v="0"/>
  </r>
  <r>
    <x v="455"/>
    <n v="490"/>
    <n v="0"/>
    <n v="184"/>
    <n v="10"/>
    <n v="28"/>
    <n v="21"/>
    <x v="0"/>
    <n v="58597"/>
    <n v="1"/>
    <n v="1"/>
  </r>
  <r>
    <x v="456"/>
    <n v="364"/>
    <n v="40"/>
    <n v="425"/>
    <n v="158"/>
    <n v="60"/>
    <n v="50"/>
    <x v="1"/>
    <n v="81657"/>
    <n v="0"/>
    <n v="0"/>
  </r>
  <r>
    <x v="457"/>
    <n v="362"/>
    <n v="17"/>
    <n v="398"/>
    <n v="80"/>
    <n v="35"/>
    <n v="61"/>
    <x v="0"/>
    <n v="62568"/>
    <n v="0"/>
    <n v="1"/>
  </r>
  <r>
    <x v="458"/>
    <n v="789"/>
    <n v="25"/>
    <n v="420"/>
    <n v="16"/>
    <n v="38"/>
    <n v="0"/>
    <x v="1"/>
    <n v="66582"/>
    <n v="0"/>
    <n v="0"/>
  </r>
  <r>
    <x v="459"/>
    <n v="483"/>
    <n v="74"/>
    <n v="114"/>
    <n v="169"/>
    <n v="37"/>
    <n v="18"/>
    <x v="1"/>
    <n v="78825"/>
    <n v="0"/>
    <n v="0"/>
  </r>
  <r>
    <x v="460"/>
    <n v="3"/>
    <n v="18"/>
    <n v="26"/>
    <n v="11"/>
    <n v="8"/>
    <n v="12"/>
    <x v="0"/>
    <n v="28164"/>
    <n v="1"/>
    <n v="0"/>
  </r>
  <r>
    <x v="461"/>
    <n v="531"/>
    <n v="69"/>
    <n v="300"/>
    <n v="150"/>
    <n v="138"/>
    <n v="150"/>
    <x v="1"/>
    <n v="72071"/>
    <n v="0"/>
    <n v="1"/>
  </r>
  <r>
    <x v="462"/>
    <n v="12"/>
    <n v="4"/>
    <n v="19"/>
    <n v="12"/>
    <n v="6"/>
    <n v="14"/>
    <x v="0"/>
    <n v="18222"/>
    <n v="0"/>
    <n v="0"/>
  </r>
  <r>
    <x v="463"/>
    <n v="38"/>
    <n v="1"/>
    <n v="24"/>
    <n v="0"/>
    <n v="0"/>
    <n v="0"/>
    <x v="0"/>
    <n v="28440"/>
    <n v="1"/>
    <n v="0"/>
  </r>
  <r>
    <x v="464"/>
    <n v="4"/>
    <n v="12"/>
    <n v="15"/>
    <n v="19"/>
    <n v="7"/>
    <n v="12"/>
    <x v="0"/>
    <n v="30545"/>
    <n v="1"/>
    <n v="0"/>
  </r>
  <r>
    <x v="465"/>
    <n v="199"/>
    <n v="33"/>
    <n v="60"/>
    <n v="8"/>
    <n v="3"/>
    <n v="15"/>
    <x v="0"/>
    <n v="34600"/>
    <n v="1"/>
    <n v="1"/>
  </r>
  <r>
    <x v="466"/>
    <n v="526"/>
    <n v="28"/>
    <n v="135"/>
    <n v="10"/>
    <n v="21"/>
    <n v="99"/>
    <x v="0"/>
    <n v="62807"/>
    <n v="0"/>
    <n v="1"/>
  </r>
  <r>
    <x v="467"/>
    <n v="80"/>
    <n v="4"/>
    <n v="46"/>
    <n v="0"/>
    <n v="17"/>
    <n v="2"/>
    <x v="0"/>
    <n v="40233"/>
    <n v="0"/>
    <n v="1"/>
  </r>
  <r>
    <x v="468"/>
    <n v="8"/>
    <n v="4"/>
    <n v="5"/>
    <n v="15"/>
    <n v="2"/>
    <n v="11"/>
    <x v="0"/>
    <n v="30801"/>
    <n v="0"/>
    <n v="1"/>
  </r>
  <r>
    <x v="469"/>
    <n v="26"/>
    <n v="1"/>
    <n v="11"/>
    <n v="0"/>
    <n v="1"/>
    <n v="4"/>
    <x v="1"/>
    <n v="51124"/>
    <n v="1"/>
    <n v="1"/>
  </r>
  <r>
    <x v="470"/>
    <n v="48"/>
    <n v="58"/>
    <n v="68"/>
    <n v="16"/>
    <n v="66"/>
    <n v="43"/>
    <x v="0"/>
    <n v="61482"/>
    <n v="0"/>
    <n v="0"/>
  </r>
  <r>
    <x v="471"/>
    <n v="2"/>
    <n v="2"/>
    <n v="4"/>
    <n v="13"/>
    <n v="13"/>
    <n v="4"/>
    <x v="0"/>
    <n v="25410"/>
    <n v="1"/>
    <n v="0"/>
  </r>
  <r>
    <x v="472"/>
    <n v="23"/>
    <n v="1"/>
    <n v="25"/>
    <n v="0"/>
    <n v="8"/>
    <n v="7"/>
    <x v="1"/>
    <n v="31395"/>
    <n v="1"/>
    <n v="1"/>
  </r>
  <r>
    <x v="473"/>
    <n v="356"/>
    <n v="0"/>
    <n v="107"/>
    <n v="19"/>
    <n v="9"/>
    <n v="117"/>
    <x v="0"/>
    <n v="61286"/>
    <n v="0"/>
    <n v="1"/>
  </r>
  <r>
    <x v="474"/>
    <n v="217"/>
    <n v="38"/>
    <n v="350"/>
    <n v="111"/>
    <n v="85"/>
    <n v="15"/>
    <x v="0"/>
    <n v="83891"/>
    <n v="0"/>
    <n v="1"/>
  </r>
  <r>
    <x v="475"/>
    <n v="204"/>
    <n v="97"/>
    <n v="97"/>
    <n v="21"/>
    <n v="118"/>
    <n v="26"/>
    <x v="1"/>
    <n v="75342"/>
    <n v="0"/>
    <n v="1"/>
  </r>
  <r>
    <x v="476"/>
    <n v="22"/>
    <n v="2"/>
    <n v="10"/>
    <n v="6"/>
    <n v="4"/>
    <n v="34"/>
    <x v="0"/>
    <n v="46831"/>
    <n v="1"/>
    <n v="1"/>
  </r>
  <r>
    <x v="477"/>
    <n v="5"/>
    <n v="4"/>
    <n v="5"/>
    <n v="4"/>
    <n v="2"/>
    <n v="10"/>
    <x v="0"/>
    <n v="20491"/>
    <n v="0"/>
    <n v="0"/>
  </r>
  <r>
    <x v="478"/>
    <n v="23"/>
    <n v="1"/>
    <n v="13"/>
    <n v="2"/>
    <n v="2"/>
    <n v="18"/>
    <x v="0"/>
    <n v="35178"/>
    <n v="1"/>
    <n v="0"/>
  </r>
  <r>
    <x v="479"/>
    <n v="153"/>
    <n v="64"/>
    <n v="123"/>
    <n v="116"/>
    <n v="64"/>
    <n v="14"/>
    <x v="0"/>
    <n v="38410"/>
    <n v="0"/>
    <n v="0"/>
  </r>
  <r>
    <x v="480"/>
    <n v="982"/>
    <n v="73"/>
    <n v="351"/>
    <n v="56"/>
    <n v="14"/>
    <n v="175"/>
    <x v="1"/>
    <n v="73454"/>
    <n v="0"/>
    <n v="0"/>
  </r>
  <r>
    <x v="481"/>
    <n v="97"/>
    <n v="1"/>
    <n v="41"/>
    <n v="6"/>
    <n v="2"/>
    <n v="41"/>
    <x v="0"/>
    <n v="37716"/>
    <n v="0"/>
    <n v="1"/>
  </r>
  <r>
    <x v="482"/>
    <n v="163"/>
    <n v="0"/>
    <n v="480"/>
    <n v="0"/>
    <n v="126"/>
    <n v="75"/>
    <x v="0"/>
    <n v="88097"/>
    <n v="1"/>
    <n v="0"/>
  </r>
  <r>
    <x v="483"/>
    <n v="14"/>
    <n v="7"/>
    <n v="11"/>
    <n v="11"/>
    <n v="0"/>
    <n v="5"/>
    <x v="0"/>
    <n v="24027"/>
    <n v="1"/>
    <n v="0"/>
  </r>
  <r>
    <x v="484"/>
    <n v="50"/>
    <n v="1"/>
    <n v="27"/>
    <n v="6"/>
    <n v="7"/>
    <n v="1"/>
    <x v="1"/>
    <n v="57530"/>
    <n v="0"/>
    <n v="1"/>
  </r>
  <r>
    <x v="485"/>
    <n v="23"/>
    <n v="4"/>
    <n v="5"/>
    <n v="10"/>
    <n v="5"/>
    <n v="23"/>
    <x v="1"/>
    <n v="31878"/>
    <n v="0"/>
    <n v="1"/>
  </r>
  <r>
    <x v="486"/>
    <n v="17"/>
    <n v="0"/>
    <n v="9"/>
    <n v="0"/>
    <n v="0"/>
    <n v="1"/>
    <x v="0"/>
    <n v="21840"/>
    <n v="1"/>
    <n v="0"/>
  </r>
  <r>
    <x v="487"/>
    <n v="416"/>
    <n v="0"/>
    <n v="26"/>
    <n v="0"/>
    <n v="0"/>
    <n v="4"/>
    <x v="1"/>
    <n v="55521"/>
    <n v="1"/>
    <n v="2"/>
  </r>
  <r>
    <x v="488"/>
    <n v="7"/>
    <n v="1"/>
    <n v="6"/>
    <n v="3"/>
    <n v="1"/>
    <n v="11"/>
    <x v="1"/>
    <n v="29548"/>
    <n v="1"/>
    <n v="0"/>
  </r>
  <r>
    <x v="489"/>
    <n v="1"/>
    <n v="9"/>
    <n v="7"/>
    <n v="2"/>
    <n v="14"/>
    <n v="10"/>
    <x v="0"/>
    <n v="28249"/>
    <n v="0"/>
    <n v="0"/>
  </r>
  <r>
    <x v="490"/>
    <n v="111"/>
    <n v="3"/>
    <n v="28"/>
    <n v="2"/>
    <n v="6"/>
    <n v="15"/>
    <x v="0"/>
    <n v="61278"/>
    <n v="0"/>
    <n v="1"/>
  </r>
  <r>
    <x v="491"/>
    <n v="1016"/>
    <n v="12"/>
    <n v="215"/>
    <n v="16"/>
    <n v="12"/>
    <n v="63"/>
    <x v="1"/>
    <n v="70638"/>
    <n v="0"/>
    <n v="0"/>
  </r>
  <r>
    <x v="492"/>
    <n v="3"/>
    <n v="14"/>
    <n v="17"/>
    <n v="6"/>
    <n v="1"/>
    <n v="5"/>
    <x v="0"/>
    <n v="17323"/>
    <n v="0"/>
    <n v="0"/>
  </r>
  <r>
    <x v="493"/>
    <n v="691"/>
    <n v="7"/>
    <n v="61"/>
    <n v="10"/>
    <n v="0"/>
    <n v="46"/>
    <x v="0"/>
    <n v="56534"/>
    <n v="0"/>
    <n v="1"/>
  </r>
  <r>
    <x v="494"/>
    <n v="1050"/>
    <n v="12"/>
    <n v="144"/>
    <n v="0"/>
    <n v="0"/>
    <n v="24"/>
    <x v="0"/>
    <n v="61996"/>
    <n v="0"/>
    <n v="1"/>
  </r>
  <r>
    <x v="495"/>
    <n v="495"/>
    <n v="33"/>
    <n v="255"/>
    <n v="11"/>
    <n v="33"/>
    <n v="8"/>
    <x v="0"/>
    <n v="71113"/>
    <n v="0"/>
    <n v="1"/>
  </r>
  <r>
    <x v="496"/>
    <n v="14"/>
    <n v="0"/>
    <n v="6"/>
    <n v="0"/>
    <n v="0"/>
    <n v="0"/>
    <x v="0"/>
    <n v="29791"/>
    <n v="1"/>
    <n v="0"/>
  </r>
  <r>
    <x v="497"/>
    <n v="25"/>
    <n v="3"/>
    <n v="16"/>
    <n v="8"/>
    <n v="5"/>
    <n v="2"/>
    <x v="1"/>
    <n v="26759"/>
    <n v="1"/>
    <n v="0"/>
  </r>
  <r>
    <x v="498"/>
    <n v="526"/>
    <n v="35"/>
    <n v="214"/>
    <n v="69"/>
    <n v="53"/>
    <n v="35"/>
    <x v="1"/>
    <n v="76320"/>
    <n v="0"/>
    <n v="1"/>
  </r>
  <r>
    <x v="499"/>
    <n v="424"/>
    <n v="17"/>
    <n v="118"/>
    <n v="7"/>
    <n v="23"/>
    <n v="41"/>
    <x v="1"/>
    <n v="40464"/>
    <n v="0"/>
    <n v="1"/>
  </r>
  <r>
    <x v="500"/>
    <n v="1206"/>
    <n v="55"/>
    <n v="445"/>
    <n v="168"/>
    <n v="18"/>
    <n v="18"/>
    <x v="0"/>
    <n v="82576"/>
    <n v="0"/>
    <n v="0"/>
  </r>
  <r>
    <x v="501"/>
    <n v="754"/>
    <n v="160"/>
    <n v="625"/>
    <n v="63"/>
    <n v="32"/>
    <n v="48"/>
    <x v="0"/>
    <n v="75794"/>
    <n v="0"/>
    <n v="0"/>
  </r>
  <r>
    <x v="502"/>
    <n v="162"/>
    <n v="6"/>
    <n v="37"/>
    <n v="6"/>
    <n v="13"/>
    <n v="13"/>
    <x v="0"/>
    <n v="54197"/>
    <n v="0"/>
    <n v="1"/>
  </r>
  <r>
    <x v="503"/>
    <n v="14"/>
    <n v="0"/>
    <n v="2"/>
    <n v="0"/>
    <n v="0"/>
    <n v="7"/>
    <x v="0"/>
    <n v="34596"/>
    <n v="1"/>
    <n v="0"/>
  </r>
  <r>
    <x v="504"/>
    <n v="156"/>
    <n v="29"/>
    <n v="56"/>
    <n v="30"/>
    <n v="32"/>
    <n v="47"/>
    <x v="1"/>
    <n v="42607"/>
    <n v="0"/>
    <n v="1"/>
  </r>
  <r>
    <x v="505"/>
    <n v="358"/>
    <n v="108"/>
    <n v="413"/>
    <n v="141"/>
    <n v="97"/>
    <n v="32"/>
    <x v="0"/>
    <n v="71853"/>
    <n v="0"/>
    <n v="0"/>
  </r>
  <r>
    <x v="506"/>
    <n v="297"/>
    <n v="0"/>
    <n v="38"/>
    <n v="13"/>
    <n v="0"/>
    <n v="152"/>
    <x v="0"/>
    <n v="50501"/>
    <n v="1"/>
    <n v="1"/>
  </r>
  <r>
    <x v="507"/>
    <n v="5"/>
    <n v="7"/>
    <n v="31"/>
    <n v="15"/>
    <n v="4"/>
    <n v="7"/>
    <x v="1"/>
    <n v="16653"/>
    <n v="1"/>
    <n v="0"/>
  </r>
  <r>
    <x v="508"/>
    <n v="19"/>
    <n v="5"/>
    <n v="12"/>
    <n v="10"/>
    <n v="3"/>
    <n v="19"/>
    <x v="1"/>
    <n v="43602"/>
    <n v="1"/>
    <n v="1"/>
  </r>
  <r>
    <x v="509"/>
    <n v="23"/>
    <n v="1"/>
    <n v="7"/>
    <n v="0"/>
    <n v="4"/>
    <n v="24"/>
    <x v="1"/>
    <n v="40851"/>
    <n v="1"/>
    <n v="1"/>
  </r>
  <r>
    <x v="510"/>
    <n v="12"/>
    <n v="4"/>
    <n v="2"/>
    <n v="10"/>
    <n v="6"/>
    <n v="10"/>
    <x v="1"/>
    <n v="18701"/>
    <n v="1"/>
    <n v="1"/>
  </r>
  <r>
    <x v="511"/>
    <n v="519"/>
    <n v="50"/>
    <n v="167"/>
    <n v="130"/>
    <n v="0"/>
    <n v="41"/>
    <x v="0"/>
    <n v="76234"/>
    <n v="0"/>
    <n v="1"/>
  </r>
  <r>
    <x v="512"/>
    <n v="375"/>
    <n v="152"/>
    <n v="335"/>
    <n v="93"/>
    <n v="91"/>
    <n v="81"/>
    <x v="1"/>
    <n v="74293"/>
    <n v="0"/>
    <n v="0"/>
  </r>
  <r>
    <x v="513"/>
    <n v="543"/>
    <n v="10"/>
    <n v="205"/>
    <n v="160"/>
    <n v="143"/>
    <n v="82"/>
    <x v="1"/>
    <n v="75154"/>
    <n v="0"/>
    <n v="1"/>
  </r>
  <r>
    <x v="514"/>
    <n v="72"/>
    <n v="24"/>
    <n v="68"/>
    <n v="65"/>
    <n v="4"/>
    <n v="8"/>
    <x v="0"/>
    <n v="46097"/>
    <n v="0"/>
    <n v="1"/>
  </r>
  <r>
    <x v="515"/>
    <n v="52"/>
    <n v="12"/>
    <n v="50"/>
    <n v="4"/>
    <n v="36"/>
    <n v="55"/>
    <x v="1"/>
    <n v="34412"/>
    <n v="1"/>
    <n v="0"/>
  </r>
  <r>
    <x v="516"/>
    <n v="71"/>
    <n v="22"/>
    <n v="112"/>
    <n v="138"/>
    <n v="89"/>
    <n v="29"/>
    <x v="0"/>
    <n v="65370"/>
    <n v="0"/>
    <n v="0"/>
  </r>
  <r>
    <x v="517"/>
    <n v="295"/>
    <n v="106"/>
    <n v="271"/>
    <n v="75"/>
    <n v="98"/>
    <n v="65"/>
    <x v="0"/>
    <n v="52413"/>
    <n v="0"/>
    <n v="2"/>
  </r>
  <r>
    <x v="518"/>
    <n v="0"/>
    <n v="1"/>
    <n v="4"/>
    <n v="15"/>
    <n v="1"/>
    <n v="5"/>
    <x v="0"/>
    <n v="22390"/>
    <n v="0"/>
    <n v="0"/>
  </r>
  <r>
    <x v="519"/>
    <n v="21"/>
    <n v="0"/>
    <n v="3"/>
    <n v="0"/>
    <n v="0"/>
    <n v="0"/>
    <x v="0"/>
    <n v="42664"/>
    <n v="0"/>
    <n v="1"/>
  </r>
  <r>
    <x v="520"/>
    <n v="254"/>
    <n v="7"/>
    <n v="108"/>
    <n v="20"/>
    <n v="0"/>
    <n v="26"/>
    <x v="1"/>
    <n v="47025"/>
    <n v="0"/>
    <n v="1"/>
  </r>
  <r>
    <x v="521"/>
    <n v="9"/>
    <n v="1"/>
    <n v="5"/>
    <n v="4"/>
    <n v="5"/>
    <n v="7"/>
    <x v="0"/>
    <n v="30560"/>
    <n v="1"/>
    <n v="0"/>
  </r>
  <r>
    <x v="522"/>
    <n v="184"/>
    <n v="178"/>
    <n v="178"/>
    <n v="103"/>
    <n v="39"/>
    <n v="33"/>
    <x v="0"/>
    <n v="71866"/>
    <n v="0"/>
    <n v="1"/>
  </r>
  <r>
    <x v="523"/>
    <n v="70"/>
    <n v="3"/>
    <n v="37"/>
    <n v="4"/>
    <n v="2"/>
    <n v="64"/>
    <x v="1"/>
    <n v="29435"/>
    <n v="1"/>
    <n v="1"/>
  </r>
  <r>
    <x v="524"/>
    <n v="12"/>
    <n v="0"/>
    <n v="1"/>
    <n v="0"/>
    <n v="0"/>
    <n v="6"/>
    <x v="1"/>
    <n v="36143"/>
    <n v="1"/>
    <n v="0"/>
  </r>
  <r>
    <x v="525"/>
    <n v="181"/>
    <n v="21"/>
    <n v="69"/>
    <n v="39"/>
    <n v="3"/>
    <n v="96"/>
    <x v="0"/>
    <n v="57100"/>
    <n v="0"/>
    <n v="0"/>
  </r>
  <r>
    <x v="526"/>
    <n v="536"/>
    <n v="11"/>
    <n v="387"/>
    <n v="149"/>
    <n v="91"/>
    <n v="57"/>
    <x v="1"/>
    <n v="80317"/>
    <n v="0"/>
    <n v="0"/>
  </r>
  <r>
    <x v="527"/>
    <n v="366"/>
    <n v="124"/>
    <n v="156"/>
    <n v="71"/>
    <n v="78"/>
    <n v="54"/>
    <x v="0"/>
    <n v="73807"/>
    <n v="0"/>
    <n v="1"/>
  </r>
  <r>
    <x v="528"/>
    <n v="62"/>
    <n v="1"/>
    <n v="16"/>
    <n v="3"/>
    <n v="2"/>
    <n v="6"/>
    <x v="1"/>
    <n v="33438"/>
    <n v="1"/>
    <n v="1"/>
  </r>
  <r>
    <x v="529"/>
    <n v="864"/>
    <n v="134"/>
    <n v="768"/>
    <n v="150"/>
    <n v="38"/>
    <n v="172"/>
    <x v="0"/>
    <n v="67546"/>
    <n v="0"/>
    <n v="0"/>
  </r>
  <r>
    <x v="530"/>
    <n v="1003"/>
    <n v="34"/>
    <n v="536"/>
    <n v="134"/>
    <n v="51"/>
    <n v="34"/>
    <x v="1"/>
    <n v="72066"/>
    <n v="0"/>
    <n v="0"/>
  </r>
  <r>
    <x v="531"/>
    <n v="352"/>
    <n v="0"/>
    <n v="27"/>
    <n v="10"/>
    <n v="0"/>
    <n v="15"/>
    <x v="0"/>
    <n v="54456"/>
    <n v="0"/>
    <n v="1"/>
  </r>
  <r>
    <x v="532"/>
    <n v="5"/>
    <n v="0"/>
    <n v="3"/>
    <n v="0"/>
    <n v="0"/>
    <n v="5"/>
    <x v="1"/>
    <n v="30523"/>
    <n v="2"/>
    <n v="1"/>
  </r>
  <r>
    <x v="533"/>
    <n v="707"/>
    <n v="20"/>
    <n v="171"/>
    <n v="65"/>
    <n v="60"/>
    <n v="50"/>
    <x v="0"/>
    <n v="72117"/>
    <n v="0"/>
    <n v="1"/>
  </r>
  <r>
    <x v="534"/>
    <n v="763"/>
    <n v="29"/>
    <n v="138"/>
    <n v="76"/>
    <n v="176"/>
    <n v="58"/>
    <x v="0"/>
    <n v="102160"/>
    <n v="0"/>
    <n v="0"/>
  </r>
  <r>
    <x v="535"/>
    <n v="196"/>
    <n v="25"/>
    <n v="607"/>
    <n v="67"/>
    <n v="17"/>
    <n v="49"/>
    <x v="0"/>
    <n v="87000"/>
    <n v="0"/>
    <n v="0"/>
  </r>
  <r>
    <x v="536"/>
    <n v="52"/>
    <n v="0"/>
    <n v="9"/>
    <n v="0"/>
    <n v="0"/>
    <n v="1"/>
    <x v="1"/>
    <n v="48918"/>
    <n v="1"/>
    <n v="1"/>
  </r>
  <r>
    <x v="537"/>
    <n v="7"/>
    <n v="5"/>
    <n v="39"/>
    <n v="17"/>
    <n v="15"/>
    <n v="37"/>
    <x v="0"/>
    <n v="33183"/>
    <n v="1"/>
    <n v="0"/>
  </r>
  <r>
    <x v="538"/>
    <n v="25"/>
    <n v="0"/>
    <n v="8"/>
    <n v="2"/>
    <n v="0"/>
    <n v="2"/>
    <x v="0"/>
    <n v="22574"/>
    <n v="2"/>
    <n v="1"/>
  </r>
  <r>
    <x v="539"/>
    <n v="626"/>
    <n v="0"/>
    <n v="70"/>
    <n v="0"/>
    <n v="7"/>
    <n v="28"/>
    <x v="0"/>
    <n v="65210"/>
    <n v="0"/>
    <n v="1"/>
  </r>
  <r>
    <x v="540"/>
    <n v="453"/>
    <n v="38"/>
    <n v="279"/>
    <n v="188"/>
    <n v="38"/>
    <n v="183"/>
    <x v="0"/>
    <n v="78416"/>
    <n v="0"/>
    <n v="1"/>
  </r>
  <r>
    <x v="541"/>
    <n v="10"/>
    <n v="1"/>
    <n v="7"/>
    <n v="0"/>
    <n v="0"/>
    <n v="1"/>
    <x v="0"/>
    <n v="43269"/>
    <n v="1"/>
    <n v="0"/>
  </r>
  <r>
    <x v="542"/>
    <n v="60"/>
    <n v="51"/>
    <n v="87"/>
    <n v="6"/>
    <n v="20"/>
    <n v="51"/>
    <x v="1"/>
    <n v="51766"/>
    <n v="1"/>
    <n v="0"/>
  </r>
  <r>
    <x v="543"/>
    <n v="9"/>
    <n v="1"/>
    <n v="6"/>
    <n v="3"/>
    <n v="0"/>
    <n v="4"/>
    <x v="1"/>
    <n v="24072"/>
    <n v="1"/>
    <n v="0"/>
  </r>
  <r>
    <x v="544"/>
    <n v="20"/>
    <n v="1"/>
    <n v="28"/>
    <n v="3"/>
    <n v="3"/>
    <n v="2"/>
    <x v="1"/>
    <n v="26518"/>
    <n v="1"/>
    <n v="1"/>
  </r>
  <r>
    <x v="545"/>
    <n v="376"/>
    <n v="0"/>
    <n v="38"/>
    <n v="11"/>
    <n v="8"/>
    <n v="69"/>
    <x v="0"/>
    <n v="49094"/>
    <n v="0"/>
    <n v="1"/>
  </r>
  <r>
    <x v="546"/>
    <n v="6"/>
    <n v="4"/>
    <n v="7"/>
    <n v="4"/>
    <n v="3"/>
    <n v="8"/>
    <x v="1"/>
    <n v="35388"/>
    <n v="1"/>
    <n v="0"/>
  </r>
  <r>
    <x v="547"/>
    <n v="444"/>
    <n v="44"/>
    <n v="382"/>
    <n v="11"/>
    <n v="8"/>
    <n v="17"/>
    <x v="0"/>
    <n v="67023"/>
    <n v="0"/>
    <n v="0"/>
  </r>
  <r>
    <x v="548"/>
    <n v="410"/>
    <n v="0"/>
    <n v="59"/>
    <n v="19"/>
    <n v="9"/>
    <n v="44"/>
    <x v="0"/>
    <n v="46014"/>
    <n v="1"/>
    <n v="1"/>
  </r>
  <r>
    <x v="549"/>
    <n v="162"/>
    <n v="31"/>
    <n v="127"/>
    <n v="8"/>
    <n v="17"/>
    <n v="69"/>
    <x v="0"/>
    <n v="67472"/>
    <n v="0"/>
    <n v="1"/>
  </r>
  <r>
    <x v="550"/>
    <n v="711"/>
    <n v="28"/>
    <n v="142"/>
    <n v="49"/>
    <n v="18"/>
    <n v="47"/>
    <x v="1"/>
    <n v="67893"/>
    <n v="0"/>
    <n v="1"/>
  </r>
  <r>
    <x v="551"/>
    <n v="1121"/>
    <n v="0"/>
    <n v="72"/>
    <n v="0"/>
    <n v="12"/>
    <n v="12"/>
    <x v="1"/>
    <n v="74290"/>
    <n v="0"/>
    <n v="1"/>
  </r>
  <r>
    <x v="552"/>
    <n v="595"/>
    <n v="23"/>
    <n v="123"/>
    <n v="10"/>
    <n v="23"/>
    <n v="154"/>
    <x v="1"/>
    <n v="68118"/>
    <n v="0"/>
    <n v="1"/>
  </r>
  <r>
    <x v="553"/>
    <n v="1067"/>
    <n v="138"/>
    <n v="750"/>
    <n v="0"/>
    <n v="19"/>
    <n v="39"/>
    <x v="1"/>
    <n v="72903"/>
    <n v="0"/>
    <n v="0"/>
  </r>
  <r>
    <x v="554"/>
    <n v="104"/>
    <n v="1"/>
    <n v="54"/>
    <n v="13"/>
    <n v="9"/>
    <n v="14"/>
    <x v="1"/>
    <n v="49980"/>
    <n v="0"/>
    <n v="1"/>
  </r>
  <r>
    <x v="555"/>
    <n v="934"/>
    <n v="24"/>
    <n v="230"/>
    <n v="16"/>
    <n v="24"/>
    <n v="36"/>
    <x v="0"/>
    <n v="78128"/>
    <n v="0"/>
    <n v="1"/>
  </r>
  <r>
    <x v="556"/>
    <n v="44"/>
    <n v="5"/>
    <n v="19"/>
    <n v="0"/>
    <n v="4"/>
    <n v="19"/>
    <x v="1"/>
    <n v="28510"/>
    <n v="1"/>
    <n v="1"/>
  </r>
  <r>
    <x v="557"/>
    <n v="789"/>
    <n v="0"/>
    <n v="142"/>
    <n v="12"/>
    <n v="9"/>
    <n v="38"/>
    <x v="1"/>
    <n v="52614"/>
    <n v="0"/>
    <n v="1"/>
  </r>
  <r>
    <x v="558"/>
    <n v="1241"/>
    <n v="0"/>
    <n v="80"/>
    <n v="0"/>
    <n v="13"/>
    <n v="40"/>
    <x v="0"/>
    <n v="55951"/>
    <n v="0"/>
    <n v="1"/>
  </r>
  <r>
    <x v="559"/>
    <n v="18"/>
    <n v="42"/>
    <n v="24"/>
    <n v="15"/>
    <n v="20"/>
    <n v="18"/>
    <x v="1"/>
    <n v="20180"/>
    <n v="0"/>
    <n v="0"/>
  </r>
  <r>
    <x v="560"/>
    <n v="852"/>
    <n v="60"/>
    <n v="207"/>
    <n v="78"/>
    <n v="36"/>
    <n v="48"/>
    <x v="1"/>
    <n v="68092"/>
    <n v="0"/>
    <n v="0"/>
  </r>
  <r>
    <x v="561"/>
    <n v="737"/>
    <n v="21"/>
    <n v="106"/>
    <n v="55"/>
    <n v="63"/>
    <n v="210"/>
    <x v="1"/>
    <n v="71847"/>
    <n v="0"/>
    <n v="0"/>
  </r>
  <r>
    <x v="562"/>
    <n v="18"/>
    <n v="0"/>
    <n v="4"/>
    <n v="0"/>
    <n v="0"/>
    <n v="1"/>
    <x v="0"/>
    <n v="23661"/>
    <n v="1"/>
    <n v="0"/>
  </r>
  <r>
    <x v="563"/>
    <n v="614"/>
    <n v="16"/>
    <n v="132"/>
    <n v="43"/>
    <n v="33"/>
    <n v="33"/>
    <x v="1"/>
    <n v="68352"/>
    <n v="0"/>
    <n v="1"/>
  </r>
  <r>
    <x v="564"/>
    <n v="751"/>
    <n v="127"/>
    <n v="687"/>
    <n v="20"/>
    <n v="15"/>
    <n v="31"/>
    <x v="0"/>
    <n v="79419"/>
    <n v="0"/>
    <n v="0"/>
  </r>
  <r>
    <x v="565"/>
    <n v="305"/>
    <n v="3"/>
    <n v="27"/>
    <n v="4"/>
    <n v="3"/>
    <n v="144"/>
    <x v="1"/>
    <n v="45906"/>
    <n v="0"/>
    <n v="1"/>
  </r>
  <r>
    <x v="566"/>
    <n v="38"/>
    <n v="0"/>
    <n v="2"/>
    <n v="0"/>
    <n v="0"/>
    <n v="6"/>
    <x v="0"/>
    <n v="46015"/>
    <n v="1"/>
    <n v="1"/>
  </r>
  <r>
    <x v="567"/>
    <n v="104"/>
    <n v="12"/>
    <n v="48"/>
    <n v="4"/>
    <n v="12"/>
    <n v="5"/>
    <x v="1"/>
    <n v="62637"/>
    <n v="0"/>
    <n v="1"/>
  </r>
  <r>
    <x v="568"/>
    <n v="29"/>
    <n v="3"/>
    <n v="30"/>
    <n v="3"/>
    <n v="2"/>
    <n v="9"/>
    <x v="1"/>
    <n v="36273"/>
    <n v="1"/>
    <n v="0"/>
  </r>
  <r>
    <x v="569"/>
    <n v="19"/>
    <n v="3"/>
    <n v="10"/>
    <n v="11"/>
    <n v="8"/>
    <n v="6"/>
    <x v="0"/>
    <n v="28442"/>
    <n v="2"/>
    <n v="0"/>
  </r>
  <r>
    <x v="570"/>
    <n v="175"/>
    <n v="10"/>
    <n v="110"/>
    <n v="54"/>
    <n v="6"/>
    <n v="27"/>
    <x v="0"/>
    <n v="42081"/>
    <n v="1"/>
    <n v="0"/>
  </r>
  <r>
    <x v="571"/>
    <n v="709"/>
    <n v="93"/>
    <n v="374"/>
    <n v="104"/>
    <n v="80"/>
    <n v="80"/>
    <x v="0"/>
    <n v="75507"/>
    <n v="0"/>
    <n v="0"/>
  </r>
  <r>
    <x v="572"/>
    <n v="3"/>
    <n v="10"/>
    <n v="8"/>
    <n v="3"/>
    <n v="16"/>
    <n v="32"/>
    <x v="0"/>
    <n v="26872"/>
    <n v="0"/>
    <n v="0"/>
  </r>
  <r>
    <x v="573"/>
    <n v="437"/>
    <n v="8"/>
    <n v="206"/>
    <n v="160"/>
    <n v="49"/>
    <n v="42"/>
    <x v="1"/>
    <n v="48948"/>
    <n v="0"/>
    <n v="0"/>
  </r>
  <r>
    <x v="574"/>
    <n v="717"/>
    <n v="42"/>
    <n v="864"/>
    <n v="219"/>
    <n v="30"/>
    <n v="84"/>
    <x v="0"/>
    <n v="85606"/>
    <n v="0"/>
    <n v="1"/>
  </r>
  <r>
    <x v="575"/>
    <n v="12"/>
    <n v="0"/>
    <n v="13"/>
    <n v="4"/>
    <n v="2"/>
    <n v="4"/>
    <x v="1"/>
    <n v="8820"/>
    <n v="1"/>
    <n v="1"/>
  </r>
  <r>
    <x v="576"/>
    <n v="7"/>
    <n v="2"/>
    <n v="4"/>
    <n v="2"/>
    <n v="1"/>
    <n v="4"/>
    <x v="0"/>
    <n v="30772"/>
    <n v="1"/>
    <n v="1"/>
  </r>
  <r>
    <x v="577"/>
    <n v="291"/>
    <n v="10"/>
    <n v="689"/>
    <n v="84"/>
    <n v="10"/>
    <n v="0"/>
    <x v="0"/>
    <n v="66636"/>
    <n v="0"/>
    <n v="0"/>
  </r>
  <r>
    <x v="578"/>
    <n v="530"/>
    <n v="117"/>
    <n v="678"/>
    <n v="134"/>
    <n v="44"/>
    <n v="147"/>
    <x v="1"/>
    <n v="83528"/>
    <n v="0"/>
    <n v="0"/>
  </r>
  <r>
    <x v="579"/>
    <n v="17"/>
    <n v="0"/>
    <n v="14"/>
    <n v="7"/>
    <n v="3"/>
    <n v="2"/>
    <x v="1"/>
    <n v="30992"/>
    <n v="1"/>
    <n v="0"/>
  </r>
  <r>
    <x v="580"/>
    <n v="27"/>
    <n v="2"/>
    <n v="10"/>
    <n v="0"/>
    <n v="0"/>
    <n v="1"/>
    <x v="0"/>
    <n v="37758"/>
    <n v="1"/>
    <n v="1"/>
  </r>
  <r>
    <x v="581"/>
    <n v="1462"/>
    <n v="16"/>
    <n v="128"/>
    <n v="0"/>
    <n v="0"/>
    <n v="160"/>
    <x v="1"/>
    <n v="71670"/>
    <n v="0"/>
    <n v="0"/>
  </r>
  <r>
    <x v="582"/>
    <n v="957"/>
    <n v="153"/>
    <n v="612"/>
    <n v="99"/>
    <n v="95"/>
    <n v="153"/>
    <x v="0"/>
    <n v="88420"/>
    <n v="0"/>
    <n v="0"/>
  </r>
  <r>
    <x v="583"/>
    <n v="86"/>
    <n v="12"/>
    <n v="75"/>
    <n v="33"/>
    <n v="15"/>
    <n v="6"/>
    <x v="0"/>
    <n v="69139"/>
    <n v="0"/>
    <n v="1"/>
  </r>
  <r>
    <x v="584"/>
    <n v="212"/>
    <n v="6"/>
    <n v="69"/>
    <n v="4"/>
    <n v="12"/>
    <n v="3"/>
    <x v="1"/>
    <n v="49967"/>
    <n v="0"/>
    <n v="1"/>
  </r>
  <r>
    <x v="585"/>
    <n v="28"/>
    <n v="34"/>
    <n v="62"/>
    <n v="11"/>
    <n v="14"/>
    <n v="44"/>
    <x v="0"/>
    <n v="24570"/>
    <n v="1"/>
    <n v="0"/>
  </r>
  <r>
    <x v="586"/>
    <n v="112"/>
    <n v="17"/>
    <n v="44"/>
    <n v="34"/>
    <n v="22"/>
    <n v="89"/>
    <x v="0"/>
    <n v="38620"/>
    <n v="0"/>
    <n v="0"/>
  </r>
  <r>
    <x v="587"/>
    <n v="135"/>
    <n v="46"/>
    <n v="92"/>
    <n v="65"/>
    <n v="61"/>
    <n v="11"/>
    <x v="0"/>
    <n v="50150"/>
    <n v="0"/>
    <n v="0"/>
  </r>
  <r>
    <x v="588"/>
    <n v="185"/>
    <n v="0"/>
    <n v="28"/>
    <n v="3"/>
    <n v="2"/>
    <n v="17"/>
    <x v="0"/>
    <n v="54198"/>
    <n v="1"/>
    <n v="1"/>
  </r>
  <r>
    <x v="589"/>
    <n v="587"/>
    <n v="43"/>
    <n v="337"/>
    <n v="42"/>
    <n v="87"/>
    <n v="54"/>
    <x v="1"/>
    <n v="63693"/>
    <n v="0"/>
    <n v="1"/>
  </r>
  <r>
    <x v="590"/>
    <n v="167"/>
    <n v="0"/>
    <n v="43"/>
    <n v="6"/>
    <n v="2"/>
    <n v="13"/>
    <x v="0"/>
    <n v="61905"/>
    <n v="0"/>
    <n v="1"/>
  </r>
  <r>
    <x v="591"/>
    <n v="1"/>
    <n v="12"/>
    <n v="9"/>
    <n v="0"/>
    <n v="14"/>
    <n v="7"/>
    <x v="0"/>
    <n v="18351"/>
    <n v="0"/>
    <n v="0"/>
  </r>
  <r>
    <x v="592"/>
    <n v="1218"/>
    <n v="107"/>
    <n v="304"/>
    <n v="23"/>
    <n v="143"/>
    <n v="33"/>
    <x v="0"/>
    <n v="70643"/>
    <n v="0"/>
    <n v="0"/>
  </r>
  <r>
    <x v="593"/>
    <n v="130"/>
    <n v="30"/>
    <n v="168"/>
    <n v="20"/>
    <n v="34"/>
    <n v="0"/>
    <x v="0"/>
    <n v="59973"/>
    <n v="0"/>
    <n v="0"/>
  </r>
  <r>
    <x v="594"/>
    <n v="452"/>
    <n v="18"/>
    <n v="102"/>
    <n v="16"/>
    <n v="18"/>
    <n v="6"/>
    <x v="0"/>
    <n v="66653"/>
    <n v="1"/>
    <n v="1"/>
  </r>
  <r>
    <x v="595"/>
    <n v="7"/>
    <n v="2"/>
    <n v="6"/>
    <n v="2"/>
    <n v="0"/>
    <n v="3"/>
    <x v="0"/>
    <n v="41014"/>
    <n v="1"/>
    <n v="0"/>
  </r>
  <r>
    <x v="596"/>
    <n v="215"/>
    <n v="13"/>
    <n v="87"/>
    <n v="17"/>
    <n v="17"/>
    <n v="24"/>
    <x v="0"/>
    <n v="45837"/>
    <n v="1"/>
    <n v="1"/>
  </r>
  <r>
    <x v="597"/>
    <n v="183"/>
    <n v="5"/>
    <n v="65"/>
    <n v="3"/>
    <n v="5"/>
    <n v="49"/>
    <x v="1"/>
    <n v="44267"/>
    <n v="1"/>
    <n v="1"/>
  </r>
  <r>
    <x v="598"/>
    <n v="2"/>
    <n v="3"/>
    <n v="12"/>
    <n v="3"/>
    <n v="5"/>
    <n v="7"/>
    <x v="0"/>
    <n v="19414"/>
    <n v="1"/>
    <n v="0"/>
  </r>
  <r>
    <x v="599"/>
    <n v="830"/>
    <n v="59"/>
    <n v="968"/>
    <n v="51"/>
    <n v="79"/>
    <n v="19"/>
    <x v="1"/>
    <n v="82332"/>
    <n v="0"/>
    <n v="0"/>
  </r>
  <r>
    <x v="600"/>
    <n v="121"/>
    <n v="24"/>
    <n v="124"/>
    <n v="24"/>
    <n v="15"/>
    <n v="42"/>
    <x v="0"/>
    <n v="71322"/>
    <n v="0"/>
    <n v="1"/>
  </r>
  <r>
    <x v="601"/>
    <n v="2"/>
    <n v="4"/>
    <n v="9"/>
    <n v="0"/>
    <n v="4"/>
    <n v="5"/>
    <x v="0"/>
    <n v="22701"/>
    <n v="1"/>
    <n v="0"/>
  </r>
  <r>
    <x v="602"/>
    <n v="6"/>
    <n v="1"/>
    <n v="10"/>
    <n v="0"/>
    <n v="1"/>
    <n v="4"/>
    <x v="0"/>
    <n v="38547"/>
    <n v="1"/>
    <n v="0"/>
  </r>
  <r>
    <x v="603"/>
    <n v="5"/>
    <n v="3"/>
    <n v="11"/>
    <n v="12"/>
    <n v="5"/>
    <n v="9"/>
    <x v="0"/>
    <n v="30096"/>
    <n v="1"/>
    <n v="0"/>
  </r>
  <r>
    <x v="604"/>
    <n v="317"/>
    <n v="25"/>
    <n v="265"/>
    <n v="25"/>
    <n v="19"/>
    <n v="12"/>
    <x v="1"/>
    <n v="59432"/>
    <n v="0"/>
    <n v="1"/>
  </r>
  <r>
    <x v="605"/>
    <n v="1324"/>
    <n v="27"/>
    <n v="119"/>
    <n v="71"/>
    <n v="108"/>
    <n v="27"/>
    <x v="1"/>
    <n v="91249"/>
    <n v="0"/>
    <n v="0"/>
  </r>
  <r>
    <x v="606"/>
    <n v="871"/>
    <n v="111"/>
    <n v="704"/>
    <n v="145"/>
    <n v="55"/>
    <n v="166"/>
    <x v="1"/>
    <n v="74116"/>
    <n v="0"/>
    <n v="0"/>
  </r>
  <r>
    <x v="607"/>
    <n v="15"/>
    <n v="10"/>
    <n v="19"/>
    <n v="8"/>
    <n v="17"/>
    <n v="20"/>
    <x v="0"/>
    <n v="26091"/>
    <n v="1"/>
    <n v="1"/>
  </r>
  <r>
    <x v="608"/>
    <n v="11"/>
    <n v="0"/>
    <n v="4"/>
    <n v="0"/>
    <n v="0"/>
    <n v="2"/>
    <x v="1"/>
    <n v="40737"/>
    <n v="2"/>
    <n v="1"/>
  </r>
  <r>
    <x v="609"/>
    <n v="13"/>
    <n v="3"/>
    <n v="6"/>
    <n v="6"/>
    <n v="5"/>
    <n v="6"/>
    <x v="0"/>
    <n v="32300"/>
    <n v="1"/>
    <n v="0"/>
  </r>
  <r>
    <x v="610"/>
    <n v="389"/>
    <n v="66"/>
    <n v="408"/>
    <n v="37"/>
    <n v="57"/>
    <n v="85"/>
    <x v="0"/>
    <n v="68148"/>
    <n v="0"/>
    <n v="0"/>
  </r>
  <r>
    <x v="611"/>
    <n v="1492"/>
    <n v="38"/>
    <n v="287"/>
    <n v="50"/>
    <n v="57"/>
    <n v="33"/>
    <x v="0"/>
    <n v="87771"/>
    <n v="0"/>
    <n v="1"/>
  </r>
  <r>
    <x v="612"/>
    <n v="249"/>
    <n v="153"/>
    <n v="940"/>
    <n v="58"/>
    <n v="134"/>
    <n v="38"/>
    <x v="1"/>
    <n v="81741"/>
    <n v="0"/>
    <n v="0"/>
  </r>
  <r>
    <x v="613"/>
    <n v="96"/>
    <n v="1"/>
    <n v="79"/>
    <n v="7"/>
    <n v="1"/>
    <n v="79"/>
    <x v="1"/>
    <n v="46854"/>
    <n v="1"/>
    <n v="1"/>
  </r>
  <r>
    <x v="614"/>
    <n v="412"/>
    <n v="12"/>
    <n v="546"/>
    <n v="78"/>
    <n v="182"/>
    <n v="0"/>
    <x v="1"/>
    <n v="71466"/>
    <n v="0"/>
    <n v="0"/>
  </r>
  <r>
    <x v="615"/>
    <n v="275"/>
    <n v="59"/>
    <n v="107"/>
    <n v="69"/>
    <n v="101"/>
    <n v="59"/>
    <x v="0"/>
    <n v="77353"/>
    <n v="0"/>
    <n v="1"/>
  </r>
  <r>
    <x v="616"/>
    <n v="1166"/>
    <n v="0"/>
    <n v="48"/>
    <n v="0"/>
    <n v="0"/>
    <n v="36"/>
    <x v="0"/>
    <n v="51563"/>
    <n v="0"/>
    <n v="0"/>
  </r>
  <r>
    <x v="617"/>
    <n v="29"/>
    <n v="12"/>
    <n v="59"/>
    <n v="19"/>
    <n v="1"/>
    <n v="36"/>
    <x v="0"/>
    <n v="39922"/>
    <n v="1"/>
    <n v="0"/>
  </r>
  <r>
    <x v="618"/>
    <n v="116"/>
    <n v="11"/>
    <n v="72"/>
    <n v="3"/>
    <n v="17"/>
    <n v="46"/>
    <x v="0"/>
    <n v="42207"/>
    <n v="1"/>
    <n v="0"/>
  </r>
  <r>
    <x v="619"/>
    <n v="5"/>
    <n v="4"/>
    <n v="10"/>
    <n v="2"/>
    <n v="2"/>
    <n v="7"/>
    <x v="0"/>
    <n v="37971"/>
    <n v="1"/>
    <n v="0"/>
  </r>
  <r>
    <x v="620"/>
    <n v="562"/>
    <n v="21"/>
    <n v="464"/>
    <n v="28"/>
    <n v="10"/>
    <n v="32"/>
    <x v="0"/>
    <n v="62745"/>
    <n v="0"/>
    <n v="1"/>
  </r>
  <r>
    <x v="621"/>
    <n v="407"/>
    <n v="70"/>
    <n v="239"/>
    <n v="103"/>
    <n v="88"/>
    <n v="53"/>
    <x v="0"/>
    <n v="70886"/>
    <n v="1"/>
    <n v="0"/>
  </r>
  <r>
    <x v="622"/>
    <n v="995"/>
    <n v="112"/>
    <n v="417"/>
    <n v="42"/>
    <n v="48"/>
    <n v="41"/>
    <x v="1"/>
    <n v="68281"/>
    <n v="0"/>
    <n v="0"/>
  </r>
  <r>
    <x v="623"/>
    <n v="21"/>
    <n v="1"/>
    <n v="9"/>
    <n v="7"/>
    <n v="3"/>
    <n v="5"/>
    <x v="0"/>
    <n v="35701"/>
    <n v="0"/>
    <n v="0"/>
  </r>
  <r>
    <x v="624"/>
    <n v="527"/>
    <n v="0"/>
    <n v="21"/>
    <n v="0"/>
    <n v="0"/>
    <n v="60"/>
    <x v="0"/>
    <n v="57288"/>
    <n v="0"/>
    <n v="1"/>
  </r>
  <r>
    <x v="625"/>
    <n v="12"/>
    <n v="23"/>
    <n v="38"/>
    <n v="30"/>
    <n v="18"/>
    <n v="7"/>
    <x v="0"/>
    <n v="17117"/>
    <n v="1"/>
    <n v="0"/>
  </r>
  <r>
    <x v="626"/>
    <n v="11"/>
    <n v="12"/>
    <n v="35"/>
    <n v="3"/>
    <n v="5"/>
    <n v="12"/>
    <x v="0"/>
    <n v="36301"/>
    <n v="1"/>
    <n v="0"/>
  </r>
  <r>
    <x v="627"/>
    <n v="219"/>
    <n v="3"/>
    <n v="100"/>
    <n v="26"/>
    <n v="0"/>
    <n v="17"/>
    <x v="1"/>
    <n v="49431"/>
    <n v="0"/>
    <n v="1"/>
  </r>
  <r>
    <x v="628"/>
    <n v="206"/>
    <n v="10"/>
    <n v="67"/>
    <n v="30"/>
    <n v="27"/>
    <n v="71"/>
    <x v="0"/>
    <n v="49154"/>
    <n v="1"/>
    <n v="1"/>
  </r>
  <r>
    <x v="629"/>
    <n v="200"/>
    <n v="193"/>
    <n v="100"/>
    <n v="46"/>
    <n v="185"/>
    <n v="185"/>
    <x v="0"/>
    <n v="70932"/>
    <n v="0"/>
    <n v="1"/>
  </r>
  <r>
    <x v="630"/>
    <n v="13"/>
    <n v="2"/>
    <n v="15"/>
    <n v="2"/>
    <n v="2"/>
    <n v="8"/>
    <x v="1"/>
    <n v="26642"/>
    <n v="1"/>
    <n v="0"/>
  </r>
  <r>
    <x v="631"/>
    <n v="856"/>
    <n v="0"/>
    <n v="76"/>
    <n v="12"/>
    <n v="9"/>
    <n v="199"/>
    <x v="0"/>
    <n v="52973"/>
    <n v="0"/>
    <n v="1"/>
  </r>
  <r>
    <x v="632"/>
    <n v="30"/>
    <n v="9"/>
    <n v="12"/>
    <n v="2"/>
    <n v="11"/>
    <n v="30"/>
    <x v="0"/>
    <n v="35704"/>
    <n v="1"/>
    <n v="1"/>
  </r>
  <r>
    <x v="633"/>
    <n v="73"/>
    <n v="3"/>
    <n v="90"/>
    <n v="12"/>
    <n v="1"/>
    <n v="32"/>
    <x v="0"/>
    <n v="35688"/>
    <n v="2"/>
    <n v="1"/>
  </r>
  <r>
    <x v="634"/>
    <n v="5"/>
    <n v="7"/>
    <n v="24"/>
    <n v="19"/>
    <n v="14"/>
    <n v="20"/>
    <x v="1"/>
    <n v="34176"/>
    <n v="1"/>
    <n v="0"/>
  </r>
  <r>
    <x v="635"/>
    <n v="421"/>
    <n v="5"/>
    <n v="90"/>
    <n v="0"/>
    <n v="16"/>
    <n v="10"/>
    <x v="0"/>
    <n v="56575"/>
    <n v="0"/>
    <n v="2"/>
  </r>
  <r>
    <x v="636"/>
    <n v="64"/>
    <n v="4"/>
    <n v="68"/>
    <n v="7"/>
    <n v="5"/>
    <n v="17"/>
    <x v="1"/>
    <n v="29760"/>
    <n v="1"/>
    <n v="0"/>
  </r>
  <r>
    <x v="637"/>
    <n v="879"/>
    <n v="143"/>
    <n v="797"/>
    <n v="106"/>
    <n v="143"/>
    <n v="143"/>
    <x v="0"/>
    <n v="94642"/>
    <n v="0"/>
    <n v="0"/>
  </r>
  <r>
    <x v="638"/>
    <n v="712"/>
    <n v="0"/>
    <n v="45"/>
    <n v="0"/>
    <n v="0"/>
    <n v="191"/>
    <x v="0"/>
    <n v="66375"/>
    <n v="0"/>
    <n v="1"/>
  </r>
  <r>
    <x v="639"/>
    <n v="244"/>
    <n v="15"/>
    <n v="108"/>
    <n v="4"/>
    <n v="15"/>
    <n v="50"/>
    <x v="0"/>
    <n v="42014"/>
    <n v="1"/>
    <n v="0"/>
  </r>
  <r>
    <x v="640"/>
    <n v="125"/>
    <n v="6"/>
    <n v="73"/>
    <n v="8"/>
    <n v="4"/>
    <n v="19"/>
    <x v="1"/>
    <n v="55282"/>
    <n v="1"/>
    <n v="0"/>
  </r>
  <r>
    <x v="641"/>
    <n v="70"/>
    <n v="0"/>
    <n v="16"/>
    <n v="0"/>
    <n v="0"/>
    <n v="4"/>
    <x v="0"/>
    <n v="54348"/>
    <n v="1"/>
    <n v="1"/>
  </r>
  <r>
    <x v="642"/>
    <n v="34"/>
    <n v="4"/>
    <n v="66"/>
    <n v="3"/>
    <n v="10"/>
    <n v="20"/>
    <x v="0"/>
    <n v="34935"/>
    <n v="0"/>
    <n v="0"/>
  </r>
  <r>
    <x v="643"/>
    <n v="129"/>
    <n v="26"/>
    <n v="67"/>
    <n v="3"/>
    <n v="67"/>
    <n v="2"/>
    <x v="1"/>
    <n v="70844"/>
    <n v="1"/>
    <n v="1"/>
  </r>
  <r>
    <x v="644"/>
    <n v="726"/>
    <n v="53"/>
    <n v="363"/>
    <n v="123"/>
    <n v="107"/>
    <n v="161"/>
    <x v="0"/>
    <n v="69016"/>
    <n v="0"/>
    <n v="1"/>
  </r>
  <r>
    <x v="645"/>
    <n v="1170"/>
    <n v="19"/>
    <n v="594"/>
    <n v="99"/>
    <n v="76"/>
    <n v="134"/>
    <x v="0"/>
    <n v="78952"/>
    <n v="0"/>
    <n v="1"/>
  </r>
  <r>
    <x v="646"/>
    <n v="138"/>
    <n v="33"/>
    <n v="87"/>
    <n v="28"/>
    <n v="24"/>
    <n v="12"/>
    <x v="1"/>
    <n v="45989"/>
    <n v="0"/>
    <n v="1"/>
  </r>
  <r>
    <x v="647"/>
    <n v="141"/>
    <n v="8"/>
    <n v="129"/>
    <n v="3"/>
    <n v="11"/>
    <n v="47"/>
    <x v="1"/>
    <n v="36108"/>
    <n v="1"/>
    <n v="0"/>
  </r>
  <r>
    <x v="648"/>
    <n v="815"/>
    <n v="8"/>
    <n v="53"/>
    <n v="11"/>
    <n v="0"/>
    <n v="70"/>
    <x v="0"/>
    <n v="67381"/>
    <n v="0"/>
    <n v="1"/>
  </r>
  <r>
    <x v="649"/>
    <n v="635"/>
    <n v="15"/>
    <n v="100"/>
    <n v="20"/>
    <n v="7"/>
    <n v="131"/>
    <x v="1"/>
    <n v="63841"/>
    <n v="0"/>
    <n v="1"/>
  </r>
  <r>
    <x v="650"/>
    <n v="1115"/>
    <n v="12"/>
    <n v="128"/>
    <n v="33"/>
    <n v="12"/>
    <n v="76"/>
    <x v="0"/>
    <n v="76068"/>
    <n v="0"/>
    <n v="1"/>
  </r>
  <r>
    <x v="651"/>
    <n v="1045"/>
    <n v="61"/>
    <n v="338"/>
    <n v="60"/>
    <n v="46"/>
    <n v="46"/>
    <x v="1"/>
    <n v="70300"/>
    <n v="1"/>
    <n v="0"/>
  </r>
  <r>
    <x v="652"/>
    <n v="629"/>
    <n v="0"/>
    <n v="70"/>
    <n v="0"/>
    <n v="0"/>
    <n v="35"/>
    <x v="0"/>
    <n v="59821"/>
    <n v="0"/>
    <n v="1"/>
  </r>
  <r>
    <x v="653"/>
    <n v="919"/>
    <n v="0"/>
    <n v="505"/>
    <n v="99"/>
    <n v="30"/>
    <n v="45"/>
    <x v="0"/>
    <n v="68682"/>
    <n v="0"/>
    <n v="0"/>
  </r>
  <r>
    <x v="654"/>
    <n v="390"/>
    <n v="22"/>
    <n v="323"/>
    <n v="104"/>
    <n v="35"/>
    <n v="107"/>
    <x v="0"/>
    <n v="72635"/>
    <n v="0"/>
    <n v="0"/>
  </r>
  <r>
    <x v="655"/>
    <n v="483"/>
    <n v="72"/>
    <n v="567"/>
    <n v="94"/>
    <n v="12"/>
    <n v="108"/>
    <x v="1"/>
    <n v="80872"/>
    <n v="0"/>
    <n v="0"/>
  </r>
  <r>
    <x v="656"/>
    <n v="11"/>
    <n v="0"/>
    <n v="5"/>
    <n v="2"/>
    <n v="1"/>
    <n v="1"/>
    <x v="0"/>
    <n v="14045"/>
    <n v="1"/>
    <n v="0"/>
  </r>
  <r>
    <x v="657"/>
    <n v="157"/>
    <n v="6"/>
    <n v="39"/>
    <n v="6"/>
    <n v="13"/>
    <n v="75"/>
    <x v="0"/>
    <n v="56721"/>
    <n v="1"/>
    <n v="1"/>
  </r>
  <r>
    <x v="658"/>
    <n v="216"/>
    <n v="162"/>
    <n v="224"/>
    <n v="101"/>
    <n v="92"/>
    <n v="162"/>
    <x v="1"/>
    <n v="60714"/>
    <n v="0"/>
    <n v="0"/>
  </r>
  <r>
    <x v="659"/>
    <n v="674"/>
    <n v="62"/>
    <n v="134"/>
    <n v="0"/>
    <n v="26"/>
    <n v="8"/>
    <x v="0"/>
    <n v="69283"/>
    <n v="0"/>
    <n v="1"/>
  </r>
  <r>
    <x v="660"/>
    <n v="19"/>
    <n v="18"/>
    <n v="33"/>
    <n v="24"/>
    <n v="1"/>
    <n v="8"/>
    <x v="1"/>
    <n v="34487"/>
    <n v="1"/>
    <n v="1"/>
  </r>
  <r>
    <x v="661"/>
    <n v="267"/>
    <n v="42"/>
    <n v="309"/>
    <n v="55"/>
    <n v="42"/>
    <n v="21"/>
    <x v="0"/>
    <n v="60585"/>
    <n v="1"/>
    <n v="1"/>
  </r>
  <r>
    <x v="662"/>
    <n v="4"/>
    <n v="8"/>
    <n v="11"/>
    <n v="12"/>
    <n v="2"/>
    <n v="13"/>
    <x v="1"/>
    <n v="16813"/>
    <n v="0"/>
    <n v="0"/>
  </r>
  <r>
    <x v="663"/>
    <n v="1039"/>
    <n v="43"/>
    <n v="204"/>
    <n v="153"/>
    <n v="58"/>
    <n v="29"/>
    <x v="0"/>
    <n v="48192"/>
    <n v="0"/>
    <n v="0"/>
  </r>
  <r>
    <x v="664"/>
    <n v="384"/>
    <n v="60"/>
    <n v="364"/>
    <n v="119"/>
    <n v="101"/>
    <n v="232"/>
    <x v="0"/>
    <n v="55914"/>
    <n v="0"/>
    <n v="1"/>
  </r>
  <r>
    <x v="665"/>
    <n v="462"/>
    <n v="61"/>
    <n v="184"/>
    <n v="10"/>
    <n v="53"/>
    <n v="107"/>
    <x v="0"/>
    <n v="55424"/>
    <n v="0"/>
    <n v="1"/>
  </r>
  <r>
    <x v="666"/>
    <n v="255"/>
    <n v="47"/>
    <n v="573"/>
    <n v="52"/>
    <n v="32"/>
    <n v="15"/>
    <x v="1"/>
    <n v="82460"/>
    <n v="0"/>
    <n v="0"/>
  </r>
  <r>
    <x v="667"/>
    <n v="676"/>
    <n v="161"/>
    <n v="426"/>
    <n v="210"/>
    <n v="44"/>
    <n v="58"/>
    <x v="1"/>
    <n v="76467"/>
    <n v="1"/>
    <n v="0"/>
  </r>
  <r>
    <x v="668"/>
    <n v="87"/>
    <n v="13"/>
    <n v="34"/>
    <n v="10"/>
    <n v="6"/>
    <n v="10"/>
    <x v="1"/>
    <n v="62307"/>
    <n v="0"/>
    <n v="1"/>
  </r>
  <r>
    <x v="669"/>
    <n v="50"/>
    <n v="4"/>
    <n v="44"/>
    <n v="10"/>
    <n v="10"/>
    <n v="43"/>
    <x v="1"/>
    <n v="40887"/>
    <n v="1"/>
    <n v="1"/>
  </r>
  <r>
    <x v="670"/>
    <n v="10"/>
    <n v="1"/>
    <n v="18"/>
    <n v="10"/>
    <n v="4"/>
    <n v="7"/>
    <x v="0"/>
    <n v="25271"/>
    <n v="1"/>
    <n v="0"/>
  </r>
  <r>
    <x v="671"/>
    <n v="162"/>
    <n v="28"/>
    <n v="818"/>
    <n v="0"/>
    <n v="28"/>
    <n v="56"/>
    <x v="1"/>
    <n v="91172"/>
    <n v="0"/>
    <n v="0"/>
  </r>
  <r>
    <x v="672"/>
    <n v="583"/>
    <n v="34"/>
    <n v="309"/>
    <n v="0"/>
    <n v="22"/>
    <n v="125"/>
    <x v="0"/>
    <n v="75072"/>
    <n v="0"/>
    <n v="1"/>
  </r>
  <r>
    <x v="673"/>
    <n v="80"/>
    <n v="1"/>
    <n v="60"/>
    <n v="4"/>
    <n v="6"/>
    <n v="16"/>
    <x v="1"/>
    <n v="39763"/>
    <n v="1"/>
    <n v="0"/>
  </r>
  <r>
    <x v="674"/>
    <n v="12"/>
    <n v="0"/>
    <n v="4"/>
    <n v="0"/>
    <n v="0"/>
    <n v="1"/>
    <x v="0"/>
    <n v="38200"/>
    <n v="1"/>
    <n v="1"/>
  </r>
  <r>
    <x v="675"/>
    <n v="32"/>
    <n v="0"/>
    <n v="5"/>
    <n v="0"/>
    <n v="0"/>
    <n v="1"/>
    <x v="0"/>
    <n v="38443"/>
    <n v="1"/>
    <n v="1"/>
  </r>
  <r>
    <x v="676"/>
    <n v="251"/>
    <n v="108"/>
    <n v="334"/>
    <n v="65"/>
    <n v="92"/>
    <n v="117"/>
    <x v="1"/>
    <n v="66294"/>
    <n v="0"/>
    <n v="0"/>
  </r>
  <r>
    <x v="677"/>
    <n v="7"/>
    <n v="11"/>
    <n v="3"/>
    <n v="10"/>
    <n v="4"/>
    <n v="20"/>
    <x v="0"/>
    <n v="19740"/>
    <n v="0"/>
    <n v="1"/>
  </r>
  <r>
    <x v="678"/>
    <n v="31"/>
    <n v="3"/>
    <n v="31"/>
    <n v="2"/>
    <n v="8"/>
    <n v="4"/>
    <x v="0"/>
    <n v="31089"/>
    <n v="1"/>
    <n v="0"/>
  </r>
  <r>
    <x v="679"/>
    <n v="14"/>
    <n v="7"/>
    <n v="9"/>
    <n v="6"/>
    <n v="16"/>
    <n v="12"/>
    <x v="0"/>
    <n v="41021"/>
    <n v="1"/>
    <n v="0"/>
  </r>
  <r>
    <x v="680"/>
    <n v="62"/>
    <n v="1"/>
    <n v="57"/>
    <n v="19"/>
    <n v="11"/>
    <n v="48"/>
    <x v="0"/>
    <n v="60033"/>
    <n v="0"/>
    <n v="1"/>
  </r>
  <r>
    <x v="681"/>
    <n v="12"/>
    <n v="11"/>
    <n v="10"/>
    <n v="3"/>
    <n v="12"/>
    <n v="9"/>
    <x v="0"/>
    <n v="16248"/>
    <n v="1"/>
    <n v="0"/>
  </r>
  <r>
    <x v="682"/>
    <n v="159"/>
    <n v="2"/>
    <n v="51"/>
    <n v="6"/>
    <n v="2"/>
    <n v="24"/>
    <x v="0"/>
    <n v="42731"/>
    <n v="1"/>
    <n v="0"/>
  </r>
  <r>
    <x v="683"/>
    <n v="122"/>
    <n v="21"/>
    <n v="43"/>
    <n v="25"/>
    <n v="10"/>
    <n v="15"/>
    <x v="1"/>
    <n v="49160"/>
    <n v="0"/>
    <n v="1"/>
  </r>
  <r>
    <x v="684"/>
    <n v="1181"/>
    <n v="26"/>
    <n v="120"/>
    <n v="17"/>
    <n v="13"/>
    <n v="39"/>
    <x v="1"/>
    <n v="49667"/>
    <n v="0"/>
    <n v="0"/>
  </r>
  <r>
    <x v="685"/>
    <n v="539"/>
    <n v="6"/>
    <n v="91"/>
    <n v="8"/>
    <n v="6"/>
    <n v="97"/>
    <x v="0"/>
    <n v="54108"/>
    <n v="1"/>
    <n v="1"/>
  </r>
  <r>
    <x v="686"/>
    <n v="631"/>
    <n v="43"/>
    <n v="239"/>
    <n v="128"/>
    <n v="76"/>
    <n v="21"/>
    <x v="0"/>
    <n v="77226"/>
    <n v="0"/>
    <n v="1"/>
  </r>
  <r>
    <x v="687"/>
    <n v="441"/>
    <n v="35"/>
    <n v="83"/>
    <n v="7"/>
    <n v="29"/>
    <n v="11"/>
    <x v="0"/>
    <n v="62710"/>
    <n v="0"/>
    <n v="1"/>
  </r>
  <r>
    <x v="688"/>
    <n v="575"/>
    <n v="80"/>
    <n v="428"/>
    <n v="208"/>
    <n v="93"/>
    <n v="80"/>
    <x v="0"/>
    <n v="63684"/>
    <n v="0"/>
    <n v="1"/>
  </r>
  <r>
    <x v="689"/>
    <n v="140"/>
    <n v="3"/>
    <n v="29"/>
    <n v="4"/>
    <n v="5"/>
    <n v="14"/>
    <x v="0"/>
    <n v="51412"/>
    <n v="0"/>
    <n v="1"/>
  </r>
  <r>
    <x v="690"/>
    <n v="345"/>
    <n v="25"/>
    <n v="501"/>
    <n v="63"/>
    <n v="138"/>
    <n v="80"/>
    <x v="1"/>
    <n v="87305"/>
    <n v="0"/>
    <n v="0"/>
  </r>
  <r>
    <x v="691"/>
    <n v="4"/>
    <n v="0"/>
    <n v="16"/>
    <n v="17"/>
    <n v="4"/>
    <n v="4"/>
    <x v="0"/>
    <n v="21675"/>
    <n v="1"/>
    <n v="0"/>
  </r>
  <r>
    <x v="692"/>
    <n v="4"/>
    <n v="8"/>
    <n v="11"/>
    <n v="19"/>
    <n v="12"/>
    <n v="26"/>
    <x v="1"/>
    <n v="15038"/>
    <n v="1"/>
    <n v="0"/>
  </r>
  <r>
    <x v="693"/>
    <n v="76"/>
    <n v="3"/>
    <n v="31"/>
    <n v="4"/>
    <n v="4"/>
    <n v="27"/>
    <x v="1"/>
    <n v="38557"/>
    <n v="1"/>
    <n v="0"/>
  </r>
  <r>
    <x v="694"/>
    <n v="492"/>
    <n v="0"/>
    <n v="37"/>
    <n v="7"/>
    <n v="0"/>
    <n v="42"/>
    <x v="1"/>
    <n v="52597"/>
    <n v="0"/>
    <n v="1"/>
  </r>
  <r>
    <x v="695"/>
    <n v="10"/>
    <n v="2"/>
    <n v="15"/>
    <n v="2"/>
    <n v="1"/>
    <n v="6"/>
    <x v="0"/>
    <n v="13624"/>
    <n v="1"/>
    <n v="0"/>
  </r>
  <r>
    <x v="696"/>
    <n v="750"/>
    <n v="8"/>
    <n v="125"/>
    <n v="11"/>
    <n v="8"/>
    <n v="26"/>
    <x v="0"/>
    <n v="63206"/>
    <n v="0"/>
    <n v="0"/>
  </r>
  <r>
    <x v="697"/>
    <n v="19"/>
    <n v="3"/>
    <n v="26"/>
    <n v="10"/>
    <n v="9"/>
    <n v="3"/>
    <x v="1"/>
    <n v="27213"/>
    <n v="1"/>
    <n v="0"/>
  </r>
  <r>
    <x v="698"/>
    <n v="94"/>
    <n v="1"/>
    <n v="33"/>
    <n v="13"/>
    <n v="12"/>
    <n v="12"/>
    <x v="1"/>
    <n v="39146"/>
    <n v="1"/>
    <n v="0"/>
  </r>
  <r>
    <x v="699"/>
    <n v="594"/>
    <n v="51"/>
    <n v="631"/>
    <n v="72"/>
    <n v="55"/>
    <n v="32"/>
    <x v="1"/>
    <n v="80617"/>
    <n v="0"/>
    <n v="0"/>
  </r>
  <r>
    <x v="700"/>
    <n v="1"/>
    <n v="9"/>
    <n v="8"/>
    <n v="11"/>
    <n v="3"/>
    <n v="22"/>
    <x v="0"/>
    <n v="25315"/>
    <n v="1"/>
    <n v="0"/>
  </r>
  <r>
    <x v="701"/>
    <n v="778"/>
    <n v="178"/>
    <n v="689"/>
    <n v="41"/>
    <n v="27"/>
    <n v="44"/>
    <x v="0"/>
    <n v="80952"/>
    <n v="0"/>
    <n v="0"/>
  </r>
  <r>
    <x v="702"/>
    <n v="371"/>
    <n v="17"/>
    <n v="238"/>
    <n v="23"/>
    <n v="24"/>
    <n v="106"/>
    <x v="1"/>
    <n v="55239"/>
    <n v="0"/>
    <n v="1"/>
  </r>
  <r>
    <x v="703"/>
    <n v="488"/>
    <n v="23"/>
    <n v="71"/>
    <n v="15"/>
    <n v="0"/>
    <n v="59"/>
    <x v="1"/>
    <n v="60208"/>
    <n v="1"/>
    <n v="1"/>
  </r>
  <r>
    <x v="704"/>
    <n v="1184"/>
    <n v="102"/>
    <n v="673"/>
    <n v="52"/>
    <n v="40"/>
    <n v="40"/>
    <x v="0"/>
    <n v="80141"/>
    <n v="0"/>
    <n v="0"/>
  </r>
  <r>
    <x v="705"/>
    <n v="27"/>
    <n v="1"/>
    <n v="12"/>
    <n v="2"/>
    <n v="0"/>
    <n v="10"/>
    <x v="1"/>
    <n v="30630"/>
    <n v="1"/>
    <n v="1"/>
  </r>
  <r>
    <x v="706"/>
    <n v="69"/>
    <n v="8"/>
    <n v="26"/>
    <n v="12"/>
    <n v="7"/>
    <n v="12"/>
    <x v="0"/>
    <n v="39898"/>
    <n v="0"/>
    <n v="1"/>
  </r>
  <r>
    <x v="707"/>
    <n v="817"/>
    <n v="185"/>
    <n v="687"/>
    <n v="145"/>
    <n v="55"/>
    <n v="241"/>
    <x v="0"/>
    <n v="78687"/>
    <n v="0"/>
    <n v="0"/>
  </r>
  <r>
    <x v="708"/>
    <n v="19"/>
    <n v="8"/>
    <n v="29"/>
    <n v="0"/>
    <n v="12"/>
    <n v="26"/>
    <x v="1"/>
    <n v="28647"/>
    <n v="1"/>
    <n v="0"/>
  </r>
  <r>
    <x v="709"/>
    <n v="19"/>
    <n v="0"/>
    <n v="35"/>
    <n v="6"/>
    <n v="4"/>
    <n v="17"/>
    <x v="1"/>
    <n v="39684"/>
    <n v="1"/>
    <n v="0"/>
  </r>
  <r>
    <x v="710"/>
    <n v="1035"/>
    <n v="134"/>
    <n v="670"/>
    <n v="25"/>
    <n v="38"/>
    <n v="0"/>
    <x v="0"/>
    <n v="80184"/>
    <n v="0"/>
    <n v="0"/>
  </r>
  <r>
    <x v="711"/>
    <n v="212"/>
    <n v="5"/>
    <n v="33"/>
    <n v="7"/>
    <n v="0"/>
    <n v="2"/>
    <x v="1"/>
    <n v="52332"/>
    <n v="0"/>
    <n v="0"/>
  </r>
  <r>
    <x v="712"/>
    <n v="403"/>
    <n v="24"/>
    <n v="29"/>
    <n v="6"/>
    <n v="24"/>
    <n v="218"/>
    <x v="0"/>
    <n v="61180"/>
    <n v="0"/>
    <n v="1"/>
  </r>
  <r>
    <x v="713"/>
    <n v="31"/>
    <n v="1"/>
    <n v="8"/>
    <n v="0"/>
    <n v="0"/>
    <n v="8"/>
    <x v="1"/>
    <n v="44503"/>
    <n v="1"/>
    <n v="1"/>
  </r>
  <r>
    <x v="714"/>
    <n v="1248"/>
    <n v="16"/>
    <n v="349"/>
    <n v="43"/>
    <n v="16"/>
    <n v="16"/>
    <x v="1"/>
    <n v="84865"/>
    <n v="0"/>
    <n v="0"/>
  </r>
  <r>
    <x v="715"/>
    <n v="4"/>
    <n v="1"/>
    <n v="9"/>
    <n v="3"/>
    <n v="0"/>
    <n v="0"/>
    <x v="0"/>
    <n v="34320"/>
    <n v="1"/>
    <n v="0"/>
  </r>
  <r>
    <x v="716"/>
    <n v="393"/>
    <n v="0"/>
    <n v="239"/>
    <n v="90"/>
    <n v="69"/>
    <n v="69"/>
    <x v="0"/>
    <n v="52750"/>
    <n v="0"/>
    <n v="1"/>
  </r>
  <r>
    <x v="717"/>
    <n v="5"/>
    <n v="36"/>
    <n v="7"/>
    <n v="0"/>
    <n v="10"/>
    <n v="45"/>
    <x v="0"/>
    <n v="23331"/>
    <n v="1"/>
    <n v="0"/>
  </r>
  <r>
    <x v="718"/>
    <n v="627"/>
    <n v="91"/>
    <n v="597"/>
    <n v="159"/>
    <n v="91"/>
    <n v="15"/>
    <x v="0"/>
    <n v="73926"/>
    <n v="0"/>
    <n v="0"/>
  </r>
  <r>
    <x v="719"/>
    <n v="743"/>
    <n v="19"/>
    <n v="181"/>
    <n v="12"/>
    <n v="0"/>
    <n v="200"/>
    <x v="0"/>
    <n v="65196"/>
    <n v="0"/>
    <n v="2"/>
  </r>
  <r>
    <x v="720"/>
    <n v="196"/>
    <n v="0"/>
    <n v="512"/>
    <n v="33"/>
    <n v="130"/>
    <n v="54"/>
    <x v="1"/>
    <n v="69867"/>
    <n v="0"/>
    <n v="0"/>
  </r>
  <r>
    <x v="721"/>
    <n v="100"/>
    <n v="71"/>
    <n v="243"/>
    <n v="108"/>
    <n v="94"/>
    <n v="219"/>
    <x v="1"/>
    <n v="33051"/>
    <n v="0"/>
    <n v="0"/>
  </r>
  <r>
    <x v="722"/>
    <n v="378"/>
    <n v="0"/>
    <n v="189"/>
    <n v="97"/>
    <n v="172"/>
    <n v="172"/>
    <x v="0"/>
    <n v="61314"/>
    <n v="0"/>
    <n v="1"/>
  </r>
  <r>
    <x v="723"/>
    <n v="105"/>
    <n v="0"/>
    <n v="10"/>
    <n v="0"/>
    <n v="1"/>
    <n v="0"/>
    <x v="0"/>
    <n v="52854"/>
    <n v="1"/>
    <n v="1"/>
  </r>
  <r>
    <x v="724"/>
    <n v="8"/>
    <n v="1"/>
    <n v="5"/>
    <n v="0"/>
    <n v="0"/>
    <n v="1"/>
    <x v="0"/>
    <n v="34633"/>
    <n v="2"/>
    <n v="1"/>
  </r>
  <r>
    <x v="725"/>
    <n v="24"/>
    <n v="2"/>
    <n v="23"/>
    <n v="0"/>
    <n v="8"/>
    <n v="24"/>
    <x v="0"/>
    <n v="41120"/>
    <n v="1"/>
    <n v="1"/>
  </r>
  <r>
    <x v="726"/>
    <n v="315"/>
    <n v="35"/>
    <n v="322"/>
    <n v="46"/>
    <n v="7"/>
    <n v="143"/>
    <x v="0"/>
    <n v="67225"/>
    <n v="0"/>
    <n v="1"/>
  </r>
  <r>
    <x v="727"/>
    <n v="473"/>
    <n v="21"/>
    <n v="176"/>
    <n v="19"/>
    <n v="21"/>
    <n v="56"/>
    <x v="0"/>
    <n v="59925"/>
    <n v="0"/>
    <n v="1"/>
  </r>
  <r>
    <x v="728"/>
    <n v="533"/>
    <n v="10"/>
    <n v="217"/>
    <n v="198"/>
    <n v="174"/>
    <n v="195"/>
    <x v="0"/>
    <n v="71107"/>
    <n v="0"/>
    <n v="1"/>
  </r>
  <r>
    <x v="729"/>
    <n v="1"/>
    <n v="3"/>
    <n v="6"/>
    <n v="10"/>
    <n v="0"/>
    <n v="9"/>
    <x v="0"/>
    <n v="24594"/>
    <n v="1"/>
    <n v="0"/>
  </r>
  <r>
    <x v="730"/>
    <n v="295"/>
    <n v="21"/>
    <n v="78"/>
    <n v="39"/>
    <n v="13"/>
    <n v="13"/>
    <x v="0"/>
    <n v="59354"/>
    <n v="0"/>
    <n v="2"/>
  </r>
  <r>
    <x v="731"/>
    <n v="231"/>
    <n v="161"/>
    <n v="215"/>
    <n v="171"/>
    <n v="30"/>
    <n v="53"/>
    <x v="1"/>
    <n v="69627"/>
    <n v="0"/>
    <n v="1"/>
  </r>
  <r>
    <x v="732"/>
    <n v="6"/>
    <n v="12"/>
    <n v="3"/>
    <n v="21"/>
    <n v="6"/>
    <n v="40"/>
    <x v="1"/>
    <n v="15056"/>
    <n v="1"/>
    <n v="1"/>
  </r>
  <r>
    <x v="733"/>
    <n v="192"/>
    <n v="5"/>
    <n v="53"/>
    <n v="0"/>
    <n v="5"/>
    <n v="15"/>
    <x v="0"/>
    <n v="42557"/>
    <n v="0"/>
    <n v="1"/>
  </r>
  <r>
    <x v="734"/>
    <n v="3"/>
    <n v="3"/>
    <n v="3"/>
    <n v="15"/>
    <n v="4"/>
    <n v="15"/>
    <x v="0"/>
    <n v="14918"/>
    <n v="0"/>
    <n v="1"/>
  </r>
  <r>
    <x v="735"/>
    <n v="30"/>
    <n v="3"/>
    <n v="47"/>
    <n v="19"/>
    <n v="21"/>
    <n v="42"/>
    <x v="0"/>
    <n v="22419"/>
    <n v="0"/>
    <n v="0"/>
  </r>
  <r>
    <x v="736"/>
    <n v="571"/>
    <n v="50"/>
    <n v="142"/>
    <n v="33"/>
    <n v="50"/>
    <n v="159"/>
    <x v="0"/>
    <n v="63381"/>
    <n v="0"/>
    <n v="1"/>
  </r>
  <r>
    <x v="737"/>
    <n v="410"/>
    <n v="112"/>
    <n v="420"/>
    <n v="0"/>
    <n v="82"/>
    <n v="71"/>
    <x v="0"/>
    <n v="73059"/>
    <n v="0"/>
    <n v="1"/>
  </r>
  <r>
    <x v="738"/>
    <n v="2"/>
    <n v="12"/>
    <n v="10"/>
    <n v="6"/>
    <n v="13"/>
    <n v="30"/>
    <x v="0"/>
    <n v="20981"/>
    <n v="0"/>
    <n v="0"/>
  </r>
  <r>
    <x v="739"/>
    <n v="359"/>
    <n v="35"/>
    <n v="314"/>
    <n v="93"/>
    <n v="116"/>
    <n v="89"/>
    <x v="0"/>
    <n v="63855"/>
    <n v="0"/>
    <n v="0"/>
  </r>
  <r>
    <x v="740"/>
    <n v="3"/>
    <n v="4"/>
    <n v="7"/>
    <n v="15"/>
    <n v="8"/>
    <n v="11"/>
    <x v="1"/>
    <n v="31859"/>
    <n v="1"/>
    <n v="0"/>
  </r>
  <r>
    <x v="741"/>
    <n v="16"/>
    <n v="2"/>
    <n v="18"/>
    <n v="3"/>
    <n v="0"/>
    <n v="24"/>
    <x v="0"/>
    <n v="33569"/>
    <n v="1"/>
    <n v="0"/>
  </r>
  <r>
    <x v="742"/>
    <n v="3"/>
    <n v="17"/>
    <n v="26"/>
    <n v="20"/>
    <n v="1"/>
    <n v="39"/>
    <x v="1"/>
    <n v="27242"/>
    <n v="1"/>
    <n v="0"/>
  </r>
  <r>
    <x v="743"/>
    <n v="22"/>
    <n v="1"/>
    <n v="11"/>
    <n v="0"/>
    <n v="1"/>
    <n v="2"/>
    <x v="0"/>
    <n v="27255"/>
    <n v="1"/>
    <n v="0"/>
  </r>
  <r>
    <x v="744"/>
    <n v="642"/>
    <n v="14"/>
    <n v="49"/>
    <n v="0"/>
    <n v="7"/>
    <n v="57"/>
    <x v="0"/>
    <n v="65685"/>
    <n v="0"/>
    <n v="1"/>
  </r>
  <r>
    <x v="745"/>
    <n v="897"/>
    <n v="161"/>
    <n v="430"/>
    <n v="186"/>
    <n v="161"/>
    <n v="27"/>
    <x v="1"/>
    <n v="83829"/>
    <n v="0"/>
    <n v="0"/>
  </r>
  <r>
    <x v="746"/>
    <n v="639"/>
    <n v="8"/>
    <n v="166"/>
    <n v="11"/>
    <n v="8"/>
    <n v="58"/>
    <x v="0"/>
    <n v="49269"/>
    <n v="1"/>
    <n v="0"/>
  </r>
  <r>
    <x v="747"/>
    <n v="960"/>
    <n v="0"/>
    <n v="883"/>
    <n v="50"/>
    <n v="38"/>
    <n v="0"/>
    <x v="1"/>
    <n v="72309"/>
    <n v="0"/>
    <n v="0"/>
  </r>
  <r>
    <x v="748"/>
    <n v="24"/>
    <n v="1"/>
    <n v="108"/>
    <n v="29"/>
    <n v="29"/>
    <n v="14"/>
    <x v="1"/>
    <n v="28457"/>
    <n v="0"/>
    <n v="0"/>
  </r>
  <r>
    <x v="749"/>
    <n v="801"/>
    <n v="0"/>
    <n v="80"/>
    <n v="0"/>
    <n v="0"/>
    <n v="35"/>
    <x v="1"/>
    <n v="57912"/>
    <n v="0"/>
    <n v="1"/>
  </r>
  <r>
    <x v="750"/>
    <n v="186"/>
    <n v="36"/>
    <n v="234"/>
    <n v="86"/>
    <n v="72"/>
    <n v="48"/>
    <x v="0"/>
    <n v="44010"/>
    <n v="1"/>
    <n v="0"/>
  </r>
  <r>
    <x v="751"/>
    <n v="618"/>
    <n v="44"/>
    <n v="215"/>
    <n v="0"/>
    <n v="17"/>
    <n v="36"/>
    <x v="1"/>
    <n v="68117"/>
    <n v="0"/>
    <n v="1"/>
  </r>
  <r>
    <x v="752"/>
    <n v="2"/>
    <n v="1"/>
    <n v="1"/>
    <n v="1"/>
    <n v="0"/>
    <n v="1"/>
    <x v="1"/>
    <n v="4861"/>
    <n v="0"/>
    <n v="0"/>
  </r>
  <r>
    <x v="753"/>
    <n v="331"/>
    <n v="197"/>
    <n v="170"/>
    <n v="58"/>
    <n v="152"/>
    <n v="35"/>
    <x v="0"/>
    <n v="78931"/>
    <n v="0"/>
    <n v="0"/>
  </r>
  <r>
    <x v="754"/>
    <n v="918"/>
    <n v="10"/>
    <n v="129"/>
    <n v="13"/>
    <n v="0"/>
    <n v="129"/>
    <x v="1"/>
    <n v="65706"/>
    <n v="0"/>
    <n v="0"/>
  </r>
  <r>
    <x v="755"/>
    <n v="35"/>
    <n v="4"/>
    <n v="17"/>
    <n v="7"/>
    <n v="6"/>
    <n v="64"/>
    <x v="0"/>
    <n v="43018"/>
    <n v="0"/>
    <n v="1"/>
  </r>
  <r>
    <x v="756"/>
    <n v="266"/>
    <n v="6"/>
    <n v="51"/>
    <n v="8"/>
    <n v="6"/>
    <n v="64"/>
    <x v="0"/>
    <n v="50200"/>
    <n v="1"/>
    <n v="1"/>
  </r>
  <r>
    <x v="757"/>
    <n v="982"/>
    <n v="17"/>
    <n v="672"/>
    <n v="23"/>
    <n v="34"/>
    <n v="51"/>
    <x v="1"/>
    <n v="90687"/>
    <n v="0"/>
    <n v="0"/>
  </r>
  <r>
    <x v="758"/>
    <n v="406"/>
    <n v="0"/>
    <n v="30"/>
    <n v="0"/>
    <n v="0"/>
    <n v="8"/>
    <x v="0"/>
    <n v="64014"/>
    <n v="2"/>
    <n v="1"/>
  </r>
  <r>
    <x v="759"/>
    <n v="463"/>
    <n v="96"/>
    <n v="333"/>
    <n v="168"/>
    <n v="53"/>
    <n v="10"/>
    <x v="0"/>
    <n v="77037"/>
    <n v="0"/>
    <n v="1"/>
  </r>
  <r>
    <x v="760"/>
    <n v="799"/>
    <n v="12"/>
    <n v="375"/>
    <n v="16"/>
    <n v="12"/>
    <n v="12"/>
    <x v="0"/>
    <n v="62220"/>
    <n v="0"/>
    <n v="1"/>
  </r>
  <r>
    <x v="761"/>
    <n v="16"/>
    <n v="17"/>
    <n v="19"/>
    <n v="20"/>
    <n v="21"/>
    <n v="22"/>
    <x v="0"/>
    <n v="22979"/>
    <n v="1"/>
    <n v="0"/>
  </r>
  <r>
    <x v="762"/>
    <n v="3"/>
    <n v="1"/>
    <n v="3"/>
    <n v="8"/>
    <n v="0"/>
    <n v="5"/>
    <x v="1"/>
    <n v="31859"/>
    <n v="1"/>
    <n v="0"/>
  </r>
  <r>
    <x v="763"/>
    <n v="91"/>
    <n v="3"/>
    <n v="52"/>
    <n v="2"/>
    <n v="1"/>
    <n v="31"/>
    <x v="1"/>
    <n v="43300"/>
    <n v="0"/>
    <n v="1"/>
  </r>
  <r>
    <x v="764"/>
    <n v="384"/>
    <n v="0"/>
    <n v="102"/>
    <n v="21"/>
    <n v="32"/>
    <n v="5"/>
    <x v="0"/>
    <n v="65324"/>
    <n v="0"/>
    <n v="1"/>
  </r>
  <r>
    <x v="765"/>
    <n v="42"/>
    <n v="16"/>
    <n v="29"/>
    <n v="12"/>
    <n v="20"/>
    <n v="8"/>
    <x v="0"/>
    <n v="49605"/>
    <n v="0"/>
    <n v="0"/>
  </r>
  <r>
    <x v="766"/>
    <n v="2"/>
    <n v="10"/>
    <n v="11"/>
    <n v="12"/>
    <n v="9"/>
    <n v="20"/>
    <x v="1"/>
    <n v="18746"/>
    <n v="1"/>
    <n v="0"/>
  </r>
  <r>
    <x v="767"/>
    <n v="618"/>
    <n v="15"/>
    <n v="106"/>
    <n v="20"/>
    <n v="7"/>
    <n v="45"/>
    <x v="1"/>
    <n v="61284"/>
    <n v="0"/>
    <n v="0"/>
  </r>
  <r>
    <x v="768"/>
    <n v="308"/>
    <n v="0"/>
    <n v="73"/>
    <n v="0"/>
    <n v="0"/>
    <n v="23"/>
    <x v="0"/>
    <n v="49544"/>
    <n v="1"/>
    <n v="0"/>
  </r>
  <r>
    <x v="769"/>
    <n v="1"/>
    <n v="5"/>
    <n v="8"/>
    <n v="4"/>
    <n v="8"/>
    <n v="20"/>
    <x v="1"/>
    <n v="21282"/>
    <n v="1"/>
    <n v="0"/>
  </r>
  <r>
    <x v="770"/>
    <n v="169"/>
    <n v="24"/>
    <n v="553"/>
    <n v="188"/>
    <n v="0"/>
    <n v="144"/>
    <x v="0"/>
    <n v="94871"/>
    <n v="0"/>
    <n v="2"/>
  </r>
  <r>
    <x v="771"/>
    <n v="769"/>
    <n v="80"/>
    <n v="252"/>
    <n v="15"/>
    <n v="34"/>
    <n v="65"/>
    <x v="0"/>
    <n v="63564"/>
    <n v="0"/>
    <n v="0"/>
  </r>
  <r>
    <x v="772"/>
    <n v="224"/>
    <n v="155"/>
    <n v="155"/>
    <n v="192"/>
    <n v="93"/>
    <n v="54"/>
    <x v="0"/>
    <n v="60934"/>
    <n v="0"/>
    <n v="1"/>
  </r>
  <r>
    <x v="773"/>
    <n v="6"/>
    <n v="1"/>
    <n v="7"/>
    <n v="23"/>
    <n v="4"/>
    <n v="19"/>
    <x v="0"/>
    <n v="18690"/>
    <n v="0"/>
    <n v="0"/>
  </r>
  <r>
    <x v="774"/>
    <n v="108"/>
    <n v="1"/>
    <n v="28"/>
    <n v="13"/>
    <n v="1"/>
    <n v="4"/>
    <x v="0"/>
    <n v="31497"/>
    <n v="0"/>
    <n v="1"/>
  </r>
  <r>
    <x v="775"/>
    <n v="216"/>
    <n v="9"/>
    <n v="57"/>
    <n v="20"/>
    <n v="9"/>
    <n v="125"/>
    <x v="0"/>
    <n v="53253"/>
    <n v="1"/>
    <n v="1"/>
  </r>
  <r>
    <x v="776"/>
    <n v="201"/>
    <n v="2"/>
    <n v="43"/>
    <n v="3"/>
    <n v="5"/>
    <n v="35"/>
    <x v="0"/>
    <n v="60544"/>
    <n v="1"/>
    <n v="1"/>
  </r>
  <r>
    <x v="777"/>
    <n v="167"/>
    <n v="37"/>
    <n v="64"/>
    <n v="49"/>
    <n v="34"/>
    <n v="116"/>
    <x v="0"/>
    <n v="37150"/>
    <n v="1"/>
    <n v="0"/>
  </r>
  <r>
    <x v="778"/>
    <n v="20"/>
    <n v="3"/>
    <n v="16"/>
    <n v="0"/>
    <n v="4"/>
    <n v="1"/>
    <x v="0"/>
    <n v="24639"/>
    <n v="1"/>
    <n v="1"/>
  </r>
  <r>
    <x v="779"/>
    <n v="10"/>
    <n v="2"/>
    <n v="16"/>
    <n v="11"/>
    <n v="2"/>
    <n v="21"/>
    <x v="0"/>
    <n v="30675"/>
    <n v="1"/>
    <n v="0"/>
  </r>
  <r>
    <x v="780"/>
    <n v="269"/>
    <n v="15"/>
    <n v="69"/>
    <n v="15"/>
    <n v="19"/>
    <n v="38"/>
    <x v="0"/>
    <n v="46681"/>
    <n v="0"/>
    <n v="2"/>
  </r>
  <r>
    <x v="781"/>
    <n v="650"/>
    <n v="37"/>
    <n v="780"/>
    <n v="27"/>
    <n v="167"/>
    <n v="32"/>
    <x v="0"/>
    <n v="79143"/>
    <n v="0"/>
    <n v="0"/>
  </r>
  <r>
    <x v="782"/>
    <n v="88"/>
    <n v="39"/>
    <n v="78"/>
    <n v="58"/>
    <n v="13"/>
    <n v="93"/>
    <x v="1"/>
    <n v="49514"/>
    <n v="1"/>
    <n v="0"/>
  </r>
  <r>
    <x v="783"/>
    <n v="504"/>
    <n v="23"/>
    <n v="117"/>
    <n v="179"/>
    <n v="28"/>
    <n v="44"/>
    <x v="0"/>
    <n v="79205"/>
    <n v="0"/>
    <n v="0"/>
  </r>
  <r>
    <x v="784"/>
    <n v="1004"/>
    <n v="59"/>
    <n v="265"/>
    <n v="115"/>
    <n v="59"/>
    <n v="27"/>
    <x v="0"/>
    <n v="77766"/>
    <n v="0"/>
    <n v="1"/>
  </r>
  <r>
    <x v="785"/>
    <n v="517"/>
    <n v="12"/>
    <n v="54"/>
    <n v="16"/>
    <n v="6"/>
    <n v="120"/>
    <x v="0"/>
    <n v="56067"/>
    <n v="0"/>
    <n v="1"/>
  </r>
  <r>
    <x v="786"/>
    <n v="10"/>
    <n v="17"/>
    <n v="18"/>
    <n v="8"/>
    <n v="26"/>
    <n v="40"/>
    <x v="1"/>
    <n v="7500"/>
    <n v="1"/>
    <n v="0"/>
  </r>
  <r>
    <x v="787"/>
    <n v="398"/>
    <n v="40"/>
    <n v="367"/>
    <n v="119"/>
    <n v="122"/>
    <n v="30"/>
    <x v="0"/>
    <n v="70666"/>
    <n v="0"/>
    <n v="0"/>
  </r>
  <r>
    <x v="788"/>
    <n v="411"/>
    <n v="106"/>
    <n v="147"/>
    <n v="54"/>
    <n v="115"/>
    <n v="66"/>
    <x v="1"/>
    <n v="76624"/>
    <n v="0"/>
    <n v="1"/>
  </r>
  <r>
    <x v="789"/>
    <n v="426"/>
    <n v="49"/>
    <n v="127"/>
    <n v="111"/>
    <n v="21"/>
    <n v="42"/>
    <x v="0"/>
    <n v="71613"/>
    <n v="0"/>
    <n v="0"/>
  </r>
  <r>
    <x v="790"/>
    <n v="164"/>
    <n v="24"/>
    <n v="103"/>
    <n v="12"/>
    <n v="3"/>
    <n v="42"/>
    <x v="0"/>
    <n v="38988"/>
    <n v="1"/>
    <n v="2"/>
  </r>
  <r>
    <x v="791"/>
    <n v="586"/>
    <n v="66"/>
    <n v="653"/>
    <n v="17"/>
    <n v="0"/>
    <n v="26"/>
    <x v="0"/>
    <n v="76140"/>
    <n v="0"/>
    <n v="0"/>
  </r>
  <r>
    <x v="792"/>
    <n v="231"/>
    <n v="7"/>
    <n v="137"/>
    <n v="4"/>
    <n v="15"/>
    <n v="39"/>
    <x v="1"/>
    <n v="37070"/>
    <n v="1"/>
    <n v="1"/>
  </r>
  <r>
    <x v="793"/>
    <n v="97"/>
    <n v="1"/>
    <n v="19"/>
    <n v="2"/>
    <n v="0"/>
    <n v="11"/>
    <x v="0"/>
    <n v="55249"/>
    <n v="0"/>
    <n v="1"/>
  </r>
  <r>
    <x v="794"/>
    <n v="8"/>
    <n v="9"/>
    <n v="9"/>
    <n v="2"/>
    <n v="5"/>
    <n v="22"/>
    <x v="0"/>
    <n v="24221"/>
    <n v="0"/>
    <n v="0"/>
  </r>
  <r>
    <x v="795"/>
    <n v="189"/>
    <n v="2"/>
    <n v="29"/>
    <n v="3"/>
    <n v="2"/>
    <n v="40"/>
    <x v="0"/>
    <n v="52157"/>
    <n v="0"/>
    <n v="1"/>
  </r>
  <r>
    <x v="796"/>
    <n v="204"/>
    <n v="5"/>
    <n v="39"/>
    <n v="17"/>
    <n v="0"/>
    <n v="89"/>
    <x v="1"/>
    <n v="36864"/>
    <n v="0"/>
    <n v="1"/>
  </r>
  <r>
    <x v="797"/>
    <n v="9"/>
    <n v="1"/>
    <n v="3"/>
    <n v="0"/>
    <n v="4"/>
    <n v="8"/>
    <x v="0"/>
    <n v="29672"/>
    <n v="1"/>
    <n v="1"/>
  </r>
  <r>
    <x v="798"/>
    <n v="167"/>
    <n v="2"/>
    <n v="62"/>
    <n v="24"/>
    <n v="13"/>
    <n v="7"/>
    <x v="0"/>
    <n v="44159"/>
    <n v="1"/>
    <n v="0"/>
  </r>
  <r>
    <x v="799"/>
    <n v="229"/>
    <n v="7"/>
    <n v="137"/>
    <n v="4"/>
    <n v="0"/>
    <n v="91"/>
    <x v="1"/>
    <n v="57967"/>
    <n v="0"/>
    <n v="1"/>
  </r>
  <r>
    <x v="800"/>
    <n v="1001"/>
    <n v="44"/>
    <n v="107"/>
    <n v="58"/>
    <n v="44"/>
    <n v="44"/>
    <x v="0"/>
    <n v="87171"/>
    <n v="0"/>
    <n v="0"/>
  </r>
  <r>
    <x v="801"/>
    <n v="822"/>
    <n v="114"/>
    <n v="108"/>
    <n v="179"/>
    <n v="137"/>
    <n v="114"/>
    <x v="1"/>
    <n v="91065"/>
    <n v="0"/>
    <n v="0"/>
  </r>
  <r>
    <x v="802"/>
    <n v="73"/>
    <n v="0"/>
    <n v="13"/>
    <n v="0"/>
    <n v="1"/>
    <n v="0"/>
    <x v="0"/>
    <n v="59892"/>
    <n v="0"/>
    <n v="1"/>
  </r>
  <r>
    <x v="803"/>
    <n v="28"/>
    <n v="0"/>
    <n v="13"/>
    <n v="4"/>
    <n v="2"/>
    <n v="8"/>
    <x v="0"/>
    <n v="32889"/>
    <n v="1"/>
    <n v="1"/>
  </r>
  <r>
    <x v="804"/>
    <n v="4"/>
    <n v="9"/>
    <n v="16"/>
    <n v="17"/>
    <n v="0"/>
    <n v="12"/>
    <x v="0"/>
    <n v="17345"/>
    <n v="1"/>
    <n v="0"/>
  </r>
  <r>
    <x v="805"/>
    <n v="67"/>
    <n v="11"/>
    <n v="26"/>
    <n v="4"/>
    <n v="3"/>
    <n v="262"/>
    <x v="1"/>
    <n v="6560"/>
    <n v="0"/>
    <n v="0"/>
  </r>
  <r>
    <x v="806"/>
    <n v="1000"/>
    <n v="19"/>
    <n v="711"/>
    <n v="125"/>
    <n v="115"/>
    <n v="38"/>
    <x v="1"/>
    <n v="98777"/>
    <n v="0"/>
    <n v="0"/>
  </r>
  <r>
    <x v="807"/>
    <n v="213"/>
    <n v="5"/>
    <n v="28"/>
    <n v="7"/>
    <n v="7"/>
    <n v="41"/>
    <x v="0"/>
    <n v="44375"/>
    <n v="0"/>
    <n v="1"/>
  </r>
  <r>
    <x v="808"/>
    <n v="6"/>
    <n v="0"/>
    <n v="4"/>
    <n v="0"/>
    <n v="0"/>
    <n v="0"/>
    <x v="1"/>
    <n v="19485"/>
    <n v="2"/>
    <n v="0"/>
  </r>
  <r>
    <x v="809"/>
    <n v="129"/>
    <n v="0"/>
    <n v="21"/>
    <n v="0"/>
    <n v="1"/>
    <n v="7"/>
    <x v="0"/>
    <n v="53154"/>
    <n v="0"/>
    <n v="1"/>
  </r>
  <r>
    <x v="810"/>
    <n v="46"/>
    <n v="35"/>
    <n v="69"/>
    <n v="84"/>
    <n v="41"/>
    <n v="66"/>
    <x v="0"/>
    <n v="38683"/>
    <n v="1"/>
    <n v="0"/>
  </r>
  <r>
    <x v="811"/>
    <n v="910"/>
    <n v="111"/>
    <n v="724"/>
    <n v="49"/>
    <n v="74"/>
    <n v="55"/>
    <x v="1"/>
    <n v="87188"/>
    <n v="0"/>
    <n v="0"/>
  </r>
  <r>
    <x v="812"/>
    <n v="15"/>
    <n v="4"/>
    <n v="10"/>
    <n v="3"/>
    <n v="4"/>
    <n v="18"/>
    <x v="1"/>
    <n v="39548"/>
    <n v="1"/>
    <n v="1"/>
  </r>
  <r>
    <x v="813"/>
    <n v="580"/>
    <n v="6"/>
    <n v="58"/>
    <n v="8"/>
    <n v="0"/>
    <n v="27"/>
    <x v="1"/>
    <n v="57642"/>
    <n v="0"/>
    <n v="1"/>
  </r>
  <r>
    <x v="814"/>
    <n v="1"/>
    <n v="3"/>
    <n v="8"/>
    <n v="2"/>
    <n v="5"/>
    <n v="5"/>
    <x v="0"/>
    <n v="30467"/>
    <n v="1"/>
    <n v="0"/>
  </r>
  <r>
    <x v="815"/>
    <n v="13"/>
    <n v="2"/>
    <n v="18"/>
    <n v="6"/>
    <n v="1"/>
    <n v="0"/>
    <x v="0"/>
    <n v="23228"/>
    <n v="1"/>
    <n v="0"/>
  </r>
  <r>
    <x v="816"/>
    <n v="5"/>
    <n v="0"/>
    <n v="4"/>
    <n v="0"/>
    <n v="0"/>
    <n v="1"/>
    <x v="0"/>
    <n v="20427"/>
    <n v="1"/>
    <n v="0"/>
  </r>
  <r>
    <x v="817"/>
    <n v="1001"/>
    <n v="17"/>
    <n v="572"/>
    <n v="93"/>
    <n v="125"/>
    <n v="17"/>
    <x v="0"/>
    <n v="70971"/>
    <n v="0"/>
    <n v="1"/>
  </r>
  <r>
    <x v="818"/>
    <n v="107"/>
    <n v="2"/>
    <n v="12"/>
    <n v="2"/>
    <n v="2"/>
    <n v="12"/>
    <x v="0"/>
    <n v="6835"/>
    <n v="0"/>
    <n v="1"/>
  </r>
  <r>
    <x v="819"/>
    <n v="507"/>
    <n v="93"/>
    <n v="520"/>
    <n v="242"/>
    <n v="40"/>
    <n v="26"/>
    <x v="0"/>
    <n v="80589"/>
    <n v="0"/>
    <n v="0"/>
  </r>
  <r>
    <x v="820"/>
    <n v="325"/>
    <n v="83"/>
    <n v="300"/>
    <n v="86"/>
    <n v="58"/>
    <n v="91"/>
    <x v="1"/>
    <n v="60152"/>
    <n v="0"/>
    <n v="1"/>
  </r>
  <r>
    <x v="821"/>
    <n v="881"/>
    <n v="38"/>
    <n v="319"/>
    <n v="16"/>
    <n v="25"/>
    <n v="12"/>
    <x v="0"/>
    <n v="77863"/>
    <n v="0"/>
    <n v="0"/>
  </r>
  <r>
    <x v="822"/>
    <n v="235"/>
    <n v="0"/>
    <n v="235"/>
    <n v="19"/>
    <n v="4"/>
    <n v="191"/>
    <x v="0"/>
    <n v="42387"/>
    <n v="1"/>
    <n v="0"/>
  </r>
  <r>
    <x v="823"/>
    <n v="5"/>
    <n v="1"/>
    <n v="7"/>
    <n v="17"/>
    <n v="14"/>
    <n v="11"/>
    <x v="0"/>
    <n v="21955"/>
    <n v="1"/>
    <n v="0"/>
  </r>
  <r>
    <x v="824"/>
    <n v="6"/>
    <n v="0"/>
    <n v="6"/>
    <n v="2"/>
    <n v="1"/>
    <n v="1"/>
    <x v="0"/>
    <n v="18988"/>
    <n v="1"/>
    <n v="0"/>
  </r>
  <r>
    <x v="825"/>
    <n v="913"/>
    <n v="26"/>
    <n v="376"/>
    <n v="17"/>
    <n v="26"/>
    <n v="13"/>
    <x v="0"/>
    <n v="85738"/>
    <n v="0"/>
    <n v="0"/>
  </r>
  <r>
    <x v="826"/>
    <n v="41"/>
    <n v="0"/>
    <n v="10"/>
    <n v="0"/>
    <n v="0"/>
    <n v="3"/>
    <x v="0"/>
    <n v="32144"/>
    <n v="1"/>
    <n v="1"/>
  </r>
  <r>
    <x v="827"/>
    <n v="23"/>
    <n v="0"/>
    <n v="9"/>
    <n v="0"/>
    <n v="0"/>
    <n v="12"/>
    <x v="1"/>
    <n v="39062"/>
    <n v="1"/>
    <n v="0"/>
  </r>
  <r>
    <x v="828"/>
    <n v="702"/>
    <n v="17"/>
    <n v="151"/>
    <n v="0"/>
    <n v="8"/>
    <n v="35"/>
    <x v="0"/>
    <n v="67353"/>
    <n v="0"/>
    <n v="1"/>
  </r>
  <r>
    <x v="829"/>
    <n v="18"/>
    <n v="2"/>
    <n v="10"/>
    <n v="0"/>
    <n v="0"/>
    <n v="25"/>
    <x v="1"/>
    <n v="37244"/>
    <n v="1"/>
    <n v="1"/>
  </r>
  <r>
    <x v="830"/>
    <n v="1224"/>
    <n v="28"/>
    <n v="140"/>
    <n v="0"/>
    <n v="14"/>
    <n v="168"/>
    <x v="0"/>
    <n v="71819"/>
    <n v="0"/>
    <n v="1"/>
  </r>
  <r>
    <x v="831"/>
    <n v="42"/>
    <n v="7"/>
    <n v="43"/>
    <n v="20"/>
    <n v="12"/>
    <n v="10"/>
    <x v="0"/>
    <n v="47850"/>
    <n v="1"/>
    <n v="0"/>
  </r>
  <r>
    <x v="832"/>
    <n v="240"/>
    <n v="67"/>
    <n v="500"/>
    <n v="199"/>
    <n v="0"/>
    <n v="163"/>
    <x v="1"/>
    <n v="65487"/>
    <n v="0"/>
    <n v="0"/>
  </r>
  <r>
    <x v="833"/>
    <n v="18"/>
    <n v="1"/>
    <n v="32"/>
    <n v="6"/>
    <n v="3"/>
    <n v="28"/>
    <x v="0"/>
    <n v="43482"/>
    <n v="2"/>
    <n v="1"/>
  </r>
  <r>
    <x v="834"/>
    <n v="10"/>
    <n v="24"/>
    <n v="15"/>
    <n v="13"/>
    <n v="1"/>
    <n v="30"/>
    <x v="1"/>
    <n v="32218"/>
    <n v="0"/>
    <n v="0"/>
  </r>
  <r>
    <x v="835"/>
    <n v="254"/>
    <n v="10"/>
    <n v="44"/>
    <n v="30"/>
    <n v="10"/>
    <n v="227"/>
    <x v="0"/>
    <n v="52914"/>
    <n v="0"/>
    <n v="1"/>
  </r>
  <r>
    <x v="836"/>
    <n v="163"/>
    <n v="2"/>
    <n v="40"/>
    <n v="8"/>
    <n v="11"/>
    <n v="11"/>
    <x v="0"/>
    <n v="46463"/>
    <n v="1"/>
    <n v="1"/>
  </r>
  <r>
    <x v="837"/>
    <n v="23"/>
    <n v="0"/>
    <n v="15"/>
    <n v="0"/>
    <n v="2"/>
    <n v="7"/>
    <x v="1"/>
    <n v="36038"/>
    <n v="1"/>
    <n v="0"/>
  </r>
  <r>
    <x v="838"/>
    <n v="459"/>
    <n v="15"/>
    <n v="171"/>
    <n v="142"/>
    <n v="23"/>
    <n v="31"/>
    <x v="0"/>
    <n v="75315"/>
    <n v="0"/>
    <n v="1"/>
  </r>
  <r>
    <x v="839"/>
    <n v="1142"/>
    <n v="29"/>
    <n v="249"/>
    <n v="38"/>
    <n v="29"/>
    <n v="14"/>
    <x v="0"/>
    <n v="81051"/>
    <n v="0"/>
    <n v="0"/>
  </r>
  <r>
    <x v="840"/>
    <n v="458"/>
    <n v="81"/>
    <n v="356"/>
    <n v="106"/>
    <n v="50"/>
    <n v="40"/>
    <x v="0"/>
    <n v="68695"/>
    <n v="0"/>
    <n v="0"/>
  </r>
  <r>
    <x v="841"/>
    <n v="622"/>
    <n v="7"/>
    <n v="115"/>
    <n v="30"/>
    <n v="0"/>
    <n v="15"/>
    <x v="0"/>
    <n v="63915"/>
    <n v="0"/>
    <n v="2"/>
  </r>
  <r>
    <x v="842"/>
    <n v="846"/>
    <n v="84"/>
    <n v="352"/>
    <n v="91"/>
    <n v="56"/>
    <n v="42"/>
    <x v="0"/>
    <n v="67419"/>
    <n v="0"/>
    <n v="1"/>
  </r>
  <r>
    <x v="843"/>
    <n v="10"/>
    <n v="4"/>
    <n v="4"/>
    <n v="3"/>
    <n v="3"/>
    <n v="14"/>
    <x v="0"/>
    <n v="16860"/>
    <n v="1"/>
    <n v="1"/>
  </r>
  <r>
    <x v="844"/>
    <n v="671"/>
    <n v="47"/>
    <n v="655"/>
    <n v="145"/>
    <n v="111"/>
    <n v="15"/>
    <x v="1"/>
    <n v="89616"/>
    <n v="0"/>
    <n v="0"/>
  </r>
  <r>
    <x v="845"/>
    <n v="367"/>
    <n v="4"/>
    <n v="51"/>
    <n v="6"/>
    <n v="4"/>
    <n v="95"/>
    <x v="1"/>
    <n v="55801"/>
    <n v="1"/>
    <n v="1"/>
  </r>
  <r>
    <x v="846"/>
    <n v="536"/>
    <n v="27"/>
    <n v="590"/>
    <n v="38"/>
    <n v="107"/>
    <n v="67"/>
    <x v="1"/>
    <n v="83257"/>
    <n v="0"/>
    <n v="0"/>
  </r>
  <r>
    <x v="847"/>
    <n v="2"/>
    <n v="3"/>
    <n v="20"/>
    <n v="6"/>
    <n v="11"/>
    <n v="9"/>
    <x v="1"/>
    <n v="31615"/>
    <n v="1"/>
    <n v="0"/>
  </r>
  <r>
    <x v="848"/>
    <n v="112"/>
    <n v="6"/>
    <n v="92"/>
    <n v="3"/>
    <n v="9"/>
    <n v="38"/>
    <x v="0"/>
    <n v="65316"/>
    <n v="1"/>
    <n v="1"/>
  </r>
  <r>
    <x v="849"/>
    <n v="509"/>
    <n v="0"/>
    <n v="27"/>
    <n v="0"/>
    <n v="0"/>
    <n v="10"/>
    <x v="0"/>
    <n v="64100"/>
    <n v="0"/>
    <n v="1"/>
  </r>
  <r>
    <x v="850"/>
    <n v="31"/>
    <n v="19"/>
    <n v="35"/>
    <n v="26"/>
    <n v="14"/>
    <n v="52"/>
    <x v="1"/>
    <n v="46524"/>
    <n v="0"/>
    <n v="1"/>
  </r>
  <r>
    <x v="851"/>
    <n v="11"/>
    <n v="0"/>
    <n v="16"/>
    <n v="7"/>
    <n v="6"/>
    <n v="21"/>
    <x v="0"/>
    <n v="30023"/>
    <n v="1"/>
    <n v="0"/>
  </r>
  <r>
    <x v="852"/>
    <n v="292"/>
    <n v="6"/>
    <n v="37"/>
    <n v="0"/>
    <n v="3"/>
    <n v="34"/>
    <x v="1"/>
    <n v="50388"/>
    <n v="0"/>
    <n v="1"/>
  </r>
  <r>
    <x v="853"/>
    <n v="10"/>
    <n v="4"/>
    <n v="14"/>
    <n v="4"/>
    <n v="4"/>
    <n v="1"/>
    <x v="1"/>
    <n v="30279"/>
    <n v="1"/>
    <n v="0"/>
  </r>
  <r>
    <x v="854"/>
    <n v="62"/>
    <n v="1"/>
    <n v="44"/>
    <n v="6"/>
    <n v="5"/>
    <n v="22"/>
    <x v="0"/>
    <n v="58646"/>
    <n v="0"/>
    <n v="1"/>
  </r>
  <r>
    <x v="855"/>
    <n v="23"/>
    <n v="0"/>
    <n v="8"/>
    <n v="6"/>
    <n v="2"/>
    <n v="18"/>
    <x v="1"/>
    <n v="35682"/>
    <n v="1"/>
    <n v="0"/>
  </r>
  <r>
    <x v="856"/>
    <n v="1315"/>
    <n v="22"/>
    <n v="780"/>
    <n v="145"/>
    <n v="0"/>
    <n v="178"/>
    <x v="0"/>
    <n v="69098"/>
    <n v="0"/>
    <n v="0"/>
  </r>
  <r>
    <x v="857"/>
    <n v="247"/>
    <n v="49"/>
    <n v="159"/>
    <n v="7"/>
    <n v="82"/>
    <n v="109"/>
    <x v="0"/>
    <n v="69096"/>
    <n v="0"/>
    <n v="1"/>
  </r>
  <r>
    <x v="858"/>
    <n v="457"/>
    <n v="5"/>
    <n v="106"/>
    <n v="15"/>
    <n v="17"/>
    <n v="53"/>
    <x v="0"/>
    <n v="63777"/>
    <n v="1"/>
    <n v="1"/>
  </r>
  <r>
    <x v="859"/>
    <n v="365"/>
    <n v="3"/>
    <n v="15"/>
    <n v="4"/>
    <n v="3"/>
    <n v="11"/>
    <x v="0"/>
    <n v="60432"/>
    <n v="0"/>
    <n v="1"/>
  </r>
  <r>
    <x v="860"/>
    <n v="315"/>
    <n v="26"/>
    <n v="473"/>
    <n v="220"/>
    <n v="12"/>
    <n v="182"/>
    <x v="1"/>
    <n v="72354"/>
    <n v="0"/>
    <n v="0"/>
  </r>
  <r>
    <x v="861"/>
    <n v="15"/>
    <n v="20"/>
    <n v="25"/>
    <n v="2"/>
    <n v="7"/>
    <n v="26"/>
    <x v="1"/>
    <n v="39858"/>
    <n v="1"/>
    <n v="0"/>
  </r>
  <r>
    <x v="862"/>
    <n v="292"/>
    <n v="127"/>
    <n v="635"/>
    <n v="132"/>
    <n v="127"/>
    <n v="165"/>
    <x v="1"/>
    <n v="69882"/>
    <n v="0"/>
    <n v="0"/>
  </r>
  <r>
    <x v="863"/>
    <n v="631"/>
    <n v="28"/>
    <n v="491"/>
    <n v="30"/>
    <n v="14"/>
    <n v="56"/>
    <x v="1"/>
    <n v="72228"/>
    <n v="0"/>
    <n v="0"/>
  </r>
  <r>
    <x v="864"/>
    <n v="203"/>
    <n v="35"/>
    <n v="305"/>
    <n v="46"/>
    <n v="17"/>
    <n v="227"/>
    <x v="1"/>
    <n v="75127"/>
    <n v="0"/>
    <n v="0"/>
  </r>
  <r>
    <x v="865"/>
    <n v="386"/>
    <n v="172"/>
    <n v="183"/>
    <n v="185"/>
    <n v="132"/>
    <n v="111"/>
    <x v="0"/>
    <n v="85693"/>
    <n v="0"/>
    <n v="1"/>
  </r>
  <r>
    <x v="866"/>
    <n v="972"/>
    <n v="19"/>
    <n v="595"/>
    <n v="180"/>
    <n v="26"/>
    <n v="138"/>
    <x v="1"/>
    <n v="78427"/>
    <n v="0"/>
    <n v="0"/>
  </r>
  <r>
    <x v="867"/>
    <n v="116"/>
    <n v="6"/>
    <n v="82"/>
    <n v="6"/>
    <n v="6"/>
    <n v="41"/>
    <x v="0"/>
    <n v="38946"/>
    <n v="0"/>
    <n v="1"/>
  </r>
  <r>
    <x v="868"/>
    <n v="777"/>
    <n v="129"/>
    <n v="573"/>
    <n v="216"/>
    <n v="21"/>
    <n v="203"/>
    <x v="0"/>
    <n v="82497"/>
    <n v="0"/>
    <n v="0"/>
  </r>
  <r>
    <x v="869"/>
    <n v="6"/>
    <n v="2"/>
    <n v="9"/>
    <n v="2"/>
    <n v="1"/>
    <n v="5"/>
    <x v="0"/>
    <n v="13672"/>
    <n v="1"/>
    <n v="1"/>
  </r>
  <r>
    <x v="870"/>
    <n v="23"/>
    <n v="4"/>
    <n v="10"/>
    <n v="0"/>
    <n v="2"/>
    <n v="15"/>
    <x v="1"/>
    <n v="41967"/>
    <n v="1"/>
    <n v="1"/>
  </r>
  <r>
    <x v="871"/>
    <n v="61"/>
    <n v="0"/>
    <n v="3"/>
    <n v="0"/>
    <n v="0"/>
    <n v="7"/>
    <x v="0"/>
    <n v="33564"/>
    <n v="0"/>
    <n v="1"/>
  </r>
  <r>
    <x v="872"/>
    <n v="83"/>
    <n v="2"/>
    <n v="101"/>
    <n v="64"/>
    <n v="26"/>
    <n v="117"/>
    <x v="0"/>
    <n v="51373"/>
    <n v="0"/>
    <n v="0"/>
  </r>
  <r>
    <x v="873"/>
    <n v="171"/>
    <n v="45"/>
    <n v="73"/>
    <n v="59"/>
    <n v="10"/>
    <n v="90"/>
    <x v="0"/>
    <n v="47009"/>
    <n v="0"/>
    <n v="1"/>
  </r>
  <r>
    <x v="874"/>
    <n v="10"/>
    <n v="7"/>
    <n v="19"/>
    <n v="8"/>
    <n v="2"/>
    <n v="21"/>
    <x v="0"/>
    <n v="22070"/>
    <n v="1"/>
    <n v="0"/>
  </r>
  <r>
    <x v="875"/>
    <n v="1394"/>
    <n v="22"/>
    <n v="708"/>
    <n v="89"/>
    <n v="91"/>
    <n v="182"/>
    <x v="0"/>
    <n v="75759"/>
    <n v="0"/>
    <n v="0"/>
  </r>
  <r>
    <x v="876"/>
    <n v="162"/>
    <n v="25"/>
    <n v="53"/>
    <n v="16"/>
    <n v="0"/>
    <n v="10"/>
    <x v="1"/>
    <n v="45006"/>
    <n v="0"/>
    <n v="0"/>
  </r>
  <r>
    <x v="877"/>
    <n v="889"/>
    <n v="55"/>
    <n v="685"/>
    <n v="168"/>
    <n v="92"/>
    <n v="129"/>
    <x v="0"/>
    <n v="82072"/>
    <n v="0"/>
    <n v="0"/>
  </r>
  <r>
    <x v="878"/>
    <n v="371"/>
    <n v="32"/>
    <n v="189"/>
    <n v="0"/>
    <n v="58"/>
    <n v="6"/>
    <x v="0"/>
    <n v="65695"/>
    <n v="0"/>
    <n v="1"/>
  </r>
  <r>
    <x v="879"/>
    <n v="227"/>
    <n v="23"/>
    <n v="389"/>
    <n v="42"/>
    <n v="21"/>
    <n v="75"/>
    <x v="0"/>
    <n v="71367"/>
    <n v="0"/>
    <n v="0"/>
  </r>
  <r>
    <x v="880"/>
    <n v="383"/>
    <n v="0"/>
    <n v="53"/>
    <n v="6"/>
    <n v="4"/>
    <n v="40"/>
    <x v="0"/>
    <n v="57705"/>
    <n v="0"/>
    <n v="1"/>
  </r>
  <r>
    <x v="881"/>
    <n v="1009"/>
    <n v="181"/>
    <n v="104"/>
    <n v="202"/>
    <n v="21"/>
    <n v="207"/>
    <x v="0"/>
    <n v="105471"/>
    <n v="0"/>
    <n v="0"/>
  </r>
  <r>
    <x v="882"/>
    <n v="6"/>
    <n v="2"/>
    <n v="3"/>
    <n v="1"/>
    <n v="262"/>
    <n v="3"/>
    <x v="1"/>
    <n v="113734"/>
    <n v="0"/>
    <n v="0"/>
  </r>
  <r>
    <x v="883"/>
    <n v="960"/>
    <n v="64"/>
    <n v="464"/>
    <n v="146"/>
    <n v="0"/>
    <n v="16"/>
    <x v="1"/>
    <n v="74637"/>
    <n v="0"/>
    <n v="0"/>
  </r>
  <r>
    <x v="884"/>
    <n v="561"/>
    <n v="85"/>
    <n v="171"/>
    <n v="25"/>
    <n v="123"/>
    <n v="114"/>
    <x v="1"/>
    <n v="70647"/>
    <n v="0"/>
    <n v="1"/>
  </r>
  <r>
    <x v="885"/>
    <n v="8"/>
    <n v="26"/>
    <n v="46"/>
    <n v="38"/>
    <n v="9"/>
    <n v="49"/>
    <x v="0"/>
    <n v="27803"/>
    <n v="1"/>
    <n v="0"/>
  </r>
  <r>
    <x v="886"/>
    <n v="207"/>
    <n v="26"/>
    <n v="447"/>
    <n v="75"/>
    <n v="0"/>
    <n v="223"/>
    <x v="0"/>
    <n v="78497"/>
    <n v="0"/>
    <n v="0"/>
  </r>
  <r>
    <x v="887"/>
    <n v="131"/>
    <n v="0"/>
    <n v="16"/>
    <n v="2"/>
    <n v="1"/>
    <n v="39"/>
    <x v="0"/>
    <n v="42011"/>
    <n v="1"/>
    <n v="0"/>
  </r>
  <r>
    <x v="888"/>
    <n v="571"/>
    <n v="12"/>
    <n v="523"/>
    <n v="63"/>
    <n v="60"/>
    <n v="24"/>
    <x v="0"/>
    <n v="75114"/>
    <n v="0"/>
    <n v="0"/>
  </r>
  <r>
    <x v="889"/>
    <n v="342"/>
    <n v="32"/>
    <n v="230"/>
    <n v="34"/>
    <n v="32"/>
    <n v="40"/>
    <x v="1"/>
    <n v="51250"/>
    <n v="1"/>
    <n v="0"/>
  </r>
  <r>
    <x v="890"/>
    <n v="4"/>
    <n v="19"/>
    <n v="9"/>
    <n v="28"/>
    <n v="25"/>
    <n v="17"/>
    <x v="0"/>
    <n v="24480"/>
    <n v="1"/>
    <n v="0"/>
  </r>
  <r>
    <x v="891"/>
    <n v="1004"/>
    <n v="12"/>
    <n v="145"/>
    <n v="32"/>
    <n v="12"/>
    <n v="36"/>
    <x v="0"/>
    <n v="81300"/>
    <n v="0"/>
    <n v="1"/>
  </r>
  <r>
    <x v="892"/>
    <n v="612"/>
    <n v="91"/>
    <n v="520"/>
    <n v="258"/>
    <n v="107"/>
    <n v="107"/>
    <x v="1"/>
    <n v="73705"/>
    <n v="0"/>
    <n v="2"/>
  </r>
  <r>
    <x v="893"/>
    <n v="721"/>
    <n v="0"/>
    <n v="152"/>
    <n v="119"/>
    <n v="50"/>
    <n v="50"/>
    <x v="0"/>
    <n v="78710"/>
    <n v="0"/>
    <n v="1"/>
  </r>
  <r>
    <x v="894"/>
    <n v="99"/>
    <n v="27"/>
    <n v="102"/>
    <n v="28"/>
    <n v="48"/>
    <n v="6"/>
    <x v="0"/>
    <n v="51876"/>
    <n v="0"/>
    <n v="0"/>
  </r>
  <r>
    <x v="895"/>
    <n v="861"/>
    <n v="31"/>
    <n v="558"/>
    <n v="62"/>
    <n v="95"/>
    <n v="79"/>
    <x v="1"/>
    <n v="82571"/>
    <n v="0"/>
    <n v="0"/>
  </r>
  <r>
    <x v="896"/>
    <n v="674"/>
    <n v="92"/>
    <n v="736"/>
    <n v="39"/>
    <n v="0"/>
    <n v="92"/>
    <x v="0"/>
    <n v="80739"/>
    <n v="0"/>
    <n v="0"/>
  </r>
  <r>
    <x v="897"/>
    <n v="443"/>
    <n v="10"/>
    <n v="75"/>
    <n v="0"/>
    <n v="10"/>
    <n v="48"/>
    <x v="0"/>
    <n v="50725"/>
    <n v="0"/>
    <n v="1"/>
  </r>
  <r>
    <x v="898"/>
    <n v="7"/>
    <n v="0"/>
    <n v="12"/>
    <n v="13"/>
    <n v="7"/>
    <n v="32"/>
    <x v="0"/>
    <n v="7500"/>
    <n v="1"/>
    <n v="0"/>
  </r>
  <r>
    <x v="899"/>
    <n v="248"/>
    <n v="3"/>
    <n v="81"/>
    <n v="4"/>
    <n v="3"/>
    <n v="51"/>
    <x v="1"/>
    <n v="35416"/>
    <n v="0"/>
    <n v="0"/>
  </r>
  <r>
    <x v="900"/>
    <n v="1000"/>
    <n v="155"/>
    <n v="379"/>
    <n v="224"/>
    <n v="17"/>
    <n v="120"/>
    <x v="1"/>
    <n v="61839"/>
    <n v="0"/>
    <n v="0"/>
  </r>
  <r>
    <x v="901"/>
    <n v="29"/>
    <n v="0"/>
    <n v="5"/>
    <n v="0"/>
    <n v="1"/>
    <n v="5"/>
    <x v="1"/>
    <n v="34704"/>
    <n v="0"/>
    <n v="1"/>
  </r>
  <r>
    <x v="902"/>
    <n v="8"/>
    <n v="8"/>
    <n v="22"/>
    <n v="24"/>
    <n v="11"/>
    <n v="9"/>
    <x v="0"/>
    <n v="20193"/>
    <n v="0"/>
    <n v="0"/>
  </r>
  <r>
    <x v="903"/>
    <n v="74"/>
    <n v="0"/>
    <n v="42"/>
    <n v="2"/>
    <n v="1"/>
    <n v="6"/>
    <x v="0"/>
    <n v="31605"/>
    <n v="1"/>
    <n v="0"/>
  </r>
  <r>
    <x v="904"/>
    <n v="30"/>
    <n v="2"/>
    <n v="25"/>
    <n v="0"/>
    <n v="1"/>
    <n v="9"/>
    <x v="0"/>
    <n v="50616"/>
    <n v="0"/>
    <n v="1"/>
  </r>
  <r>
    <x v="905"/>
    <n v="391"/>
    <n v="32"/>
    <n v="70"/>
    <n v="21"/>
    <n v="32"/>
    <n v="16"/>
    <x v="0"/>
    <n v="65463"/>
    <n v="1"/>
    <n v="0"/>
  </r>
  <r>
    <x v="906"/>
    <n v="689"/>
    <n v="8"/>
    <n v="167"/>
    <n v="11"/>
    <n v="8"/>
    <n v="88"/>
    <x v="0"/>
    <n v="56242"/>
    <n v="0"/>
    <n v="1"/>
  </r>
  <r>
    <x v="907"/>
    <n v="30"/>
    <n v="11"/>
    <n v="33"/>
    <n v="13"/>
    <n v="6"/>
    <n v="29"/>
    <x v="0"/>
    <n v="33585"/>
    <n v="0"/>
    <n v="1"/>
  </r>
  <r>
    <x v="908"/>
    <n v="176"/>
    <n v="29"/>
    <n v="818"/>
    <n v="0"/>
    <n v="33"/>
    <n v="112"/>
    <x v="1"/>
    <n v="63998"/>
    <n v="0"/>
    <n v="0"/>
  </r>
  <r>
    <x v="909"/>
    <n v="45"/>
    <n v="12"/>
    <n v="52"/>
    <n v="25"/>
    <n v="22"/>
    <n v="13"/>
    <x v="0"/>
    <n v="40442"/>
    <n v="1"/>
    <n v="1"/>
  </r>
  <r>
    <x v="910"/>
    <n v="635"/>
    <n v="114"/>
    <n v="254"/>
    <n v="132"/>
    <n v="152"/>
    <n v="76"/>
    <x v="0"/>
    <n v="70924"/>
    <n v="0"/>
    <n v="0"/>
  </r>
  <r>
    <x v="911"/>
    <n v="456"/>
    <n v="4"/>
    <n v="24"/>
    <n v="0"/>
    <n v="0"/>
    <n v="9"/>
    <x v="0"/>
    <n v="57954"/>
    <n v="1"/>
    <n v="1"/>
  </r>
  <r>
    <x v="912"/>
    <n v="520"/>
    <n v="7"/>
    <n v="154"/>
    <n v="19"/>
    <n v="0"/>
    <n v="14"/>
    <x v="0"/>
    <n v="77622"/>
    <n v="0"/>
    <n v="2"/>
  </r>
  <r>
    <x v="913"/>
    <n v="555"/>
    <n v="82"/>
    <n v="257"/>
    <n v="93"/>
    <n v="61"/>
    <n v="61"/>
    <x v="0"/>
    <n v="75330"/>
    <n v="1"/>
    <n v="1"/>
  </r>
  <r>
    <x v="914"/>
    <n v="769"/>
    <n v="22"/>
    <n v="500"/>
    <n v="210"/>
    <n v="143"/>
    <n v="33"/>
    <x v="0"/>
    <n v="80812"/>
    <n v="0"/>
    <n v="0"/>
  </r>
  <r>
    <x v="915"/>
    <n v="574"/>
    <n v="8"/>
    <n v="216"/>
    <n v="21"/>
    <n v="16"/>
    <n v="33"/>
    <x v="1"/>
    <n v="79803"/>
    <n v="0"/>
    <n v="1"/>
  </r>
  <r>
    <x v="916"/>
    <n v="19"/>
    <n v="1"/>
    <n v="17"/>
    <n v="2"/>
    <n v="0"/>
    <n v="2"/>
    <x v="0"/>
    <n v="44964"/>
    <n v="1"/>
    <n v="1"/>
  </r>
  <r>
    <x v="917"/>
    <n v="18"/>
    <n v="10"/>
    <n v="3"/>
    <n v="3"/>
    <n v="5"/>
    <n v="0"/>
    <x v="1"/>
    <n v="49638"/>
    <n v="0"/>
    <n v="1"/>
  </r>
  <r>
    <x v="918"/>
    <n v="1"/>
    <n v="2"/>
    <n v="5"/>
    <n v="6"/>
    <n v="0"/>
    <n v="3"/>
    <x v="0"/>
    <n v="15759"/>
    <n v="0"/>
    <n v="0"/>
  </r>
  <r>
    <x v="919"/>
    <n v="3"/>
    <n v="2"/>
    <n v="7"/>
    <n v="0"/>
    <n v="4"/>
    <n v="2"/>
    <x v="1"/>
    <n v="22304"/>
    <n v="0"/>
    <n v="0"/>
  </r>
  <r>
    <x v="920"/>
    <n v="154"/>
    <n v="22"/>
    <n v="202"/>
    <n v="39"/>
    <n v="30"/>
    <n v="8"/>
    <x v="1"/>
    <n v="54998"/>
    <n v="0"/>
    <n v="1"/>
  </r>
  <r>
    <x v="921"/>
    <n v="71"/>
    <n v="99"/>
    <n v="278"/>
    <n v="185"/>
    <n v="121"/>
    <n v="38"/>
    <x v="1"/>
    <n v="79865"/>
    <n v="0"/>
    <n v="1"/>
  </r>
  <r>
    <x v="922"/>
    <n v="6"/>
    <n v="5"/>
    <n v="17"/>
    <n v="3"/>
    <n v="24"/>
    <n v="46"/>
    <x v="0"/>
    <n v="27244"/>
    <n v="1"/>
    <n v="0"/>
  </r>
  <r>
    <x v="923"/>
    <n v="753"/>
    <n v="43"/>
    <n v="226"/>
    <n v="69"/>
    <n v="10"/>
    <n v="204"/>
    <x v="0"/>
    <n v="71322"/>
    <n v="0"/>
    <n v="1"/>
  </r>
  <r>
    <x v="924"/>
    <n v="5"/>
    <n v="1"/>
    <n v="8"/>
    <n v="0"/>
    <n v="0"/>
    <n v="1"/>
    <x v="0"/>
    <n v="22775"/>
    <n v="1"/>
    <n v="0"/>
  </r>
  <r>
    <x v="925"/>
    <n v="14"/>
    <n v="0"/>
    <n v="24"/>
    <n v="3"/>
    <n v="3"/>
    <n v="2"/>
    <x v="0"/>
    <n v="30351"/>
    <n v="1"/>
    <n v="0"/>
  </r>
  <r>
    <x v="926"/>
    <n v="556"/>
    <n v="54"/>
    <n v="845"/>
    <n v="202"/>
    <n v="133"/>
    <n v="63"/>
    <x v="0"/>
    <n v="82347"/>
    <n v="0"/>
    <n v="0"/>
  </r>
  <r>
    <x v="927"/>
    <n v="7"/>
    <n v="2"/>
    <n v="8"/>
    <n v="3"/>
    <n v="2"/>
    <n v="3"/>
    <x v="1"/>
    <n v="24206"/>
    <n v="1"/>
    <n v="0"/>
  </r>
  <r>
    <x v="928"/>
    <n v="72"/>
    <n v="7"/>
    <n v="58"/>
    <n v="13"/>
    <n v="1"/>
    <n v="24"/>
    <x v="0"/>
    <n v="34380"/>
    <n v="1"/>
    <n v="0"/>
  </r>
  <r>
    <x v="929"/>
    <n v="229"/>
    <n v="7"/>
    <n v="140"/>
    <n v="10"/>
    <n v="3"/>
    <n v="11"/>
    <x v="1"/>
    <n v="53367"/>
    <n v="1"/>
    <n v="1"/>
  </r>
  <r>
    <x v="930"/>
    <n v="58"/>
    <n v="0"/>
    <n v="18"/>
    <n v="2"/>
    <n v="0"/>
    <n v="10"/>
    <x v="1"/>
    <n v="38236"/>
    <n v="1"/>
    <n v="1"/>
  </r>
  <r>
    <x v="931"/>
    <n v="34"/>
    <n v="0"/>
    <n v="7"/>
    <n v="0"/>
    <n v="0"/>
    <n v="0"/>
    <x v="0"/>
    <n v="38576"/>
    <n v="0"/>
    <n v="1"/>
  </r>
  <r>
    <x v="932"/>
    <n v="10"/>
    <n v="5"/>
    <n v="28"/>
    <n v="11"/>
    <n v="1"/>
    <n v="8"/>
    <x v="1"/>
    <n v="55412"/>
    <n v="1"/>
    <n v="1"/>
  </r>
  <r>
    <x v="933"/>
    <n v="1132"/>
    <n v="134"/>
    <n v="384"/>
    <n v="175"/>
    <n v="134"/>
    <n v="115"/>
    <x v="1"/>
    <n v="68743"/>
    <n v="0"/>
    <n v="0"/>
  </r>
  <r>
    <x v="934"/>
    <n v="176"/>
    <n v="72"/>
    <n v="98"/>
    <n v="136"/>
    <n v="21"/>
    <n v="229"/>
    <x v="0"/>
    <n v="53230"/>
    <n v="0"/>
    <n v="1"/>
  </r>
  <r>
    <x v="935"/>
    <n v="8"/>
    <n v="3"/>
    <n v="22"/>
    <n v="21"/>
    <n v="1"/>
    <n v="13"/>
    <x v="0"/>
    <n v="16626"/>
    <n v="2"/>
    <n v="0"/>
  </r>
  <r>
    <x v="936"/>
    <n v="1"/>
    <n v="0"/>
    <n v="1725"/>
    <n v="2"/>
    <n v="1"/>
    <n v="1"/>
    <x v="0"/>
    <n v="157146"/>
    <n v="0"/>
    <n v="0"/>
  </r>
  <r>
    <x v="937"/>
    <n v="12"/>
    <n v="2"/>
    <n v="20"/>
    <n v="3"/>
    <n v="2"/>
    <n v="5"/>
    <x v="0"/>
    <n v="46094"/>
    <n v="1"/>
    <n v="1"/>
  </r>
  <r>
    <x v="938"/>
    <n v="84"/>
    <n v="5"/>
    <n v="38"/>
    <n v="150"/>
    <n v="12"/>
    <n v="28"/>
    <x v="0"/>
    <n v="37760"/>
    <n v="0"/>
    <n v="0"/>
  </r>
  <r>
    <x v="939"/>
    <n v="1379"/>
    <n v="33"/>
    <n v="216"/>
    <n v="0"/>
    <n v="33"/>
    <n v="66"/>
    <x v="0"/>
    <n v="70503"/>
    <n v="0"/>
    <n v="0"/>
  </r>
  <r>
    <x v="940"/>
    <n v="815"/>
    <n v="10"/>
    <n v="239"/>
    <n v="28"/>
    <n v="10"/>
    <n v="108"/>
    <x v="1"/>
    <n v="53653"/>
    <n v="0"/>
    <n v="0"/>
  </r>
  <r>
    <x v="941"/>
    <n v="606"/>
    <n v="24"/>
    <n v="974"/>
    <n v="197"/>
    <n v="194"/>
    <n v="64"/>
    <x v="1"/>
    <n v="89572"/>
    <n v="0"/>
    <n v="0"/>
  </r>
  <r>
    <x v="942"/>
    <n v="106"/>
    <n v="27"/>
    <n v="68"/>
    <n v="52"/>
    <n v="7"/>
    <n v="5"/>
    <x v="0"/>
    <n v="48195"/>
    <n v="1"/>
    <n v="1"/>
  </r>
  <r>
    <x v="943"/>
    <n v="29"/>
    <n v="0"/>
    <n v="25"/>
    <n v="2"/>
    <n v="2"/>
    <n v="3"/>
    <x v="0"/>
    <n v="21255"/>
    <n v="1"/>
    <n v="0"/>
  </r>
  <r>
    <x v="944"/>
    <n v="680"/>
    <n v="11"/>
    <n v="392"/>
    <n v="75"/>
    <n v="0"/>
    <n v="0"/>
    <x v="0"/>
    <n v="74250"/>
    <n v="0"/>
    <n v="0"/>
  </r>
  <r>
    <x v="945"/>
    <n v="233"/>
    <n v="0"/>
    <n v="23"/>
    <n v="0"/>
    <n v="0"/>
    <n v="12"/>
    <x v="0"/>
    <n v="38201"/>
    <n v="0"/>
    <n v="1"/>
  </r>
  <r>
    <x v="946"/>
    <n v="433"/>
    <n v="89"/>
    <n v="650"/>
    <n v="16"/>
    <n v="102"/>
    <n v="102"/>
    <x v="1"/>
    <n v="83273"/>
    <n v="1"/>
    <n v="2"/>
  </r>
  <r>
    <x v="947"/>
    <n v="19"/>
    <n v="6"/>
    <n v="20"/>
    <n v="0"/>
    <n v="5"/>
    <n v="12"/>
    <x v="0"/>
    <n v="34469"/>
    <n v="1"/>
    <n v="1"/>
  </r>
  <r>
    <x v="948"/>
    <n v="524"/>
    <n v="0"/>
    <n v="134"/>
    <n v="28"/>
    <n v="28"/>
    <n v="155"/>
    <x v="0"/>
    <n v="59111"/>
    <n v="0"/>
    <n v="0"/>
  </r>
  <r>
    <x v="949"/>
    <n v="6"/>
    <n v="4"/>
    <n v="16"/>
    <n v="3"/>
    <n v="10"/>
    <n v="30"/>
    <x v="0"/>
    <n v="17459"/>
    <n v="1"/>
    <n v="0"/>
  </r>
  <r>
    <x v="950"/>
    <n v="1193"/>
    <n v="33"/>
    <n v="281"/>
    <n v="129"/>
    <n v="66"/>
    <n v="33"/>
    <x v="1"/>
    <n v="77598"/>
    <n v="0"/>
    <n v="0"/>
  </r>
  <r>
    <x v="951"/>
    <n v="292"/>
    <n v="30"/>
    <n v="415"/>
    <n v="63"/>
    <n v="33"/>
    <n v="200"/>
    <x v="0"/>
    <n v="76081"/>
    <n v="0"/>
    <n v="0"/>
  </r>
  <r>
    <x v="952"/>
    <n v="2"/>
    <n v="8"/>
    <n v="8"/>
    <n v="6"/>
    <n v="1"/>
    <n v="9"/>
    <x v="1"/>
    <n v="25008"/>
    <n v="1"/>
    <n v="0"/>
  </r>
  <r>
    <x v="953"/>
    <n v="5"/>
    <n v="4"/>
    <n v="13"/>
    <n v="8"/>
    <n v="0"/>
    <n v="4"/>
    <x v="0"/>
    <n v="28691"/>
    <n v="1"/>
    <n v="0"/>
  </r>
  <r>
    <x v="954"/>
    <n v="68"/>
    <n v="6"/>
    <n v="38"/>
    <n v="3"/>
    <n v="6"/>
    <n v="41"/>
    <x v="0"/>
    <n v="34529"/>
    <n v="1"/>
    <n v="0"/>
  </r>
  <r>
    <x v="955"/>
    <n v="23"/>
    <n v="17"/>
    <n v="23"/>
    <n v="43"/>
    <n v="20"/>
    <n v="9"/>
    <x v="1"/>
    <n v="48526"/>
    <n v="1"/>
    <n v="0"/>
  </r>
  <r>
    <x v="956"/>
    <n v="3"/>
    <n v="1"/>
    <n v="2"/>
    <n v="4"/>
    <n v="3"/>
    <n v="1"/>
    <x v="0"/>
    <n v="18100"/>
    <n v="0"/>
    <n v="0"/>
  </r>
  <r>
    <x v="957"/>
    <n v="777"/>
    <n v="35"/>
    <n v="731"/>
    <n v="39"/>
    <n v="137"/>
    <n v="114"/>
    <x v="0"/>
    <n v="83145"/>
    <n v="0"/>
    <n v="0"/>
  </r>
  <r>
    <x v="958"/>
    <n v="252"/>
    <n v="3"/>
    <n v="42"/>
    <n v="4"/>
    <n v="3"/>
    <n v="102"/>
    <x v="1"/>
    <n v="42710"/>
    <n v="1"/>
    <n v="0"/>
  </r>
  <r>
    <x v="959"/>
    <n v="7"/>
    <n v="23"/>
    <n v="78"/>
    <n v="133"/>
    <n v="49"/>
    <n v="144"/>
    <x v="0"/>
    <n v="26997"/>
    <n v="0"/>
    <n v="0"/>
  </r>
  <r>
    <x v="960"/>
    <n v="756"/>
    <n v="138"/>
    <n v="354"/>
    <n v="160"/>
    <n v="169"/>
    <n v="61"/>
    <x v="1"/>
    <n v="78331"/>
    <n v="0"/>
    <n v="1"/>
  </r>
  <r>
    <x v="961"/>
    <n v="20"/>
    <n v="6"/>
    <n v="43"/>
    <n v="19"/>
    <n v="5"/>
    <n v="38"/>
    <x v="1"/>
    <n v="42767"/>
    <n v="2"/>
    <n v="0"/>
  </r>
  <r>
    <x v="962"/>
    <n v="264"/>
    <n v="47"/>
    <n v="188"/>
    <n v="54"/>
    <n v="47"/>
    <n v="11"/>
    <x v="0"/>
    <n v="61794"/>
    <n v="0"/>
    <n v="1"/>
  </r>
  <r>
    <x v="963"/>
    <n v="35"/>
    <n v="0"/>
    <n v="4"/>
    <n v="0"/>
    <n v="0"/>
    <n v="0"/>
    <x v="0"/>
    <n v="54072"/>
    <n v="1"/>
    <n v="1"/>
  </r>
  <r>
    <x v="964"/>
    <n v="41"/>
    <n v="5"/>
    <n v="129"/>
    <n v="10"/>
    <n v="3"/>
    <n v="3"/>
    <x v="1"/>
    <n v="28769"/>
    <n v="1"/>
    <n v="0"/>
  </r>
  <r>
    <x v="965"/>
    <n v="966"/>
    <n v="26"/>
    <n v="282"/>
    <n v="52"/>
    <n v="26"/>
    <n v="26"/>
    <x v="0"/>
    <n v="80134"/>
    <n v="0"/>
    <n v="0"/>
  </r>
  <r>
    <x v="966"/>
    <n v="14"/>
    <n v="1"/>
    <n v="7"/>
    <n v="2"/>
    <n v="1"/>
    <n v="1"/>
    <x v="1"/>
    <n v="22804"/>
    <n v="1"/>
    <n v="0"/>
  </r>
  <r>
    <x v="967"/>
    <n v="30"/>
    <n v="0"/>
    <n v="10"/>
    <n v="2"/>
    <n v="0"/>
    <n v="5"/>
    <x v="0"/>
    <n v="28072"/>
    <n v="1"/>
    <n v="0"/>
  </r>
  <r>
    <x v="968"/>
    <n v="425"/>
    <n v="115"/>
    <n v="292"/>
    <n v="23"/>
    <n v="35"/>
    <n v="79"/>
    <x v="0"/>
    <n v="77298"/>
    <n v="0"/>
    <n v="1"/>
  </r>
  <r>
    <x v="969"/>
    <n v="420"/>
    <n v="0"/>
    <n v="452"/>
    <n v="182"/>
    <n v="64"/>
    <n v="140"/>
    <x v="1"/>
    <n v="70515"/>
    <n v="0"/>
    <n v="0"/>
  </r>
  <r>
    <x v="970"/>
    <n v="9"/>
    <n v="0"/>
    <n v="16"/>
    <n v="6"/>
    <n v="6"/>
    <n v="10"/>
    <x v="0"/>
    <n v="47821"/>
    <n v="1"/>
    <n v="1"/>
  </r>
  <r>
    <x v="971"/>
    <n v="445"/>
    <n v="53"/>
    <n v="213"/>
    <n v="104"/>
    <n v="98"/>
    <n v="151"/>
    <x v="1"/>
    <n v="58330"/>
    <n v="0"/>
    <n v="1"/>
  </r>
  <r>
    <x v="972"/>
    <n v="380"/>
    <n v="0"/>
    <n v="47"/>
    <n v="6"/>
    <n v="0"/>
    <n v="34"/>
    <x v="1"/>
    <n v="51569"/>
    <n v="0"/>
    <n v="1"/>
  </r>
  <r>
    <x v="973"/>
    <n v="40"/>
    <n v="3"/>
    <n v="30"/>
    <n v="10"/>
    <n v="7"/>
    <n v="11"/>
    <x v="1"/>
    <n v="25509"/>
    <n v="1"/>
    <n v="0"/>
  </r>
  <r>
    <x v="974"/>
    <n v="584"/>
    <n v="100"/>
    <n v="835"/>
    <n v="65"/>
    <n v="83"/>
    <n v="35"/>
    <x v="1"/>
    <n v="86979"/>
    <n v="0"/>
    <n v="0"/>
  </r>
  <r>
    <x v="975"/>
    <n v="670"/>
    <n v="9"/>
    <n v="249"/>
    <n v="0"/>
    <n v="28"/>
    <n v="9"/>
    <x v="0"/>
    <n v="74806"/>
    <n v="0"/>
    <n v="1"/>
  </r>
  <r>
    <x v="976"/>
    <n v="63"/>
    <n v="151"/>
    <n v="137"/>
    <n v="153"/>
    <n v="19"/>
    <n v="53"/>
    <x v="0"/>
    <n v="32632"/>
    <n v="0"/>
    <n v="0"/>
  </r>
  <r>
    <x v="977"/>
    <n v="398"/>
    <n v="96"/>
    <n v="447"/>
    <n v="220"/>
    <n v="96"/>
    <n v="32"/>
    <x v="0"/>
    <n v="66664"/>
    <n v="0"/>
    <n v="0"/>
  </r>
  <r>
    <x v="978"/>
    <n v="479"/>
    <n v="5"/>
    <n v="82"/>
    <n v="7"/>
    <n v="17"/>
    <n v="171"/>
    <x v="1"/>
    <n v="56628"/>
    <n v="0"/>
    <n v="1"/>
  </r>
  <r>
    <x v="979"/>
    <n v="37"/>
    <n v="12"/>
    <n v="23"/>
    <n v="8"/>
    <n v="11"/>
    <n v="52"/>
    <x v="0"/>
    <n v="27450"/>
    <n v="0"/>
    <n v="0"/>
  </r>
  <r>
    <x v="980"/>
    <n v="333"/>
    <n v="0"/>
    <n v="815"/>
    <n v="129"/>
    <n v="42"/>
    <n v="29"/>
    <x v="0"/>
    <n v="79530"/>
    <n v="0"/>
    <n v="0"/>
  </r>
  <r>
    <x v="981"/>
    <n v="654"/>
    <n v="7"/>
    <n v="92"/>
    <n v="0"/>
    <n v="15"/>
    <n v="30"/>
    <x v="1"/>
    <n v="65333"/>
    <n v="0"/>
    <n v="1"/>
  </r>
  <r>
    <x v="982"/>
    <n v="19"/>
    <n v="1"/>
    <n v="14"/>
    <n v="3"/>
    <n v="2"/>
    <n v="4"/>
    <x v="0"/>
    <n v="28320"/>
    <n v="0"/>
    <n v="1"/>
  </r>
  <r>
    <x v="983"/>
    <n v="1047"/>
    <n v="0"/>
    <n v="140"/>
    <n v="67"/>
    <n v="38"/>
    <n v="153"/>
    <x v="0"/>
    <n v="64355"/>
    <n v="1"/>
    <n v="0"/>
  </r>
  <r>
    <x v="984"/>
    <n v="774"/>
    <n v="70"/>
    <n v="118"/>
    <n v="182"/>
    <n v="187"/>
    <n v="93"/>
    <x v="1"/>
    <n v="90842"/>
    <n v="0"/>
    <n v="0"/>
  </r>
  <r>
    <x v="985"/>
    <n v="0"/>
    <n v="4"/>
    <n v="7"/>
    <n v="11"/>
    <n v="10"/>
    <n v="15"/>
    <x v="1"/>
    <n v="20194"/>
    <n v="1"/>
    <n v="0"/>
  </r>
  <r>
    <x v="986"/>
    <n v="26"/>
    <n v="3"/>
    <n v="13"/>
    <n v="2"/>
    <n v="10"/>
    <n v="0"/>
    <x v="1"/>
    <n v="37760"/>
    <n v="1"/>
    <n v="0"/>
  </r>
  <r>
    <x v="987"/>
    <n v="129"/>
    <n v="129"/>
    <n v="259"/>
    <n v="168"/>
    <n v="121"/>
    <n v="83"/>
    <x v="0"/>
    <n v="62466"/>
    <n v="0"/>
    <n v="1"/>
  </r>
  <r>
    <x v="988"/>
    <n v="738"/>
    <n v="0"/>
    <n v="232"/>
    <n v="13"/>
    <n v="20"/>
    <n v="50"/>
    <x v="0"/>
    <n v="65104"/>
    <n v="0"/>
    <n v="1"/>
  </r>
  <r>
    <x v="989"/>
    <n v="7"/>
    <n v="6"/>
    <n v="13"/>
    <n v="7"/>
    <n v="6"/>
    <n v="14"/>
    <x v="0"/>
    <n v="29604"/>
    <n v="1"/>
    <n v="0"/>
  </r>
  <r>
    <x v="990"/>
    <n v="298"/>
    <n v="7"/>
    <n v="68"/>
    <n v="4"/>
    <n v="0"/>
    <n v="19"/>
    <x v="0"/>
    <n v="58494"/>
    <n v="0"/>
    <n v="1"/>
  </r>
  <r>
    <x v="991"/>
    <n v="128"/>
    <n v="0"/>
    <n v="16"/>
    <n v="0"/>
    <n v="1"/>
    <n v="4"/>
    <x v="1"/>
    <n v="50616"/>
    <n v="0"/>
    <n v="1"/>
  </r>
  <r>
    <x v="992"/>
    <n v="2"/>
    <n v="4"/>
    <n v="2"/>
    <n v="0"/>
    <n v="11"/>
    <n v="5"/>
    <x v="1"/>
    <n v="24367"/>
    <n v="1"/>
    <n v="0"/>
  </r>
  <r>
    <x v="993"/>
    <n v="4"/>
    <n v="2"/>
    <n v="11"/>
    <n v="2"/>
    <n v="0"/>
    <n v="4"/>
    <x v="1"/>
    <n v="34824"/>
    <n v="0"/>
    <n v="0"/>
  </r>
  <r>
    <x v="994"/>
    <n v="199"/>
    <n v="66"/>
    <n v="315"/>
    <n v="97"/>
    <n v="174"/>
    <n v="41"/>
    <x v="0"/>
    <n v="74268"/>
    <n v="0"/>
    <n v="0"/>
  </r>
  <r>
    <x v="995"/>
    <n v="576"/>
    <n v="7"/>
    <n v="115"/>
    <n v="19"/>
    <n v="7"/>
    <n v="7"/>
    <x v="0"/>
    <n v="58482"/>
    <n v="0"/>
    <n v="1"/>
  </r>
  <r>
    <x v="996"/>
    <n v="380"/>
    <n v="98"/>
    <n v="733"/>
    <n v="110"/>
    <n v="112"/>
    <n v="28"/>
    <x v="0"/>
    <n v="74538"/>
    <n v="0"/>
    <n v="0"/>
  </r>
  <r>
    <x v="997"/>
    <n v="489"/>
    <n v="6"/>
    <n v="152"/>
    <n v="8"/>
    <n v="6"/>
    <n v="132"/>
    <x v="0"/>
    <n v="53378"/>
    <n v="1"/>
    <n v="1"/>
  </r>
  <r>
    <x v="998"/>
    <n v="443"/>
    <n v="5"/>
    <n v="71"/>
    <n v="21"/>
    <n v="16"/>
    <n v="82"/>
    <x v="1"/>
    <n v="50002"/>
    <n v="0"/>
    <n v="1"/>
  </r>
  <r>
    <x v="999"/>
    <n v="714"/>
    <n v="8"/>
    <n v="99"/>
    <n v="11"/>
    <n v="0"/>
    <n v="47"/>
    <x v="0"/>
    <n v="52852"/>
    <n v="0"/>
    <n v="1"/>
  </r>
  <r>
    <x v="1000"/>
    <n v="33"/>
    <n v="8"/>
    <n v="10"/>
    <n v="2"/>
    <n v="10"/>
    <n v="3"/>
    <x v="0"/>
    <n v="45903"/>
    <n v="0"/>
    <n v="1"/>
  </r>
  <r>
    <x v="1001"/>
    <n v="30"/>
    <n v="1"/>
    <n v="8"/>
    <n v="0"/>
    <n v="0"/>
    <n v="3"/>
    <x v="0"/>
    <n v="54132"/>
    <n v="0"/>
    <n v="1"/>
  </r>
  <r>
    <x v="1002"/>
    <n v="27"/>
    <n v="2"/>
    <n v="7"/>
    <n v="0"/>
    <n v="2"/>
    <n v="13"/>
    <x v="0"/>
    <n v="45894"/>
    <n v="0"/>
    <n v="2"/>
  </r>
  <r>
    <x v="1003"/>
    <n v="12"/>
    <n v="5"/>
    <n v="25"/>
    <n v="0"/>
    <n v="9"/>
    <n v="30"/>
    <x v="0"/>
    <n v="30753"/>
    <n v="1"/>
    <n v="1"/>
  </r>
  <r>
    <x v="1004"/>
    <n v="1230"/>
    <n v="0"/>
    <n v="396"/>
    <n v="232"/>
    <n v="178"/>
    <n v="158"/>
    <x v="0"/>
    <n v="77568"/>
    <n v="0"/>
    <n v="1"/>
  </r>
  <r>
    <x v="1005"/>
    <n v="28"/>
    <n v="1"/>
    <n v="21"/>
    <n v="3"/>
    <n v="0"/>
    <n v="10"/>
    <x v="1"/>
    <n v="48767"/>
    <n v="1"/>
    <n v="2"/>
  </r>
  <r>
    <x v="1006"/>
    <n v="31"/>
    <n v="0"/>
    <n v="6"/>
    <n v="2"/>
    <n v="1"/>
    <n v="5"/>
    <x v="0"/>
    <n v="38725"/>
    <n v="1"/>
    <n v="1"/>
  </r>
  <r>
    <x v="1007"/>
    <n v="16"/>
    <n v="12"/>
    <n v="18"/>
    <n v="7"/>
    <n v="1"/>
    <n v="13"/>
    <x v="1"/>
    <n v="23910"/>
    <n v="1"/>
    <n v="0"/>
  </r>
  <r>
    <x v="1008"/>
    <n v="145"/>
    <n v="13"/>
    <n v="46"/>
    <n v="17"/>
    <n v="2"/>
    <n v="4"/>
    <x v="0"/>
    <n v="54603"/>
    <n v="1"/>
    <n v="1"/>
  </r>
  <r>
    <x v="1009"/>
    <n v="5"/>
    <n v="10"/>
    <n v="13"/>
    <n v="3"/>
    <n v="8"/>
    <n v="16"/>
    <x v="0"/>
    <n v="31056"/>
    <n v="1"/>
    <n v="0"/>
  </r>
  <r>
    <x v="1010"/>
    <n v="16"/>
    <n v="2"/>
    <n v="18"/>
    <n v="2"/>
    <n v="1"/>
    <n v="5"/>
    <x v="1"/>
    <n v="33986"/>
    <n v="1"/>
    <n v="0"/>
  </r>
  <r>
    <x v="1011"/>
    <n v="17"/>
    <n v="8"/>
    <n v="14"/>
    <n v="10"/>
    <n v="4"/>
    <n v="3"/>
    <x v="0"/>
    <n v="29440"/>
    <n v="1"/>
    <n v="1"/>
  </r>
  <r>
    <x v="1012"/>
    <n v="378"/>
    <n v="0"/>
    <n v="88"/>
    <n v="19"/>
    <n v="4"/>
    <n v="73"/>
    <x v="0"/>
    <n v="53843"/>
    <n v="0"/>
    <n v="1"/>
  </r>
  <r>
    <x v="1013"/>
    <n v="307"/>
    <n v="26"/>
    <n v="360"/>
    <n v="138"/>
    <n v="31"/>
    <n v="40"/>
    <x v="0"/>
    <n v="82224"/>
    <n v="0"/>
    <n v="0"/>
  </r>
  <r>
    <x v="1014"/>
    <n v="93"/>
    <n v="1"/>
    <n v="21"/>
    <n v="0"/>
    <n v="4"/>
    <n v="25"/>
    <x v="1"/>
    <n v="42473"/>
    <n v="1"/>
    <n v="1"/>
  </r>
  <r>
    <x v="1015"/>
    <n v="112"/>
    <n v="1"/>
    <n v="54"/>
    <n v="7"/>
    <n v="7"/>
    <n v="36"/>
    <x v="1"/>
    <n v="41020"/>
    <n v="0"/>
    <n v="0"/>
  </r>
  <r>
    <x v="1016"/>
    <n v="45"/>
    <n v="2"/>
    <n v="26"/>
    <n v="4"/>
    <n v="1"/>
    <n v="1"/>
    <x v="0"/>
    <n v="34961"/>
    <n v="1"/>
    <n v="0"/>
  </r>
  <r>
    <x v="1017"/>
    <n v="8"/>
    <n v="4"/>
    <n v="12"/>
    <n v="15"/>
    <n v="4"/>
    <n v="29"/>
    <x v="1"/>
    <n v="41658"/>
    <n v="1"/>
    <n v="1"/>
  </r>
  <r>
    <x v="1018"/>
    <n v="220"/>
    <n v="0"/>
    <n v="33"/>
    <n v="3"/>
    <n v="0"/>
    <n v="23"/>
    <x v="0"/>
    <n v="41551"/>
    <n v="1"/>
    <n v="1"/>
  </r>
  <r>
    <x v="1019"/>
    <n v="6"/>
    <n v="8"/>
    <n v="19"/>
    <n v="16"/>
    <n v="4"/>
    <n v="4"/>
    <x v="1"/>
    <n v="18358"/>
    <n v="1"/>
    <n v="0"/>
  </r>
  <r>
    <x v="1020"/>
    <n v="1181"/>
    <n v="107"/>
    <n v="199"/>
    <n v="39"/>
    <n v="30"/>
    <n v="30"/>
    <x v="0"/>
    <n v="69084"/>
    <n v="1"/>
    <n v="0"/>
  </r>
  <r>
    <x v="1021"/>
    <n v="19"/>
    <n v="7"/>
    <n v="19"/>
    <n v="0"/>
    <n v="1"/>
    <n v="24"/>
    <x v="0"/>
    <n v="38961"/>
    <n v="1"/>
    <n v="0"/>
  </r>
  <r>
    <x v="1022"/>
    <n v="298"/>
    <n v="27"/>
    <n v="697"/>
    <n v="216"/>
    <n v="24"/>
    <n v="166"/>
    <x v="0"/>
    <n v="78394"/>
    <n v="0"/>
    <n v="0"/>
  </r>
  <r>
    <x v="1023"/>
    <n v="471"/>
    <n v="0"/>
    <n v="510"/>
    <n v="99"/>
    <n v="21"/>
    <n v="12"/>
    <x v="0"/>
    <n v="79632"/>
    <n v="0"/>
    <n v="0"/>
  </r>
  <r>
    <x v="1024"/>
    <n v="24"/>
    <n v="0"/>
    <n v="8"/>
    <n v="0"/>
    <n v="0"/>
    <n v="1"/>
    <x v="1"/>
    <n v="30899"/>
    <n v="1"/>
    <n v="0"/>
  </r>
  <r>
    <x v="1025"/>
    <n v="30"/>
    <n v="0"/>
    <n v="11"/>
    <n v="0"/>
    <n v="0"/>
    <n v="3"/>
    <x v="0"/>
    <n v="38196"/>
    <n v="1"/>
    <n v="1"/>
  </r>
  <r>
    <x v="1026"/>
    <n v="36"/>
    <n v="4"/>
    <n v="18"/>
    <n v="6"/>
    <n v="2"/>
    <n v="18"/>
    <x v="0"/>
    <n v="21024"/>
    <n v="0"/>
    <n v="0"/>
  </r>
  <r>
    <x v="1027"/>
    <n v="79"/>
    <n v="7"/>
    <n v="58"/>
    <n v="6"/>
    <n v="3"/>
    <n v="18"/>
    <x v="1"/>
    <n v="44051"/>
    <n v="1"/>
    <n v="1"/>
  </r>
  <r>
    <x v="1028"/>
    <n v="173"/>
    <n v="43"/>
    <n v="118"/>
    <n v="46"/>
    <n v="27"/>
    <n v="15"/>
    <x v="0"/>
    <n v="58293"/>
    <n v="1"/>
    <n v="0"/>
  </r>
  <r>
    <x v="1029"/>
    <n v="8"/>
    <n v="0"/>
    <n v="3"/>
    <n v="0"/>
    <n v="0"/>
    <n v="0"/>
    <x v="1"/>
    <n v="35946"/>
    <n v="1"/>
    <n v="1"/>
  </r>
  <r>
    <x v="1030"/>
    <n v="587"/>
    <n v="51"/>
    <n v="898"/>
    <n v="247"/>
    <n v="0"/>
    <n v="86"/>
    <x v="0"/>
    <n v="74985"/>
    <n v="0"/>
    <n v="0"/>
  </r>
  <r>
    <x v="1031"/>
    <n v="362"/>
    <n v="50"/>
    <n v="431"/>
    <n v="134"/>
    <n v="35"/>
    <n v="54"/>
    <x v="0"/>
    <n v="82504"/>
    <n v="0"/>
    <n v="0"/>
  </r>
  <r>
    <x v="1032"/>
    <n v="39"/>
    <n v="1"/>
    <n v="9"/>
    <n v="2"/>
    <n v="0"/>
    <n v="8"/>
    <x v="0"/>
    <n v="157733"/>
    <n v="1"/>
    <n v="0"/>
  </r>
  <r>
    <x v="1033"/>
    <n v="983"/>
    <n v="76"/>
    <n v="184"/>
    <n v="180"/>
    <n v="138"/>
    <n v="27"/>
    <x v="1"/>
    <n v="81975"/>
    <n v="0"/>
    <n v="1"/>
  </r>
  <r>
    <x v="1034"/>
    <n v="0"/>
    <n v="1"/>
    <n v="3"/>
    <n v="10"/>
    <n v="6"/>
    <n v="9"/>
    <x v="1"/>
    <n v="9548"/>
    <n v="1"/>
    <n v="0"/>
  </r>
  <r>
    <x v="1035"/>
    <n v="25"/>
    <n v="5"/>
    <n v="19"/>
    <n v="7"/>
    <n v="0"/>
    <n v="23"/>
    <x v="0"/>
    <n v="23559"/>
    <n v="1"/>
    <n v="0"/>
  </r>
  <r>
    <x v="1036"/>
    <n v="1156"/>
    <n v="120"/>
    <n v="915"/>
    <n v="94"/>
    <n v="144"/>
    <n v="96"/>
    <x v="1"/>
    <n v="90638"/>
    <n v="0"/>
    <n v="0"/>
  </r>
  <r>
    <x v="1037"/>
    <n v="239"/>
    <n v="3"/>
    <n v="141"/>
    <n v="0"/>
    <n v="7"/>
    <n v="23"/>
    <x v="0"/>
    <n v="32644"/>
    <n v="1"/>
    <n v="0"/>
  </r>
  <r>
    <x v="1038"/>
    <n v="6"/>
    <n v="16"/>
    <n v="24"/>
    <n v="11"/>
    <n v="0"/>
    <n v="34"/>
    <x v="1"/>
    <n v="21474"/>
    <n v="1"/>
    <n v="0"/>
  </r>
  <r>
    <x v="1039"/>
    <n v="1"/>
    <n v="1"/>
    <n v="1725"/>
    <n v="1"/>
    <n v="1"/>
    <n v="1"/>
    <x v="0"/>
    <n v="2447"/>
    <n v="1"/>
    <n v="0"/>
  </r>
  <r>
    <x v="1040"/>
    <n v="1111"/>
    <n v="24"/>
    <n v="790"/>
    <n v="160"/>
    <n v="45"/>
    <n v="172"/>
    <x v="0"/>
    <n v="94384"/>
    <n v="0"/>
    <n v="0"/>
  </r>
  <r>
    <x v="1041"/>
    <n v="238"/>
    <n v="17"/>
    <n v="68"/>
    <n v="8"/>
    <n v="10"/>
    <n v="6"/>
    <x v="0"/>
    <n v="48920"/>
    <n v="0"/>
    <n v="2"/>
  </r>
  <r>
    <x v="1042"/>
    <n v="22"/>
    <n v="0"/>
    <n v="6"/>
    <n v="6"/>
    <n v="2"/>
    <n v="6"/>
    <x v="1"/>
    <n v="23763"/>
    <n v="1"/>
    <n v="0"/>
  </r>
  <r>
    <x v="1043"/>
    <n v="3"/>
    <n v="9"/>
    <n v="4"/>
    <n v="7"/>
    <n v="8"/>
    <n v="7"/>
    <x v="1"/>
    <n v="16014"/>
    <n v="1"/>
    <n v="1"/>
  </r>
  <r>
    <x v="1044"/>
    <n v="758"/>
    <n v="12"/>
    <n v="385"/>
    <n v="33"/>
    <n v="89"/>
    <n v="89"/>
    <x v="0"/>
    <n v="68487"/>
    <n v="0"/>
    <n v="0"/>
  </r>
  <r>
    <x v="1045"/>
    <n v="729"/>
    <n v="17"/>
    <n v="133"/>
    <n v="11"/>
    <n v="0"/>
    <n v="195"/>
    <x v="0"/>
    <n v="53103"/>
    <n v="0"/>
    <n v="1"/>
  </r>
  <r>
    <x v="1046"/>
    <n v="6"/>
    <n v="0"/>
    <n v="5"/>
    <n v="2"/>
    <n v="1"/>
    <n v="2"/>
    <x v="0"/>
    <n v="28359"/>
    <n v="1"/>
    <n v="0"/>
  </r>
  <r>
    <x v="1047"/>
    <n v="145"/>
    <n v="1"/>
    <n v="33"/>
    <n v="2"/>
    <n v="1"/>
    <n v="1"/>
    <x v="0"/>
    <n v="45579"/>
    <n v="0"/>
    <n v="1"/>
  </r>
  <r>
    <x v="1048"/>
    <n v="454"/>
    <n v="0"/>
    <n v="171"/>
    <n v="8"/>
    <n v="19"/>
    <n v="32"/>
    <x v="0"/>
    <n v="54450"/>
    <n v="1"/>
    <n v="1"/>
  </r>
  <r>
    <x v="1049"/>
    <n v="267"/>
    <n v="6"/>
    <n v="54"/>
    <n v="8"/>
    <n v="3"/>
    <n v="50"/>
    <x v="1"/>
    <n v="54111"/>
    <n v="0"/>
    <n v="1"/>
  </r>
  <r>
    <x v="1050"/>
    <n v="1083"/>
    <n v="108"/>
    <n v="649"/>
    <n v="253"/>
    <n v="151"/>
    <n v="108"/>
    <x v="0"/>
    <n v="90226"/>
    <n v="0"/>
    <n v="0"/>
  </r>
  <r>
    <x v="1051"/>
    <n v="37"/>
    <n v="0"/>
    <n v="7"/>
    <n v="3"/>
    <n v="0"/>
    <n v="3"/>
    <x v="0"/>
    <n v="45057"/>
    <n v="1"/>
    <n v="0"/>
  </r>
  <r>
    <x v="1052"/>
    <n v="99"/>
    <n v="0"/>
    <n v="15"/>
    <n v="2"/>
    <n v="1"/>
    <n v="5"/>
    <x v="0"/>
    <n v="32011"/>
    <n v="1"/>
    <n v="0"/>
  </r>
  <r>
    <x v="1053"/>
    <n v="757"/>
    <n v="80"/>
    <n v="217"/>
    <n v="29"/>
    <n v="80"/>
    <n v="11"/>
    <x v="0"/>
    <n v="67445"/>
    <n v="0"/>
    <n v="1"/>
  </r>
  <r>
    <x v="1054"/>
    <n v="45"/>
    <n v="7"/>
    <n v="99"/>
    <n v="4"/>
    <n v="25"/>
    <n v="43"/>
    <x v="1"/>
    <n v="43020"/>
    <n v="1"/>
    <n v="0"/>
  </r>
  <r>
    <x v="1055"/>
    <n v="172"/>
    <n v="12"/>
    <n v="112"/>
    <n v="8"/>
    <n v="0"/>
    <n v="15"/>
    <x v="0"/>
    <n v="47352"/>
    <n v="0"/>
    <n v="1"/>
  </r>
  <r>
    <x v="1056"/>
    <n v="15"/>
    <n v="0"/>
    <n v="2"/>
    <n v="0"/>
    <n v="0"/>
    <n v="6"/>
    <x v="0"/>
    <n v="39356"/>
    <n v="1"/>
    <n v="1"/>
  </r>
  <r>
    <x v="1057"/>
    <n v="262"/>
    <n v="6"/>
    <n v="61"/>
    <n v="0"/>
    <n v="10"/>
    <n v="102"/>
    <x v="0"/>
    <n v="43263"/>
    <n v="0"/>
    <n v="1"/>
  </r>
  <r>
    <x v="1058"/>
    <n v="451"/>
    <n v="0"/>
    <n v="39"/>
    <n v="0"/>
    <n v="4"/>
    <n v="24"/>
    <x v="0"/>
    <n v="55842"/>
    <n v="0"/>
    <n v="1"/>
  </r>
  <r>
    <x v="1059"/>
    <n v="316"/>
    <n v="58"/>
    <n v="161"/>
    <n v="76"/>
    <n v="51"/>
    <n v="135"/>
    <x v="0"/>
    <n v="64090"/>
    <n v="0"/>
    <n v="1"/>
  </r>
  <r>
    <x v="1060"/>
    <n v="635"/>
    <n v="88"/>
    <n v="546"/>
    <n v="172"/>
    <n v="88"/>
    <n v="88"/>
    <x v="1"/>
    <n v="58138"/>
    <n v="0"/>
    <n v="0"/>
  </r>
  <r>
    <x v="1061"/>
    <n v="4"/>
    <n v="12"/>
    <n v="11"/>
    <n v="3"/>
    <n v="13"/>
    <n v="15"/>
    <x v="0"/>
    <n v="22434"/>
    <n v="1"/>
    <n v="0"/>
  </r>
  <r>
    <x v="1062"/>
    <n v="123"/>
    <n v="1"/>
    <n v="26"/>
    <n v="2"/>
    <n v="0"/>
    <n v="72"/>
    <x v="0"/>
    <n v="47808"/>
    <n v="0"/>
    <n v="1"/>
  </r>
  <r>
    <x v="1063"/>
    <n v="545"/>
    <n v="7"/>
    <n v="114"/>
    <n v="37"/>
    <n v="21"/>
    <n v="78"/>
    <x v="0"/>
    <n v="57811"/>
    <n v="0"/>
    <n v="1"/>
  </r>
  <r>
    <x v="1064"/>
    <n v="957"/>
    <n v="40"/>
    <n v="175"/>
    <n v="158"/>
    <n v="53"/>
    <n v="107"/>
    <x v="1"/>
    <n v="67384"/>
    <n v="0"/>
    <n v="1"/>
  </r>
  <r>
    <x v="1065"/>
    <n v="572"/>
    <n v="8"/>
    <n v="259"/>
    <n v="34"/>
    <n v="35"/>
    <n v="80"/>
    <x v="0"/>
    <n v="78075"/>
    <n v="0"/>
    <n v="0"/>
  </r>
  <r>
    <x v="1066"/>
    <n v="1478"/>
    <n v="19"/>
    <n v="403"/>
    <n v="0"/>
    <n v="19"/>
    <n v="0"/>
    <x v="0"/>
    <n v="84169"/>
    <n v="0"/>
    <n v="0"/>
  </r>
  <r>
    <x v="1067"/>
    <n v="81"/>
    <n v="18"/>
    <n v="113"/>
    <n v="47"/>
    <n v="13"/>
    <n v="21"/>
    <x v="1"/>
    <n v="48721"/>
    <n v="1"/>
    <n v="1"/>
  </r>
  <r>
    <x v="1068"/>
    <n v="1"/>
    <n v="1"/>
    <n v="1"/>
    <n v="1"/>
    <n v="1"/>
    <n v="1"/>
    <x v="1"/>
    <n v="153924"/>
    <n v="0"/>
    <n v="0"/>
  </r>
  <r>
    <x v="1069"/>
    <n v="1020"/>
    <n v="31"/>
    <n v="430"/>
    <n v="62"/>
    <n v="63"/>
    <n v="79"/>
    <x v="1"/>
    <n v="90933"/>
    <n v="0"/>
    <n v="0"/>
  </r>
  <r>
    <x v="1070"/>
    <n v="502"/>
    <n v="12"/>
    <n v="109"/>
    <n v="16"/>
    <n v="6"/>
    <n v="90"/>
    <x v="0"/>
    <n v="60093"/>
    <n v="0"/>
    <n v="1"/>
  </r>
  <r>
    <x v="1071"/>
    <n v="509"/>
    <n v="133"/>
    <n v="497"/>
    <n v="78"/>
    <n v="24"/>
    <n v="97"/>
    <x v="0"/>
    <n v="62882"/>
    <n v="0"/>
    <n v="1"/>
  </r>
  <r>
    <x v="1072"/>
    <n v="8"/>
    <n v="0"/>
    <n v="9"/>
    <n v="2"/>
    <n v="1"/>
    <n v="3"/>
    <x v="0"/>
    <n v="43776"/>
    <n v="1"/>
    <n v="0"/>
  </r>
  <r>
    <x v="1073"/>
    <n v="12"/>
    <n v="2"/>
    <n v="17"/>
    <n v="6"/>
    <n v="1"/>
    <n v="10"/>
    <x v="1"/>
    <n v="21359"/>
    <n v="1"/>
    <n v="0"/>
  </r>
  <r>
    <x v="1074"/>
    <n v="631"/>
    <n v="0"/>
    <n v="115"/>
    <n v="10"/>
    <n v="7"/>
    <n v="30"/>
    <x v="1"/>
    <n v="51983"/>
    <n v="0"/>
    <n v="1"/>
  </r>
  <r>
    <x v="1075"/>
    <n v="513"/>
    <n v="14"/>
    <n v="154"/>
    <n v="19"/>
    <n v="0"/>
    <n v="28"/>
    <x v="0"/>
    <n v="58821"/>
    <n v="0"/>
    <n v="1"/>
  </r>
  <r>
    <x v="1076"/>
    <n v="466"/>
    <n v="22"/>
    <n v="432"/>
    <n v="147"/>
    <n v="113"/>
    <n v="102"/>
    <x v="0"/>
    <n v="66973"/>
    <n v="0"/>
    <n v="0"/>
  </r>
  <r>
    <x v="1077"/>
    <n v="7"/>
    <n v="3"/>
    <n v="10"/>
    <n v="8"/>
    <n v="1"/>
    <n v="7"/>
    <x v="0"/>
    <n v="33456"/>
    <n v="1"/>
    <n v="1"/>
  </r>
  <r>
    <x v="1078"/>
    <n v="73"/>
    <n v="57"/>
    <n v="100"/>
    <n v="71"/>
    <n v="15"/>
    <n v="0"/>
    <x v="0"/>
    <n v="48752"/>
    <n v="1"/>
    <n v="1"/>
  </r>
  <r>
    <x v="1079"/>
    <n v="15"/>
    <n v="4"/>
    <n v="13"/>
    <n v="0"/>
    <n v="0"/>
    <n v="19"/>
    <x v="0"/>
    <n v="31535"/>
    <n v="1"/>
    <n v="0"/>
  </r>
  <r>
    <x v="1080"/>
    <n v="338"/>
    <n v="4"/>
    <n v="89"/>
    <n v="11"/>
    <n v="8"/>
    <n v="13"/>
    <x v="1"/>
    <n v="61798"/>
    <n v="0"/>
    <n v="0"/>
  </r>
  <r>
    <x v="1081"/>
    <n v="848"/>
    <n v="154"/>
    <n v="323"/>
    <n v="201"/>
    <n v="61"/>
    <n v="78"/>
    <x v="0"/>
    <n v="61416"/>
    <n v="0"/>
    <n v="0"/>
  </r>
  <r>
    <x v="1082"/>
    <n v="202"/>
    <n v="47"/>
    <n v="197"/>
    <n v="55"/>
    <n v="42"/>
    <n v="149"/>
    <x v="1"/>
    <n v="49767"/>
    <n v="0"/>
    <n v="0"/>
  </r>
  <r>
    <x v="1083"/>
    <n v="97"/>
    <n v="12"/>
    <n v="84"/>
    <n v="13"/>
    <n v="10"/>
    <n v="15"/>
    <x v="0"/>
    <n v="50183"/>
    <n v="1"/>
    <n v="1"/>
  </r>
  <r>
    <x v="1084"/>
    <n v="51"/>
    <n v="4"/>
    <n v="50"/>
    <n v="12"/>
    <n v="1"/>
    <n v="49"/>
    <x v="1"/>
    <n v="30983"/>
    <n v="0"/>
    <n v="0"/>
  </r>
  <r>
    <x v="1085"/>
    <n v="140"/>
    <n v="4"/>
    <n v="61"/>
    <n v="0"/>
    <n v="13"/>
    <n v="4"/>
    <x v="0"/>
    <n v="62499"/>
    <n v="1"/>
    <n v="0"/>
  </r>
  <r>
    <x v="1086"/>
    <n v="309"/>
    <n v="3"/>
    <n v="24"/>
    <n v="4"/>
    <n v="3"/>
    <n v="20"/>
    <x v="0"/>
    <n v="42213"/>
    <n v="0"/>
    <n v="1"/>
  </r>
  <r>
    <x v="1087"/>
    <n v="20"/>
    <n v="4"/>
    <n v="10"/>
    <n v="6"/>
    <n v="4"/>
    <n v="17"/>
    <x v="0"/>
    <n v="36026"/>
    <n v="2"/>
    <n v="1"/>
  </r>
  <r>
    <x v="1088"/>
    <n v="1013"/>
    <n v="30"/>
    <n v="399"/>
    <n v="60"/>
    <n v="46"/>
    <n v="153"/>
    <x v="0"/>
    <n v="60896"/>
    <n v="0"/>
    <n v="1"/>
  </r>
  <r>
    <x v="1089"/>
    <n v="459"/>
    <n v="0"/>
    <n v="24"/>
    <n v="6"/>
    <n v="0"/>
    <n v="4"/>
    <x v="1"/>
    <n v="50611"/>
    <n v="0"/>
    <n v="1"/>
  </r>
  <r>
    <x v="1090"/>
    <n v="10"/>
    <n v="4"/>
    <n v="7"/>
    <n v="0"/>
    <n v="6"/>
    <n v="3"/>
    <x v="0"/>
    <n v="35684"/>
    <n v="1"/>
    <n v="0"/>
  </r>
  <r>
    <x v="1091"/>
    <n v="948"/>
    <n v="10"/>
    <n v="86"/>
    <n v="13"/>
    <n v="21"/>
    <n v="21"/>
    <x v="1"/>
    <n v="64108"/>
    <n v="0"/>
    <n v="1"/>
  </r>
  <r>
    <x v="1092"/>
    <n v="56"/>
    <n v="0"/>
    <n v="9"/>
    <n v="0"/>
    <n v="0"/>
    <n v="3"/>
    <x v="1"/>
    <n v="44635"/>
    <n v="1"/>
    <n v="1"/>
  </r>
  <r>
    <x v="1093"/>
    <n v="563"/>
    <n v="50"/>
    <n v="774"/>
    <n v="28"/>
    <n v="31"/>
    <n v="187"/>
    <x v="1"/>
    <n v="81702"/>
    <n v="0"/>
    <n v="0"/>
  </r>
  <r>
    <x v="1094"/>
    <n v="1"/>
    <n v="4"/>
    <n v="3"/>
    <n v="8"/>
    <n v="9"/>
    <n v="7"/>
    <x v="0"/>
    <n v="25443"/>
    <n v="1"/>
    <n v="0"/>
  </r>
  <r>
    <x v="1095"/>
    <n v="110"/>
    <n v="0"/>
    <n v="5"/>
    <n v="2"/>
    <n v="0"/>
    <n v="3"/>
    <x v="0"/>
    <n v="40548"/>
    <n v="0"/>
    <n v="1"/>
  </r>
  <r>
    <x v="1096"/>
    <n v="674"/>
    <n v="168"/>
    <n v="108"/>
    <n v="192"/>
    <n v="42"/>
    <n v="231"/>
    <x v="0"/>
    <n v="80763"/>
    <n v="0"/>
    <n v="0"/>
  </r>
  <r>
    <x v="1097"/>
    <n v="611"/>
    <n v="76"/>
    <n v="749"/>
    <n v="59"/>
    <n v="45"/>
    <n v="26"/>
    <x v="0"/>
    <n v="84117"/>
    <n v="0"/>
    <n v="0"/>
  </r>
  <r>
    <x v="1098"/>
    <n v="81"/>
    <n v="1"/>
    <n v="31"/>
    <n v="2"/>
    <n v="1"/>
    <n v="0"/>
    <x v="0"/>
    <n v="49187"/>
    <n v="0"/>
    <n v="1"/>
  </r>
  <r>
    <x v="1099"/>
    <n v="16"/>
    <n v="7"/>
    <n v="23"/>
    <n v="0"/>
    <n v="8"/>
    <n v="6"/>
    <x v="1"/>
    <n v="31788"/>
    <n v="1"/>
    <n v="0"/>
  </r>
  <r>
    <x v="1100"/>
    <n v="12"/>
    <n v="0"/>
    <n v="13"/>
    <n v="2"/>
    <n v="0"/>
    <n v="10"/>
    <x v="0"/>
    <n v="27100"/>
    <n v="1"/>
    <n v="0"/>
  </r>
  <r>
    <x v="1101"/>
    <n v="46"/>
    <n v="4"/>
    <n v="36"/>
    <n v="2"/>
    <n v="2"/>
    <n v="1"/>
    <x v="0"/>
    <n v="61917"/>
    <n v="1"/>
    <n v="1"/>
  </r>
  <r>
    <x v="1102"/>
    <n v="4"/>
    <n v="2"/>
    <n v="12"/>
    <n v="7"/>
    <n v="5"/>
    <n v="26"/>
    <x v="1"/>
    <n v="25959"/>
    <n v="1"/>
    <n v="1"/>
  </r>
  <r>
    <x v="1103"/>
    <n v="115"/>
    <n v="27"/>
    <n v="44"/>
    <n v="4"/>
    <n v="146"/>
    <n v="139"/>
    <x v="0"/>
    <n v="59754"/>
    <n v="0"/>
    <n v="1"/>
  </r>
  <r>
    <x v="1104"/>
    <n v="2"/>
    <n v="3"/>
    <n v="10"/>
    <n v="11"/>
    <n v="2"/>
    <n v="10"/>
    <x v="1"/>
    <n v="31163"/>
    <n v="1"/>
    <n v="0"/>
  </r>
  <r>
    <x v="1105"/>
    <n v="46"/>
    <n v="0"/>
    <n v="7"/>
    <n v="0"/>
    <n v="0"/>
    <n v="2"/>
    <x v="0"/>
    <n v="39453"/>
    <n v="1"/>
    <n v="0"/>
  </r>
  <r>
    <x v="1106"/>
    <n v="1074"/>
    <n v="0"/>
    <n v="69"/>
    <n v="0"/>
    <n v="0"/>
    <n v="46"/>
    <x v="0"/>
    <n v="65169"/>
    <n v="0"/>
    <n v="0"/>
  </r>
  <r>
    <x v="1107"/>
    <n v="123"/>
    <n v="17"/>
    <n v="171"/>
    <n v="39"/>
    <n v="0"/>
    <n v="30"/>
    <x v="0"/>
    <n v="49854"/>
    <n v="1"/>
    <n v="0"/>
  </r>
  <r>
    <x v="1108"/>
    <n v="402"/>
    <n v="35"/>
    <n v="106"/>
    <n v="101"/>
    <n v="77"/>
    <n v="42"/>
    <x v="0"/>
    <n v="58582"/>
    <n v="0"/>
    <n v="1"/>
  </r>
  <r>
    <x v="1109"/>
    <n v="56"/>
    <n v="10"/>
    <n v="92"/>
    <n v="19"/>
    <n v="7"/>
    <n v="25"/>
    <x v="0"/>
    <n v="46053"/>
    <n v="1"/>
    <n v="0"/>
  </r>
  <r>
    <x v="1110"/>
    <n v="25"/>
    <n v="6"/>
    <n v="16"/>
    <n v="20"/>
    <n v="0"/>
    <n v="5"/>
    <x v="0"/>
    <n v="31158"/>
    <n v="1"/>
    <n v="0"/>
  </r>
  <r>
    <x v="1111"/>
    <n v="408"/>
    <n v="0"/>
    <n v="21"/>
    <n v="0"/>
    <n v="0"/>
    <n v="17"/>
    <x v="0"/>
    <n v="46374"/>
    <n v="0"/>
    <n v="1"/>
  </r>
  <r>
    <x v="1112"/>
    <n v="560"/>
    <n v="21"/>
    <n v="442"/>
    <n v="29"/>
    <n v="44"/>
    <n v="29"/>
    <x v="0"/>
    <n v="77437"/>
    <n v="0"/>
    <n v="0"/>
  </r>
  <r>
    <x v="1113"/>
    <n v="2"/>
    <n v="7"/>
    <n v="11"/>
    <n v="16"/>
    <n v="12"/>
    <n v="27"/>
    <x v="0"/>
    <n v="14188"/>
    <n v="0"/>
    <n v="0"/>
  </r>
  <r>
    <x v="1114"/>
    <n v="35"/>
    <n v="0"/>
    <n v="2"/>
    <n v="0"/>
    <n v="0"/>
    <n v="2"/>
    <x v="1"/>
    <n v="32303"/>
    <n v="0"/>
    <n v="1"/>
  </r>
  <r>
    <x v="1115"/>
    <n v="7"/>
    <n v="0"/>
    <n v="1"/>
    <n v="0"/>
    <n v="0"/>
    <n v="0"/>
    <x v="0"/>
    <n v="34578"/>
    <n v="2"/>
    <n v="1"/>
  </r>
  <r>
    <x v="1116"/>
    <n v="36"/>
    <n v="0"/>
    <n v="12"/>
    <n v="2"/>
    <n v="2"/>
    <n v="10"/>
    <x v="1"/>
    <n v="35246"/>
    <n v="1"/>
    <n v="1"/>
  </r>
  <r>
    <x v="1117"/>
    <n v="899"/>
    <n v="102"/>
    <n v="838"/>
    <n v="133"/>
    <n v="102"/>
    <n v="40"/>
    <x v="1"/>
    <n v="86857"/>
    <n v="0"/>
    <n v="0"/>
  </r>
  <r>
    <x v="1118"/>
    <n v="1017"/>
    <n v="50"/>
    <n v="500"/>
    <n v="65"/>
    <n v="50"/>
    <n v="133"/>
    <x v="0"/>
    <n v="77870"/>
    <n v="0"/>
    <n v="1"/>
  </r>
  <r>
    <x v="1119"/>
    <n v="493"/>
    <n v="183"/>
    <n v="352"/>
    <n v="184"/>
    <n v="23"/>
    <n v="28"/>
    <x v="0"/>
    <n v="92556"/>
    <n v="0"/>
    <n v="0"/>
  </r>
  <r>
    <x v="1120"/>
    <n v="21"/>
    <n v="2"/>
    <n v="28"/>
    <n v="3"/>
    <n v="2"/>
    <n v="9"/>
    <x v="1"/>
    <n v="14849"/>
    <n v="1"/>
    <n v="0"/>
  </r>
  <r>
    <x v="1121"/>
    <n v="247"/>
    <n v="8"/>
    <n v="160"/>
    <n v="6"/>
    <n v="8"/>
    <n v="65"/>
    <x v="0"/>
    <n v="51479"/>
    <n v="1"/>
    <n v="1"/>
  </r>
  <r>
    <x v="1122"/>
    <n v="606"/>
    <n v="7"/>
    <n v="155"/>
    <n v="10"/>
    <n v="0"/>
    <n v="54"/>
    <x v="0"/>
    <n v="60894"/>
    <n v="0"/>
    <n v="1"/>
  </r>
  <r>
    <x v="1123"/>
    <n v="2"/>
    <n v="1"/>
    <n v="6"/>
    <n v="2"/>
    <n v="1"/>
    <n v="1"/>
    <x v="1"/>
    <n v="40246"/>
    <n v="1"/>
    <n v="0"/>
  </r>
  <r>
    <x v="1124"/>
    <n v="312"/>
    <n v="21"/>
    <n v="206"/>
    <n v="102"/>
    <n v="92"/>
    <n v="149"/>
    <x v="1"/>
    <n v="69901"/>
    <n v="0"/>
    <n v="1"/>
  </r>
  <r>
    <x v="1125"/>
    <n v="724"/>
    <n v="74"/>
    <n v="929"/>
    <n v="97"/>
    <n v="55"/>
    <n v="130"/>
    <x v="0"/>
    <n v="81205"/>
    <n v="0"/>
    <n v="0"/>
  </r>
  <r>
    <x v="1126"/>
    <n v="359"/>
    <n v="0"/>
    <n v="134"/>
    <n v="13"/>
    <n v="26"/>
    <n v="123"/>
    <x v="0"/>
    <n v="47703"/>
    <n v="0"/>
    <n v="1"/>
  </r>
  <r>
    <x v="1127"/>
    <n v="97"/>
    <n v="3"/>
    <n v="66"/>
    <n v="12"/>
    <n v="7"/>
    <n v="34"/>
    <x v="0"/>
    <n v="48186"/>
    <n v="1"/>
    <n v="0"/>
  </r>
  <r>
    <x v="1128"/>
    <n v="2"/>
    <n v="4"/>
    <n v="9"/>
    <n v="10"/>
    <n v="5"/>
    <n v="16"/>
    <x v="0"/>
    <n v="19107"/>
    <n v="1"/>
    <n v="0"/>
  </r>
  <r>
    <x v="1129"/>
    <n v="73"/>
    <n v="28"/>
    <n v="217"/>
    <n v="10"/>
    <n v="24"/>
    <n v="115"/>
    <x v="0"/>
    <n v="24401"/>
    <n v="0"/>
    <n v="0"/>
  </r>
  <r>
    <x v="1130"/>
    <n v="240"/>
    <n v="90"/>
    <n v="216"/>
    <n v="63"/>
    <n v="6"/>
    <n v="24"/>
    <x v="1"/>
    <n v="60689"/>
    <n v="0"/>
    <n v="1"/>
  </r>
  <r>
    <x v="1131"/>
    <n v="138"/>
    <n v="120"/>
    <n v="204"/>
    <n v="16"/>
    <n v="126"/>
    <n v="60"/>
    <x v="0"/>
    <n v="77981"/>
    <n v="1"/>
    <n v="0"/>
  </r>
  <r>
    <x v="1132"/>
    <n v="158"/>
    <n v="6"/>
    <n v="45"/>
    <n v="8"/>
    <n v="2"/>
    <n v="2"/>
    <x v="0"/>
    <n v="34968"/>
    <n v="1"/>
    <n v="0"/>
  </r>
  <r>
    <x v="1133"/>
    <n v="272"/>
    <n v="7"/>
    <n v="80"/>
    <n v="20"/>
    <n v="7"/>
    <n v="11"/>
    <x v="0"/>
    <n v="73395"/>
    <n v="0"/>
    <n v="0"/>
  </r>
  <r>
    <x v="1134"/>
    <n v="28"/>
    <n v="0"/>
    <n v="6"/>
    <n v="1"/>
    <n v="1"/>
    <n v="13"/>
    <x v="0"/>
    <n v="5648"/>
    <n v="1"/>
    <n v="1"/>
  </r>
  <r>
    <x v="1135"/>
    <n v="8"/>
    <n v="0"/>
    <n v="8"/>
    <n v="0"/>
    <n v="0"/>
    <n v="2"/>
    <x v="0"/>
    <n v="33444"/>
    <n v="1"/>
    <n v="1"/>
  </r>
  <r>
    <x v="1136"/>
    <n v="895"/>
    <n v="10"/>
    <n v="101"/>
    <n v="13"/>
    <n v="0"/>
    <n v="152"/>
    <x v="0"/>
    <n v="58512"/>
    <n v="0"/>
    <n v="1"/>
  </r>
  <r>
    <x v="1137"/>
    <n v="210"/>
    <n v="0"/>
    <n v="6"/>
    <n v="0"/>
    <n v="0"/>
    <n v="2"/>
    <x v="0"/>
    <n v="40344"/>
    <n v="0"/>
    <n v="1"/>
  </r>
  <r>
    <x v="1138"/>
    <n v="19"/>
    <n v="3"/>
    <n v="19"/>
    <n v="3"/>
    <n v="1"/>
    <n v="3"/>
    <x v="0"/>
    <n v="37401"/>
    <n v="1"/>
    <n v="0"/>
  </r>
  <r>
    <x v="1139"/>
    <n v="547"/>
    <n v="7"/>
    <n v="140"/>
    <n v="0"/>
    <n v="7"/>
    <n v="63"/>
    <x v="1"/>
    <n v="55284"/>
    <n v="0"/>
    <n v="1"/>
  </r>
  <r>
    <x v="1140"/>
    <n v="43"/>
    <n v="5"/>
    <n v="28"/>
    <n v="7"/>
    <n v="6"/>
    <n v="33"/>
    <x v="0"/>
    <n v="38232"/>
    <n v="1"/>
    <n v="1"/>
  </r>
  <r>
    <x v="1141"/>
    <n v="143"/>
    <n v="6"/>
    <n v="52"/>
    <n v="11"/>
    <n v="8"/>
    <n v="17"/>
    <x v="1"/>
    <n v="57338"/>
    <n v="0"/>
    <n v="1"/>
  </r>
  <r>
    <x v="1142"/>
    <n v="76"/>
    <n v="14"/>
    <n v="74"/>
    <n v="13"/>
    <n v="5"/>
    <n v="10"/>
    <x v="1"/>
    <n v="42618"/>
    <n v="1"/>
    <n v="0"/>
  </r>
  <r>
    <x v="1143"/>
    <n v="833"/>
    <n v="33"/>
    <n v="549"/>
    <n v="151"/>
    <n v="133"/>
    <n v="233"/>
    <x v="0"/>
    <n v="72025"/>
    <n v="0"/>
    <n v="0"/>
  </r>
  <r>
    <x v="1144"/>
    <n v="144"/>
    <n v="2"/>
    <n v="99"/>
    <n v="7"/>
    <n v="2"/>
    <n v="30"/>
    <x v="1"/>
    <n v="45072"/>
    <n v="1"/>
    <n v="2"/>
  </r>
  <r>
    <x v="1145"/>
    <n v="158"/>
    <n v="0"/>
    <n v="23"/>
    <n v="0"/>
    <n v="0"/>
    <n v="18"/>
    <x v="1"/>
    <n v="35893"/>
    <n v="1"/>
    <n v="1"/>
  </r>
  <r>
    <x v="1146"/>
    <n v="8"/>
    <n v="4"/>
    <n v="20"/>
    <n v="6"/>
    <n v="3"/>
    <n v="16"/>
    <x v="0"/>
    <n v="42693"/>
    <n v="1"/>
    <n v="0"/>
  </r>
  <r>
    <x v="1147"/>
    <n v="203"/>
    <n v="0"/>
    <n v="10"/>
    <n v="0"/>
    <n v="0"/>
    <n v="2"/>
    <x v="0"/>
    <n v="45207"/>
    <n v="1"/>
    <n v="1"/>
  </r>
  <r>
    <x v="1148"/>
    <n v="26"/>
    <n v="2"/>
    <n v="19"/>
    <n v="10"/>
    <n v="5"/>
    <n v="8"/>
    <x v="0"/>
    <n v="33402"/>
    <n v="1"/>
    <n v="1"/>
  </r>
  <r>
    <x v="1149"/>
    <n v="37"/>
    <n v="0"/>
    <n v="17"/>
    <n v="0"/>
    <n v="0"/>
    <n v="3"/>
    <x v="1"/>
    <n v="40304"/>
    <n v="1"/>
    <n v="0"/>
  </r>
  <r>
    <x v="1150"/>
    <n v="80"/>
    <n v="1"/>
    <n v="37"/>
    <n v="0"/>
    <n v="1"/>
    <n v="3"/>
    <x v="1"/>
    <n v="33168"/>
    <n v="0"/>
    <n v="1"/>
  </r>
  <r>
    <x v="1151"/>
    <n v="2"/>
    <n v="2"/>
    <n v="11"/>
    <n v="10"/>
    <n v="6"/>
    <n v="12"/>
    <x v="0"/>
    <n v="10404"/>
    <n v="1"/>
    <n v="0"/>
  </r>
  <r>
    <x v="1152"/>
    <n v="752"/>
    <n v="122"/>
    <n v="476"/>
    <n v="39"/>
    <n v="153"/>
    <n v="34"/>
    <x v="1"/>
    <n v="78353"/>
    <n v="0"/>
    <n v="1"/>
  </r>
  <r>
    <x v="1153"/>
    <n v="173"/>
    <n v="2"/>
    <n v="39"/>
    <n v="3"/>
    <n v="2"/>
    <n v="47"/>
    <x v="0"/>
    <n v="48150"/>
    <n v="0"/>
    <n v="1"/>
  </r>
  <r>
    <x v="1154"/>
    <n v="165"/>
    <n v="3"/>
    <n v="147"/>
    <n v="4"/>
    <n v="24"/>
    <n v="41"/>
    <x v="1"/>
    <n v="39552"/>
    <n v="1"/>
    <n v="1"/>
  </r>
  <r>
    <x v="1155"/>
    <n v="614"/>
    <n v="35"/>
    <n v="160"/>
    <n v="58"/>
    <n v="35"/>
    <n v="35"/>
    <x v="0"/>
    <n v="56775"/>
    <n v="0"/>
    <n v="1"/>
  </r>
  <r>
    <x v="1156"/>
    <n v="45"/>
    <n v="3"/>
    <n v="9"/>
    <n v="4"/>
    <n v="4"/>
    <n v="7"/>
    <x v="0"/>
    <n v="37126"/>
    <n v="1"/>
    <n v="0"/>
  </r>
  <r>
    <x v="1157"/>
    <n v="1168"/>
    <n v="92"/>
    <n v="408"/>
    <n v="72"/>
    <n v="129"/>
    <n v="55"/>
    <x v="0"/>
    <n v="89120"/>
    <n v="0"/>
    <n v="0"/>
  </r>
  <r>
    <x v="1158"/>
    <n v="1142"/>
    <n v="51"/>
    <n v="415"/>
    <n v="90"/>
    <n v="69"/>
    <n v="37"/>
    <x v="0"/>
    <n v="73450"/>
    <n v="0"/>
    <n v="0"/>
  </r>
  <r>
    <x v="1159"/>
    <n v="1171"/>
    <n v="43"/>
    <n v="219"/>
    <n v="19"/>
    <n v="14"/>
    <n v="47"/>
    <x v="0"/>
    <n v="57036"/>
    <n v="0"/>
    <n v="1"/>
  </r>
  <r>
    <x v="1160"/>
    <n v="546"/>
    <n v="72"/>
    <n v="376"/>
    <n v="94"/>
    <n v="145"/>
    <n v="72"/>
    <x v="0"/>
    <n v="71626"/>
    <n v="0"/>
    <n v="0"/>
  </r>
  <r>
    <x v="1161"/>
    <n v="986"/>
    <n v="36"/>
    <n v="168"/>
    <n v="16"/>
    <n v="0"/>
    <n v="108"/>
    <x v="0"/>
    <n v="64504"/>
    <n v="1"/>
    <n v="2"/>
  </r>
  <r>
    <x v="1162"/>
    <n v="918"/>
    <n v="57"/>
    <n v="842"/>
    <n v="99"/>
    <n v="38"/>
    <n v="133"/>
    <x v="1"/>
    <n v="75345"/>
    <n v="0"/>
    <n v="0"/>
  </r>
  <r>
    <x v="1163"/>
    <n v="445"/>
    <n v="25"/>
    <n v="706"/>
    <n v="80"/>
    <n v="76"/>
    <n v="48"/>
    <x v="0"/>
    <n v="80395"/>
    <n v="0"/>
    <n v="0"/>
  </r>
  <r>
    <x v="1164"/>
    <n v="313"/>
    <n v="8"/>
    <n v="104"/>
    <n v="6"/>
    <n v="4"/>
    <n v="126"/>
    <x v="1"/>
    <n v="50664"/>
    <n v="1"/>
    <n v="1"/>
  </r>
  <r>
    <x v="1165"/>
    <n v="40"/>
    <n v="15"/>
    <n v="15"/>
    <n v="17"/>
    <n v="6"/>
    <n v="7"/>
    <x v="0"/>
    <n v="42192"/>
    <n v="0"/>
    <n v="0"/>
  </r>
  <r>
    <x v="1166"/>
    <n v="19"/>
    <n v="13"/>
    <n v="18"/>
    <n v="10"/>
    <n v="7"/>
    <n v="8"/>
    <x v="0"/>
    <n v="48985"/>
    <n v="0"/>
    <n v="1"/>
  </r>
  <r>
    <x v="1167"/>
    <n v="10"/>
    <n v="0"/>
    <n v="3"/>
    <n v="0"/>
    <n v="0"/>
    <n v="4"/>
    <x v="1"/>
    <n v="36736"/>
    <n v="1"/>
    <n v="1"/>
  </r>
  <r>
    <x v="1168"/>
    <n v="141"/>
    <n v="70"/>
    <n v="106"/>
    <n v="72"/>
    <n v="19"/>
    <n v="23"/>
    <x v="0"/>
    <n v="70829"/>
    <n v="1"/>
    <n v="1"/>
  </r>
  <r>
    <x v="1169"/>
    <n v="191"/>
    <n v="9"/>
    <n v="97"/>
    <n v="0"/>
    <n v="6"/>
    <n v="82"/>
    <x v="1"/>
    <n v="49494"/>
    <n v="1"/>
    <n v="0"/>
  </r>
  <r>
    <x v="1170"/>
    <n v="629"/>
    <n v="17"/>
    <n v="177"/>
    <n v="69"/>
    <n v="0"/>
    <n v="8"/>
    <x v="0"/>
    <n v="65073"/>
    <n v="0"/>
    <n v="0"/>
  </r>
  <r>
    <x v="1171"/>
    <n v="5"/>
    <n v="2"/>
    <n v="8"/>
    <n v="2"/>
    <n v="2"/>
    <n v="9"/>
    <x v="1"/>
    <n v="25818"/>
    <n v="1"/>
    <n v="0"/>
  </r>
  <r>
    <x v="1172"/>
    <n v="33"/>
    <n v="0"/>
    <n v="5"/>
    <n v="0"/>
    <n v="0"/>
    <n v="15"/>
    <x v="1"/>
    <n v="45146"/>
    <n v="1"/>
    <n v="1"/>
  </r>
  <r>
    <x v="1173"/>
    <n v="76"/>
    <n v="10"/>
    <n v="56"/>
    <n v="3"/>
    <n v="1"/>
    <n v="23"/>
    <x v="0"/>
    <n v="33454"/>
    <n v="1"/>
    <n v="0"/>
  </r>
  <r>
    <x v="1174"/>
    <n v="488"/>
    <n v="21"/>
    <n v="238"/>
    <n v="56"/>
    <n v="108"/>
    <n v="28"/>
    <x v="0"/>
    <n v="52203"/>
    <n v="0"/>
    <n v="0"/>
  </r>
  <r>
    <x v="1175"/>
    <n v="11"/>
    <n v="4"/>
    <n v="20"/>
    <n v="10"/>
    <n v="3"/>
    <n v="5"/>
    <x v="0"/>
    <n v="26646"/>
    <n v="1"/>
    <n v="0"/>
  </r>
  <r>
    <x v="1176"/>
    <n v="561"/>
    <n v="64"/>
    <n v="785"/>
    <n v="84"/>
    <n v="128"/>
    <n v="48"/>
    <x v="0"/>
    <n v="68462"/>
    <n v="0"/>
    <n v="0"/>
  </r>
  <r>
    <x v="1177"/>
    <n v="37"/>
    <n v="0"/>
    <n v="17"/>
    <n v="0"/>
    <n v="0"/>
    <n v="3"/>
    <x v="1"/>
    <n v="27238"/>
    <n v="1"/>
    <n v="1"/>
  </r>
  <r>
    <x v="1178"/>
    <n v="340"/>
    <n v="108"/>
    <n v="185"/>
    <n v="130"/>
    <n v="38"/>
    <n v="100"/>
    <x v="0"/>
    <n v="75903"/>
    <n v="0"/>
    <n v="1"/>
  </r>
  <r>
    <x v="1179"/>
    <n v="22"/>
    <n v="2"/>
    <n v="14"/>
    <n v="0"/>
    <n v="1"/>
    <n v="10"/>
    <x v="1"/>
    <n v="38643"/>
    <n v="1"/>
    <n v="1"/>
  </r>
  <r>
    <x v="1180"/>
    <n v="499"/>
    <n v="149"/>
    <n v="815"/>
    <n v="173"/>
    <n v="49"/>
    <n v="49"/>
    <x v="0"/>
    <n v="74485"/>
    <n v="0"/>
    <n v="0"/>
  </r>
  <r>
    <x v="1181"/>
    <n v="34"/>
    <n v="3"/>
    <n v="29"/>
    <n v="0"/>
    <n v="4"/>
    <n v="10"/>
    <x v="1"/>
    <n v="32557"/>
    <n v="1"/>
    <n v="0"/>
  </r>
  <r>
    <x v="1182"/>
    <n v="18"/>
    <n v="0"/>
    <n v="9"/>
    <n v="0"/>
    <n v="1"/>
    <n v="11"/>
    <x v="0"/>
    <n v="37395"/>
    <n v="1"/>
    <n v="0"/>
  </r>
  <r>
    <x v="1183"/>
    <n v="14"/>
    <n v="10"/>
    <n v="29"/>
    <n v="4"/>
    <n v="7"/>
    <n v="15"/>
    <x v="0"/>
    <n v="43815"/>
    <n v="1"/>
    <n v="0"/>
  </r>
  <r>
    <x v="1184"/>
    <n v="10"/>
    <n v="0"/>
    <n v="10"/>
    <n v="3"/>
    <n v="1"/>
    <n v="7"/>
    <x v="0"/>
    <n v="31353"/>
    <n v="1"/>
    <n v="1"/>
  </r>
  <r>
    <x v="1185"/>
    <n v="457"/>
    <n v="4"/>
    <n v="29"/>
    <n v="0"/>
    <n v="0"/>
    <n v="9"/>
    <x v="0"/>
    <n v="59594"/>
    <n v="0"/>
    <n v="1"/>
  </r>
  <r>
    <x v="1186"/>
    <n v="110"/>
    <n v="5"/>
    <n v="59"/>
    <n v="7"/>
    <n v="1"/>
    <n v="7"/>
    <x v="1"/>
    <n v="44421"/>
    <n v="1"/>
    <n v="1"/>
  </r>
  <r>
    <x v="1187"/>
    <n v="507"/>
    <n v="19"/>
    <n v="364"/>
    <n v="25"/>
    <n v="47"/>
    <n v="9"/>
    <x v="0"/>
    <n v="65991"/>
    <n v="0"/>
    <n v="1"/>
  </r>
  <r>
    <x v="1188"/>
    <n v="81"/>
    <n v="4"/>
    <n v="33"/>
    <n v="5"/>
    <n v="2"/>
    <n v="291"/>
    <x v="1"/>
    <n v="7144"/>
    <n v="0"/>
    <n v="2"/>
  </r>
  <r>
    <x v="1189"/>
    <n v="378"/>
    <n v="14"/>
    <n v="68"/>
    <n v="19"/>
    <n v="14"/>
    <n v="14"/>
    <x v="0"/>
    <n v="59292"/>
    <n v="0"/>
    <n v="1"/>
  </r>
  <r>
    <x v="1190"/>
    <n v="703"/>
    <n v="102"/>
    <n v="601"/>
    <n v="0"/>
    <n v="58"/>
    <n v="43"/>
    <x v="1"/>
    <n v="73892"/>
    <n v="0"/>
    <n v="0"/>
  </r>
  <r>
    <x v="1191"/>
    <n v="1276"/>
    <n v="24"/>
    <n v="746"/>
    <n v="94"/>
    <n v="29"/>
    <n v="48"/>
    <x v="1"/>
    <n v="91712"/>
    <n v="0"/>
    <n v="0"/>
  </r>
  <r>
    <x v="1192"/>
    <n v="710"/>
    <n v="15"/>
    <n v="30"/>
    <n v="20"/>
    <n v="0"/>
    <n v="0"/>
    <x v="1"/>
    <n v="54356"/>
    <n v="0"/>
    <n v="1"/>
  </r>
  <r>
    <x v="1193"/>
    <n v="138"/>
    <n v="39"/>
    <n v="63"/>
    <n v="55"/>
    <n v="18"/>
    <n v="21"/>
    <x v="0"/>
    <n v="70545"/>
    <n v="0"/>
    <n v="1"/>
  </r>
  <r>
    <x v="1194"/>
    <n v="255"/>
    <n v="43"/>
    <n v="134"/>
    <n v="37"/>
    <n v="14"/>
    <n v="24"/>
    <x v="1"/>
    <n v="60482"/>
    <n v="0"/>
    <n v="1"/>
  </r>
  <r>
    <x v="1195"/>
    <n v="984"/>
    <n v="51"/>
    <n v="432"/>
    <n v="180"/>
    <n v="120"/>
    <n v="190"/>
    <x v="0"/>
    <n v="82384"/>
    <n v="0"/>
    <n v="0"/>
  </r>
  <r>
    <x v="1196"/>
    <n v="270"/>
    <n v="31"/>
    <n v="88"/>
    <n v="11"/>
    <n v="48"/>
    <n v="22"/>
    <x v="0"/>
    <n v="58025"/>
    <n v="0"/>
    <n v="1"/>
  </r>
  <r>
    <x v="1197"/>
    <n v="816"/>
    <n v="42"/>
    <n v="450"/>
    <n v="55"/>
    <n v="56"/>
    <n v="154"/>
    <x v="1"/>
    <n v="72217"/>
    <n v="0"/>
    <n v="0"/>
  </r>
  <r>
    <x v="1198"/>
    <n v="28"/>
    <n v="9"/>
    <n v="37"/>
    <n v="12"/>
    <n v="7"/>
    <n v="13"/>
    <x v="0"/>
    <n v="35322"/>
    <n v="1"/>
    <n v="2"/>
  </r>
  <r>
    <x v="1199"/>
    <n v="53"/>
    <n v="0"/>
    <n v="8"/>
    <n v="0"/>
    <n v="0"/>
    <n v="2"/>
    <x v="0"/>
    <n v="50870"/>
    <n v="0"/>
    <n v="1"/>
  </r>
  <r>
    <x v="1200"/>
    <n v="1076"/>
    <n v="16"/>
    <n v="417"/>
    <n v="42"/>
    <n v="48"/>
    <n v="16"/>
    <x v="0"/>
    <n v="83790"/>
    <n v="0"/>
    <n v="0"/>
  </r>
  <r>
    <x v="1201"/>
    <n v="673"/>
    <n v="0"/>
    <n v="199"/>
    <n v="37"/>
    <n v="47"/>
    <n v="26"/>
    <x v="1"/>
    <n v="55686"/>
    <n v="0"/>
    <n v="1"/>
  </r>
  <r>
    <x v="1202"/>
    <n v="14"/>
    <n v="0"/>
    <n v="16"/>
    <n v="0"/>
    <n v="0"/>
    <n v="6"/>
    <x v="0"/>
    <n v="34728"/>
    <n v="1"/>
    <n v="0"/>
  </r>
  <r>
    <x v="1203"/>
    <n v="135"/>
    <n v="0"/>
    <n v="10"/>
    <n v="0"/>
    <n v="4"/>
    <n v="36"/>
    <x v="0"/>
    <n v="59385"/>
    <n v="1"/>
    <n v="1"/>
  </r>
  <r>
    <x v="1204"/>
    <n v="1311"/>
    <n v="0"/>
    <n v="359"/>
    <n v="46"/>
    <n v="89"/>
    <n v="17"/>
    <x v="0"/>
    <n v="82333"/>
    <n v="0"/>
    <n v="0"/>
  </r>
  <r>
    <x v="1205"/>
    <n v="652"/>
    <n v="8"/>
    <n v="158"/>
    <n v="21"/>
    <n v="0"/>
    <n v="142"/>
    <x v="0"/>
    <n v="54233"/>
    <n v="0"/>
    <n v="1"/>
  </r>
  <r>
    <x v="1206"/>
    <n v="324"/>
    <n v="48"/>
    <n v="186"/>
    <n v="39"/>
    <n v="18"/>
    <n v="198"/>
    <x v="1"/>
    <n v="42564"/>
    <n v="0"/>
    <n v="1"/>
  </r>
  <r>
    <x v="1207"/>
    <n v="410"/>
    <n v="73"/>
    <n v="747"/>
    <n v="76"/>
    <n v="161"/>
    <n v="30"/>
    <x v="0"/>
    <n v="91820"/>
    <n v="0"/>
    <n v="0"/>
  </r>
  <r>
    <x v="1208"/>
    <n v="30"/>
    <n v="8"/>
    <n v="12"/>
    <n v="8"/>
    <n v="8"/>
    <n v="12"/>
    <x v="0"/>
    <n v="33039"/>
    <n v="1"/>
    <n v="0"/>
  </r>
  <r>
    <x v="1209"/>
    <n v="258"/>
    <n v="107"/>
    <n v="291"/>
    <n v="84"/>
    <n v="37"/>
    <n v="86"/>
    <x v="0"/>
    <n v="65031"/>
    <n v="0"/>
    <n v="1"/>
  </r>
  <r>
    <x v="1210"/>
    <n v="768"/>
    <n v="44"/>
    <n v="561"/>
    <n v="77"/>
    <n v="44"/>
    <n v="14"/>
    <x v="1"/>
    <n v="70893"/>
    <n v="0"/>
    <n v="0"/>
  </r>
  <r>
    <x v="1211"/>
    <n v="565"/>
    <n v="32"/>
    <n v="435"/>
    <n v="28"/>
    <n v="32"/>
    <n v="54"/>
    <x v="0"/>
    <n v="65777"/>
    <n v="0"/>
    <n v="0"/>
  </r>
  <r>
    <x v="1212"/>
    <n v="13"/>
    <n v="2"/>
    <n v="14"/>
    <n v="8"/>
    <n v="7"/>
    <n v="4"/>
    <x v="0"/>
    <n v="29315"/>
    <n v="1"/>
    <n v="1"/>
  </r>
  <r>
    <x v="1213"/>
    <n v="3"/>
    <n v="3"/>
    <n v="7"/>
    <n v="0"/>
    <n v="2"/>
    <n v="11"/>
    <x v="1"/>
    <n v="29938"/>
    <n v="1"/>
    <n v="0"/>
  </r>
  <r>
    <x v="1214"/>
    <n v="835"/>
    <n v="73"/>
    <n v="380"/>
    <n v="114"/>
    <n v="73"/>
    <n v="43"/>
    <x v="0"/>
    <n v="79823"/>
    <n v="0"/>
    <n v="1"/>
  </r>
  <r>
    <x v="1215"/>
    <n v="1"/>
    <n v="1"/>
    <n v="4"/>
    <n v="11"/>
    <n v="9"/>
    <n v="10"/>
    <x v="1"/>
    <n v="15862"/>
    <n v="1"/>
    <n v="0"/>
  </r>
  <r>
    <x v="1216"/>
    <n v="621"/>
    <n v="73"/>
    <n v="414"/>
    <n v="78"/>
    <n v="48"/>
    <n v="85"/>
    <x v="1"/>
    <n v="61787"/>
    <n v="0"/>
    <n v="0"/>
  </r>
  <r>
    <x v="1217"/>
    <n v="5"/>
    <n v="2"/>
    <n v="16"/>
    <n v="3"/>
    <n v="2"/>
    <n v="19"/>
    <x v="0"/>
    <n v="15345"/>
    <n v="1"/>
    <n v="0"/>
  </r>
  <r>
    <x v="1218"/>
    <n v="20"/>
    <n v="0"/>
    <n v="14"/>
    <n v="7"/>
    <n v="3"/>
    <n v="1"/>
    <x v="0"/>
    <n v="44359"/>
    <n v="1"/>
    <n v="1"/>
  </r>
  <r>
    <x v="1219"/>
    <n v="230"/>
    <n v="35"/>
    <n v="75"/>
    <n v="63"/>
    <n v="57"/>
    <n v="31"/>
    <x v="1"/>
    <n v="59052"/>
    <n v="0"/>
    <n v="1"/>
  </r>
  <r>
    <x v="1220"/>
    <n v="10"/>
    <n v="12"/>
    <n v="12"/>
    <n v="25"/>
    <n v="1"/>
    <n v="20"/>
    <x v="0"/>
    <n v="30390"/>
    <n v="0"/>
    <n v="0"/>
  </r>
  <r>
    <x v="1221"/>
    <n v="223"/>
    <n v="2"/>
    <n v="31"/>
    <n v="0"/>
    <n v="2"/>
    <n v="39"/>
    <x v="0"/>
    <n v="36930"/>
    <n v="0"/>
    <n v="1"/>
  </r>
  <r>
    <x v="1222"/>
    <n v="191"/>
    <n v="56"/>
    <n v="139"/>
    <n v="51"/>
    <n v="8"/>
    <n v="100"/>
    <x v="1"/>
    <n v="57537"/>
    <n v="1"/>
    <n v="0"/>
  </r>
  <r>
    <x v="1223"/>
    <n v="67"/>
    <n v="1"/>
    <n v="20"/>
    <n v="0"/>
    <n v="2"/>
    <n v="31"/>
    <x v="1"/>
    <n v="47570"/>
    <n v="1"/>
    <n v="1"/>
  </r>
  <r>
    <x v="1224"/>
    <n v="25"/>
    <n v="0"/>
    <n v="11"/>
    <n v="3"/>
    <n v="0"/>
    <n v="15"/>
    <x v="0"/>
    <n v="48794"/>
    <n v="1"/>
    <n v="1"/>
  </r>
  <r>
    <x v="1225"/>
    <n v="26"/>
    <n v="0"/>
    <n v="15"/>
    <n v="2"/>
    <n v="1"/>
    <n v="2"/>
    <x v="0"/>
    <n v="32892"/>
    <n v="1"/>
    <n v="0"/>
  </r>
  <r>
    <x v="1226"/>
    <n v="909"/>
    <n v="12"/>
    <n v="278"/>
    <n v="0"/>
    <n v="12"/>
    <n v="242"/>
    <x v="1"/>
    <n v="71022"/>
    <n v="0"/>
    <n v="1"/>
  </r>
  <r>
    <x v="1227"/>
    <n v="42"/>
    <n v="0"/>
    <n v="17"/>
    <n v="0"/>
    <n v="0"/>
    <n v="18"/>
    <x v="0"/>
    <n v="52190"/>
    <n v="1"/>
    <n v="1"/>
  </r>
  <r>
    <x v="1228"/>
    <n v="7"/>
    <n v="10"/>
    <n v="13"/>
    <n v="16"/>
    <n v="0"/>
    <n v="4"/>
    <x v="0"/>
    <n v="18393"/>
    <n v="1"/>
    <n v="0"/>
  </r>
  <r>
    <x v="1229"/>
    <n v="151"/>
    <n v="7"/>
    <n v="89"/>
    <n v="0"/>
    <n v="7"/>
    <n v="28"/>
    <x v="0"/>
    <n v="58917"/>
    <n v="1"/>
    <n v="2"/>
  </r>
  <r>
    <x v="1230"/>
    <n v="647"/>
    <n v="107"/>
    <n v="391"/>
    <n v="175"/>
    <n v="67"/>
    <n v="40"/>
    <x v="0"/>
    <n v="78285"/>
    <n v="0"/>
    <n v="0"/>
  </r>
  <r>
    <x v="1231"/>
    <n v="267"/>
    <n v="140"/>
    <n v="599"/>
    <n v="34"/>
    <n v="12"/>
    <n v="127"/>
    <x v="1"/>
    <n v="57136"/>
    <n v="0"/>
    <n v="0"/>
  </r>
  <r>
    <x v="1232"/>
    <n v="829"/>
    <n v="138"/>
    <n v="430"/>
    <n v="60"/>
    <n v="92"/>
    <n v="15"/>
    <x v="0"/>
    <n v="80573"/>
    <n v="0"/>
    <n v="0"/>
  </r>
  <r>
    <x v="1233"/>
    <n v="1050"/>
    <n v="178"/>
    <n v="555"/>
    <n v="77"/>
    <n v="138"/>
    <n v="118"/>
    <x v="0"/>
    <n v="88347"/>
    <n v="0"/>
    <n v="0"/>
  </r>
  <r>
    <x v="1234"/>
    <n v="344"/>
    <n v="189"/>
    <n v="482"/>
    <n v="50"/>
    <n v="33"/>
    <n v="172"/>
    <x v="0"/>
    <n v="86718"/>
    <n v="0"/>
    <n v="0"/>
  </r>
  <r>
    <x v="1235"/>
    <n v="12"/>
    <n v="6"/>
    <n v="2"/>
    <n v="11"/>
    <n v="2"/>
    <n v="16"/>
    <x v="0"/>
    <n v="33178"/>
    <n v="1"/>
    <n v="0"/>
  </r>
  <r>
    <x v="1236"/>
    <n v="605"/>
    <n v="10"/>
    <n v="345"/>
    <n v="84"/>
    <n v="54"/>
    <n v="32"/>
    <x v="1"/>
    <n v="76842"/>
    <n v="0"/>
    <n v="0"/>
  </r>
  <r>
    <x v="1237"/>
    <n v="42"/>
    <n v="1"/>
    <n v="18"/>
    <n v="3"/>
    <n v="0"/>
    <n v="4"/>
    <x v="0"/>
    <n v="45759"/>
    <n v="1"/>
    <n v="1"/>
  </r>
  <r>
    <x v="1238"/>
    <n v="21"/>
    <n v="8"/>
    <n v="20"/>
    <n v="15"/>
    <n v="3"/>
    <n v="9"/>
    <x v="1"/>
    <n v="41473"/>
    <n v="1"/>
    <n v="0"/>
  </r>
  <r>
    <x v="1239"/>
    <n v="789"/>
    <n v="0"/>
    <n v="133"/>
    <n v="0"/>
    <n v="28"/>
    <n v="152"/>
    <x v="0"/>
    <n v="61074"/>
    <n v="0"/>
    <n v="1"/>
  </r>
  <r>
    <x v="1240"/>
    <n v="243"/>
    <n v="101"/>
    <n v="405"/>
    <n v="29"/>
    <n v="40"/>
    <n v="40"/>
    <x v="0"/>
    <n v="66825"/>
    <n v="0"/>
    <n v="0"/>
  </r>
  <r>
    <x v="1241"/>
    <n v="527"/>
    <n v="24"/>
    <n v="230"/>
    <n v="32"/>
    <n v="24"/>
    <n v="65"/>
    <x v="1"/>
    <n v="64892"/>
    <n v="0"/>
    <n v="1"/>
  </r>
  <r>
    <x v="1242"/>
    <n v="12"/>
    <n v="4"/>
    <n v="6"/>
    <n v="11"/>
    <n v="8"/>
    <n v="16"/>
    <x v="0"/>
    <n v="28718"/>
    <n v="1"/>
    <n v="0"/>
  </r>
  <r>
    <x v="1243"/>
    <n v="581"/>
    <n v="49"/>
    <n v="157"/>
    <n v="43"/>
    <n v="8"/>
    <n v="108"/>
    <x v="1"/>
    <n v="62772"/>
    <n v="0"/>
    <n v="1"/>
  </r>
  <r>
    <x v="1244"/>
    <n v="105"/>
    <n v="0"/>
    <n v="9"/>
    <n v="2"/>
    <n v="1"/>
    <n v="4"/>
    <x v="0"/>
    <n v="57236"/>
    <n v="1"/>
    <n v="1"/>
  </r>
  <r>
    <x v="1245"/>
    <n v="14"/>
    <n v="2"/>
    <n v="30"/>
    <n v="8"/>
    <n v="2"/>
    <n v="3"/>
    <x v="1"/>
    <n v="36230"/>
    <n v="1"/>
    <n v="0"/>
  </r>
  <r>
    <x v="1246"/>
    <n v="76"/>
    <n v="0"/>
    <n v="7"/>
    <n v="0"/>
    <n v="0"/>
    <n v="16"/>
    <x v="0"/>
    <n v="38829"/>
    <n v="0"/>
    <n v="1"/>
  </r>
  <r>
    <x v="1247"/>
    <n v="293"/>
    <n v="6"/>
    <n v="23"/>
    <n v="13"/>
    <n v="6"/>
    <n v="92"/>
    <x v="0"/>
    <n v="51651"/>
    <n v="0"/>
    <n v="1"/>
  </r>
  <r>
    <x v="1248"/>
    <n v="2"/>
    <n v="5"/>
    <n v="9"/>
    <n v="28"/>
    <n v="6"/>
    <n v="28"/>
    <x v="0"/>
    <n v="19789"/>
    <n v="1"/>
    <n v="0"/>
  </r>
  <r>
    <x v="1249"/>
    <n v="16"/>
    <n v="11"/>
    <n v="15"/>
    <n v="2"/>
    <n v="0"/>
    <n v="12"/>
    <x v="1"/>
    <n v="30828"/>
    <n v="1"/>
    <n v="0"/>
  </r>
  <r>
    <x v="1250"/>
    <n v="6"/>
    <n v="2"/>
    <n v="18"/>
    <n v="2"/>
    <n v="8"/>
    <n v="14"/>
    <x v="0"/>
    <n v="39771"/>
    <n v="1"/>
    <n v="0"/>
  </r>
  <r>
    <x v="1251"/>
    <n v="0"/>
    <n v="0"/>
    <n v="1"/>
    <n v="7"/>
    <n v="4"/>
    <n v="6"/>
    <x v="0"/>
    <n v="17487"/>
    <n v="1"/>
    <n v="0"/>
  </r>
  <r>
    <x v="1252"/>
    <n v="546"/>
    <n v="0"/>
    <n v="48"/>
    <n v="0"/>
    <n v="6"/>
    <n v="6"/>
    <x v="1"/>
    <n v="67680"/>
    <n v="0"/>
    <n v="1"/>
  </r>
  <r>
    <x v="1253"/>
    <n v="613"/>
    <n v="22"/>
    <n v="319"/>
    <n v="33"/>
    <n v="102"/>
    <n v="12"/>
    <x v="0"/>
    <n v="77972"/>
    <n v="0"/>
    <n v="0"/>
  </r>
  <r>
    <x v="1254"/>
    <n v="2"/>
    <n v="2"/>
    <n v="2"/>
    <n v="2"/>
    <n v="1"/>
    <n v="1"/>
    <x v="0"/>
    <n v="18492"/>
    <n v="1"/>
    <n v="0"/>
  </r>
  <r>
    <x v="1255"/>
    <n v="29"/>
    <n v="0"/>
    <n v="29"/>
    <n v="0"/>
    <n v="5"/>
    <n v="4"/>
    <x v="0"/>
    <n v="47889"/>
    <n v="1"/>
    <n v="0"/>
  </r>
  <r>
    <x v="1256"/>
    <n v="521"/>
    <n v="168"/>
    <n v="706"/>
    <n v="80"/>
    <n v="76"/>
    <n v="61"/>
    <x v="0"/>
    <n v="62847"/>
    <n v="0"/>
    <n v="0"/>
  </r>
  <r>
    <x v="1257"/>
    <n v="1012"/>
    <n v="80"/>
    <n v="498"/>
    <n v="0"/>
    <n v="16"/>
    <n v="176"/>
    <x v="0"/>
    <n v="76995"/>
    <n v="0"/>
    <n v="1"/>
  </r>
  <r>
    <x v="1258"/>
    <n v="826"/>
    <n v="50"/>
    <n v="317"/>
    <n v="50"/>
    <n v="38"/>
    <n v="38"/>
    <x v="0"/>
    <n v="72550"/>
    <n v="1"/>
    <n v="1"/>
  </r>
  <r>
    <x v="1259"/>
    <n v="11"/>
    <n v="0"/>
    <n v="36"/>
    <n v="15"/>
    <n v="5"/>
    <n v="12"/>
    <x v="0"/>
    <n v="38680"/>
    <n v="1"/>
    <n v="0"/>
  </r>
  <r>
    <x v="1260"/>
    <n v="230"/>
    <n v="48"/>
    <n v="214"/>
    <n v="13"/>
    <n v="32"/>
    <n v="75"/>
    <x v="0"/>
    <n v="56386"/>
    <n v="1"/>
    <n v="1"/>
  </r>
  <r>
    <x v="1261"/>
    <n v="504"/>
    <n v="13"/>
    <n v="131"/>
    <n v="8"/>
    <n v="0"/>
    <n v="26"/>
    <x v="1"/>
    <n v="55614"/>
    <n v="0"/>
    <n v="0"/>
  </r>
  <r>
    <x v="1262"/>
    <n v="964"/>
    <n v="34"/>
    <n v="137"/>
    <n v="15"/>
    <n v="0"/>
    <n v="11"/>
    <x v="0"/>
    <n v="70091"/>
    <n v="1"/>
    <n v="0"/>
  </r>
  <r>
    <x v="1263"/>
    <n v="1"/>
    <n v="26"/>
    <n v="25"/>
    <n v="17"/>
    <n v="23"/>
    <n v="15"/>
    <x v="1"/>
    <n v="27038"/>
    <n v="0"/>
    <n v="0"/>
  </r>
  <r>
    <x v="1264"/>
    <n v="513"/>
    <n v="7"/>
    <n v="133"/>
    <n v="46"/>
    <n v="14"/>
    <n v="14"/>
    <x v="0"/>
    <n v="44511"/>
    <n v="1"/>
    <n v="0"/>
  </r>
  <r>
    <x v="1265"/>
    <n v="178"/>
    <n v="3"/>
    <n v="85"/>
    <n v="71"/>
    <n v="66"/>
    <n v="58"/>
    <x v="0"/>
    <n v="59481"/>
    <n v="0"/>
    <n v="1"/>
  </r>
  <r>
    <x v="1266"/>
    <n v="22"/>
    <n v="1"/>
    <n v="13"/>
    <n v="4"/>
    <n v="0"/>
    <n v="4"/>
    <x v="0"/>
    <n v="38415"/>
    <n v="1"/>
    <n v="1"/>
  </r>
  <r>
    <x v="1267"/>
    <n v="22"/>
    <n v="3"/>
    <n v="18"/>
    <n v="0"/>
    <n v="0"/>
    <n v="11"/>
    <x v="1"/>
    <n v="33462"/>
    <n v="1"/>
    <n v="0"/>
  </r>
  <r>
    <x v="1268"/>
    <n v="277"/>
    <n v="162"/>
    <n v="305"/>
    <n v="173"/>
    <n v="76"/>
    <n v="124"/>
    <x v="1"/>
    <n v="66951"/>
    <n v="0"/>
    <n v="0"/>
  </r>
  <r>
    <x v="1269"/>
    <n v="30"/>
    <n v="5"/>
    <n v="22"/>
    <n v="8"/>
    <n v="9"/>
    <n v="28"/>
    <x v="1"/>
    <n v="27215"/>
    <n v="2"/>
    <n v="1"/>
  </r>
  <r>
    <x v="1270"/>
    <n v="3"/>
    <n v="0"/>
    <n v="5"/>
    <n v="13"/>
    <n v="0"/>
    <n v="1"/>
    <x v="0"/>
    <n v="16529"/>
    <n v="1"/>
    <n v="0"/>
  </r>
  <r>
    <x v="1271"/>
    <n v="227"/>
    <n v="151"/>
    <n v="573"/>
    <n v="98"/>
    <n v="54"/>
    <n v="31"/>
    <x v="0"/>
    <n v="77343"/>
    <n v="0"/>
    <n v="0"/>
  </r>
  <r>
    <x v="1272"/>
    <n v="293"/>
    <n v="0"/>
    <n v="87"/>
    <n v="4"/>
    <n v="11"/>
    <n v="23"/>
    <x v="0"/>
    <n v="55158"/>
    <n v="1"/>
    <n v="1"/>
  </r>
  <r>
    <x v="1273"/>
    <n v="771"/>
    <n v="51"/>
    <n v="154"/>
    <n v="54"/>
    <n v="10"/>
    <n v="154"/>
    <x v="0"/>
    <n v="59868"/>
    <n v="0"/>
    <n v="1"/>
  </r>
  <r>
    <x v="1274"/>
    <n v="144"/>
    <n v="0"/>
    <n v="7"/>
    <n v="0"/>
    <n v="0"/>
    <n v="6"/>
    <x v="1"/>
    <n v="51141"/>
    <n v="0"/>
    <n v="0"/>
  </r>
  <r>
    <x v="1275"/>
    <n v="28"/>
    <n v="6"/>
    <n v="27"/>
    <n v="12"/>
    <n v="17"/>
    <n v="39"/>
    <x v="1"/>
    <n v="23478"/>
    <n v="0"/>
    <n v="0"/>
  </r>
  <r>
    <x v="1276"/>
    <n v="33"/>
    <n v="4"/>
    <n v="24"/>
    <n v="4"/>
    <n v="2"/>
    <n v="5"/>
    <x v="0"/>
    <n v="31928"/>
    <n v="1"/>
    <n v="0"/>
  </r>
  <r>
    <x v="1277"/>
    <n v="10"/>
    <n v="3"/>
    <n v="3"/>
    <n v="0"/>
    <n v="0"/>
    <n v="0"/>
    <x v="1"/>
    <n v="33279"/>
    <n v="0"/>
    <n v="0"/>
  </r>
  <r>
    <x v="1278"/>
    <n v="2"/>
    <n v="8"/>
    <n v="1"/>
    <n v="4"/>
    <n v="7"/>
    <n v="15"/>
    <x v="0"/>
    <n v="18978"/>
    <n v="1"/>
    <n v="0"/>
  </r>
  <r>
    <x v="1279"/>
    <n v="38"/>
    <n v="4"/>
    <n v="22"/>
    <n v="4"/>
    <n v="2"/>
    <n v="20"/>
    <x v="0"/>
    <n v="38179"/>
    <n v="1"/>
    <n v="1"/>
  </r>
  <r>
    <x v="1280"/>
    <n v="438"/>
    <n v="66"/>
    <n v="400"/>
    <n v="12"/>
    <n v="38"/>
    <n v="114"/>
    <x v="0"/>
    <n v="75236"/>
    <n v="0"/>
    <n v="1"/>
  </r>
  <r>
    <x v="1281"/>
    <n v="68"/>
    <n v="1"/>
    <n v="13"/>
    <n v="3"/>
    <n v="5"/>
    <n v="13"/>
    <x v="1"/>
    <n v="58217"/>
    <n v="2"/>
    <n v="1"/>
  </r>
  <r>
    <x v="1282"/>
    <n v="502"/>
    <n v="19"/>
    <n v="132"/>
    <n v="0"/>
    <n v="6"/>
    <n v="26"/>
    <x v="1"/>
    <n v="60200"/>
    <n v="0"/>
    <n v="1"/>
  </r>
  <r>
    <x v="1283"/>
    <n v="314"/>
    <n v="11"/>
    <n v="53"/>
    <n v="4"/>
    <n v="3"/>
    <n v="107"/>
    <x v="0"/>
    <n v="43795"/>
    <n v="0"/>
    <n v="1"/>
  </r>
  <r>
    <x v="1284"/>
    <n v="572"/>
    <n v="19"/>
    <n v="286"/>
    <n v="50"/>
    <n v="38"/>
    <n v="248"/>
    <x v="0"/>
    <n v="71965"/>
    <n v="0"/>
    <n v="1"/>
  </r>
  <r>
    <x v="1285"/>
    <n v="479"/>
    <n v="28"/>
    <n v="136"/>
    <n v="75"/>
    <n v="14"/>
    <n v="35"/>
    <x v="0"/>
    <n v="70421"/>
    <n v="0"/>
    <n v="1"/>
  </r>
  <r>
    <x v="1286"/>
    <n v="16"/>
    <n v="0"/>
    <n v="17"/>
    <n v="6"/>
    <n v="3"/>
    <n v="6"/>
    <x v="0"/>
    <n v="29103"/>
    <n v="1"/>
    <n v="0"/>
  </r>
  <r>
    <x v="1287"/>
    <n v="456"/>
    <n v="19"/>
    <n v="832"/>
    <n v="75"/>
    <n v="118"/>
    <n v="38"/>
    <x v="1"/>
    <n v="68655"/>
    <n v="0"/>
    <n v="0"/>
  </r>
  <r>
    <x v="1288"/>
    <n v="34"/>
    <n v="1"/>
    <n v="14"/>
    <n v="0"/>
    <n v="0"/>
    <n v="5"/>
    <x v="0"/>
    <n v="38998"/>
    <n v="1"/>
    <n v="1"/>
  </r>
  <r>
    <x v="1289"/>
    <n v="2"/>
    <n v="2"/>
    <n v="1"/>
    <n v="3"/>
    <n v="1"/>
    <n v="2"/>
    <x v="0"/>
    <n v="17688"/>
    <n v="1"/>
    <n v="0"/>
  </r>
  <r>
    <x v="1290"/>
    <n v="957"/>
    <n v="47"/>
    <n v="494"/>
    <n v="82"/>
    <n v="47"/>
    <n v="95"/>
    <x v="1"/>
    <n v="86358"/>
    <n v="1"/>
    <n v="1"/>
  </r>
  <r>
    <x v="1291"/>
    <n v="22"/>
    <n v="1"/>
    <n v="8"/>
    <n v="2"/>
    <n v="1"/>
    <n v="2"/>
    <x v="1"/>
    <n v="37859"/>
    <n v="1"/>
    <n v="2"/>
  </r>
  <r>
    <x v="1292"/>
    <n v="5"/>
    <n v="13"/>
    <n v="14"/>
    <n v="0"/>
    <n v="5"/>
    <n v="31"/>
    <x v="0"/>
    <n v="21355"/>
    <n v="1"/>
    <n v="0"/>
  </r>
  <r>
    <x v="1293"/>
    <n v="267"/>
    <n v="98"/>
    <n v="606"/>
    <n v="48"/>
    <n v="70"/>
    <n v="98"/>
    <x v="1"/>
    <n v="82025"/>
    <n v="0"/>
    <n v="0"/>
  </r>
  <r>
    <x v="1294"/>
    <n v="448"/>
    <n v="21"/>
    <n v="125"/>
    <n v="52"/>
    <n v="101"/>
    <n v="62"/>
    <x v="0"/>
    <n v="96547"/>
    <n v="0"/>
    <n v="0"/>
  </r>
  <r>
    <x v="1295"/>
    <n v="98"/>
    <n v="0"/>
    <n v="106"/>
    <n v="49"/>
    <n v="10"/>
    <n v="106"/>
    <x v="0"/>
    <n v="44989"/>
    <n v="0"/>
    <n v="1"/>
  </r>
  <r>
    <x v="1296"/>
    <n v="13"/>
    <n v="0"/>
    <n v="3"/>
    <n v="0"/>
    <n v="0"/>
    <n v="0"/>
    <x v="0"/>
    <n v="41452"/>
    <n v="1"/>
    <n v="1"/>
  </r>
  <r>
    <x v="1297"/>
    <n v="712"/>
    <n v="26"/>
    <n v="538"/>
    <n v="69"/>
    <n v="13"/>
    <n v="80"/>
    <x v="1"/>
    <n v="75777"/>
    <n v="0"/>
    <n v="0"/>
  </r>
  <r>
    <x v="1298"/>
    <n v="14"/>
    <n v="0"/>
    <n v="23"/>
    <n v="4"/>
    <n v="5"/>
    <n v="19"/>
    <x v="0"/>
    <n v="21645"/>
    <n v="1"/>
    <n v="0"/>
  </r>
  <r>
    <x v="1299"/>
    <n v="37"/>
    <n v="4"/>
    <n v="24"/>
    <n v="16"/>
    <n v="9"/>
    <n v="9"/>
    <x v="1"/>
    <n v="29236"/>
    <n v="1"/>
    <n v="0"/>
  </r>
  <r>
    <x v="1300"/>
    <n v="1"/>
    <n v="1"/>
    <n v="3"/>
    <n v="1"/>
    <n v="1"/>
    <n v="1"/>
    <x v="1"/>
    <n v="1730"/>
    <n v="0"/>
    <n v="0"/>
  </r>
  <r>
    <x v="1301"/>
    <n v="8"/>
    <n v="4"/>
    <n v="10"/>
    <n v="2"/>
    <n v="2"/>
    <n v="4"/>
    <x v="1"/>
    <n v="10979"/>
    <n v="0"/>
    <n v="0"/>
  </r>
  <r>
    <x v="1302"/>
    <n v="8"/>
    <n v="0"/>
    <n v="14"/>
    <n v="2"/>
    <n v="3"/>
    <n v="7"/>
    <x v="0"/>
    <n v="35924"/>
    <n v="1"/>
    <n v="1"/>
  </r>
  <r>
    <x v="1303"/>
    <n v="182"/>
    <n v="2"/>
    <n v="49"/>
    <n v="17"/>
    <n v="13"/>
    <n v="20"/>
    <x v="1"/>
    <n v="68805"/>
    <n v="0"/>
    <n v="1"/>
  </r>
  <r>
    <x v="1304"/>
    <n v="284"/>
    <n v="3"/>
    <n v="84"/>
    <n v="4"/>
    <n v="7"/>
    <n v="23"/>
    <x v="0"/>
    <n v="65352"/>
    <n v="0"/>
    <n v="1"/>
  </r>
  <r>
    <x v="1305"/>
    <n v="167"/>
    <n v="13"/>
    <n v="180"/>
    <n v="86"/>
    <n v="13"/>
    <n v="70"/>
    <x v="0"/>
    <n v="32727"/>
    <n v="0"/>
    <n v="0"/>
  </r>
  <r>
    <x v="1306"/>
    <n v="43"/>
    <n v="12"/>
    <n v="96"/>
    <n v="78"/>
    <n v="40"/>
    <n v="55"/>
    <x v="1"/>
    <n v="27421"/>
    <n v="0"/>
    <n v="0"/>
  </r>
  <r>
    <x v="1307"/>
    <n v="38"/>
    <n v="0"/>
    <n v="12"/>
    <n v="3"/>
    <n v="1"/>
    <n v="1"/>
    <x v="1"/>
    <n v="32952"/>
    <n v="1"/>
    <n v="0"/>
  </r>
  <r>
    <x v="1308"/>
    <n v="245"/>
    <n v="16"/>
    <n v="223"/>
    <n v="21"/>
    <n v="43"/>
    <n v="16"/>
    <x v="1"/>
    <n v="79146"/>
    <n v="1"/>
    <n v="1"/>
  </r>
  <r>
    <x v="1309"/>
    <n v="641"/>
    <n v="7"/>
    <n v="56"/>
    <n v="0"/>
    <n v="0"/>
    <n v="28"/>
    <x v="1"/>
    <n v="61671"/>
    <n v="0"/>
    <n v="1"/>
  </r>
  <r>
    <x v="1310"/>
    <n v="241"/>
    <n v="45"/>
    <n v="604"/>
    <n v="34"/>
    <n v="26"/>
    <n v="54"/>
    <x v="0"/>
    <n v="80685"/>
    <n v="0"/>
    <n v="0"/>
  </r>
  <r>
    <x v="1311"/>
    <n v="167"/>
    <n v="48"/>
    <n v="602"/>
    <n v="63"/>
    <n v="72"/>
    <n v="72"/>
    <x v="1"/>
    <n v="84953"/>
    <n v="0"/>
    <n v="0"/>
  </r>
  <r>
    <x v="1312"/>
    <n v="593"/>
    <n v="30"/>
    <n v="91"/>
    <n v="29"/>
    <n v="22"/>
    <n v="7"/>
    <x v="0"/>
    <n v="63246"/>
    <n v="0"/>
    <n v="2"/>
  </r>
  <r>
    <x v="1313"/>
    <n v="4"/>
    <n v="7"/>
    <n v="15"/>
    <n v="13"/>
    <n v="9"/>
    <n v="15"/>
    <x v="0"/>
    <n v="26224"/>
    <n v="1"/>
    <n v="0"/>
  </r>
  <r>
    <x v="1314"/>
    <n v="224"/>
    <n v="0"/>
    <n v="30"/>
    <n v="0"/>
    <n v="0"/>
    <n v="10"/>
    <x v="0"/>
    <n v="44377"/>
    <n v="1"/>
    <n v="1"/>
  </r>
  <r>
    <x v="1315"/>
    <n v="464"/>
    <n v="151"/>
    <n v="292"/>
    <n v="65"/>
    <n v="60"/>
    <n v="30"/>
    <x v="1"/>
    <n v="76982"/>
    <n v="0"/>
    <n v="0"/>
  </r>
  <r>
    <x v="1316"/>
    <n v="1285"/>
    <n v="42"/>
    <n v="716"/>
    <n v="55"/>
    <n v="0"/>
    <n v="21"/>
    <x v="0"/>
    <n v="93027"/>
    <n v="0"/>
    <n v="0"/>
  </r>
  <r>
    <x v="1317"/>
    <n v="100"/>
    <n v="1"/>
    <n v="39"/>
    <n v="6"/>
    <n v="1"/>
    <n v="76"/>
    <x v="1"/>
    <n v="46734"/>
    <n v="1"/>
    <n v="2"/>
  </r>
  <r>
    <x v="1318"/>
    <n v="17"/>
    <n v="8"/>
    <n v="12"/>
    <n v="11"/>
    <n v="15"/>
    <n v="32"/>
    <x v="1"/>
    <n v="31632"/>
    <n v="0"/>
    <n v="0"/>
  </r>
  <r>
    <x v="1319"/>
    <n v="387"/>
    <n v="20"/>
    <n v="713"/>
    <n v="38"/>
    <n v="54"/>
    <n v="163"/>
    <x v="1"/>
    <n v="84574"/>
    <n v="0"/>
    <n v="0"/>
  </r>
  <r>
    <x v="1320"/>
    <n v="35"/>
    <n v="1"/>
    <n v="16"/>
    <n v="0"/>
    <n v="1"/>
    <n v="1"/>
    <x v="0"/>
    <n v="49572"/>
    <n v="1"/>
    <n v="1"/>
  </r>
  <r>
    <x v="1321"/>
    <n v="14"/>
    <n v="0"/>
    <n v="4"/>
    <n v="0"/>
    <n v="0"/>
    <n v="8"/>
    <x v="0"/>
    <n v="27889"/>
    <n v="1"/>
    <n v="0"/>
  </r>
  <r>
    <x v="1322"/>
    <n v="1"/>
    <n v="1"/>
    <n v="5"/>
    <n v="0"/>
    <n v="3"/>
    <n v="1"/>
    <x v="0"/>
    <n v="26751"/>
    <n v="2"/>
    <n v="0"/>
  </r>
  <r>
    <x v="1323"/>
    <n v="675"/>
    <n v="11"/>
    <n v="400"/>
    <n v="15"/>
    <n v="45"/>
    <n v="11"/>
    <x v="1"/>
    <n v="77457"/>
    <n v="0"/>
    <n v="0"/>
  </r>
  <r>
    <x v="1324"/>
    <n v="99"/>
    <n v="13"/>
    <n v="66"/>
    <n v="43"/>
    <n v="8"/>
    <n v="4"/>
    <x v="0"/>
    <n v="50272"/>
    <n v="1"/>
    <n v="0"/>
  </r>
  <r>
    <x v="1325"/>
    <n v="518"/>
    <n v="42"/>
    <n v="742"/>
    <n v="55"/>
    <n v="56"/>
    <n v="84"/>
    <x v="0"/>
    <n v="83443"/>
    <n v="0"/>
    <n v="0"/>
  </r>
  <r>
    <x v="1326"/>
    <n v="1073"/>
    <n v="0"/>
    <n v="629"/>
    <n v="145"/>
    <n v="37"/>
    <n v="37"/>
    <x v="0"/>
    <n v="75702"/>
    <n v="0"/>
    <n v="1"/>
  </r>
  <r>
    <x v="1327"/>
    <n v="783"/>
    <n v="30"/>
    <n v="537"/>
    <n v="140"/>
    <n v="76"/>
    <n v="15"/>
    <x v="0"/>
    <n v="74068"/>
    <n v="0"/>
    <n v="0"/>
  </r>
  <r>
    <x v="1328"/>
    <n v="23"/>
    <n v="2"/>
    <n v="17"/>
    <n v="2"/>
    <n v="1"/>
    <n v="0"/>
    <x v="1"/>
    <n v="38054"/>
    <n v="1"/>
    <n v="1"/>
  </r>
  <r>
    <x v="1329"/>
    <n v="537"/>
    <n v="6"/>
    <n v="42"/>
    <n v="16"/>
    <n v="6"/>
    <n v="30"/>
    <x v="1"/>
    <n v="43185"/>
    <n v="0"/>
    <n v="1"/>
  </r>
  <r>
    <x v="1330"/>
    <n v="656"/>
    <n v="16"/>
    <n v="106"/>
    <n v="32"/>
    <n v="16"/>
    <n v="8"/>
    <x v="0"/>
    <n v="69661"/>
    <n v="0"/>
    <n v="0"/>
  </r>
  <r>
    <x v="1331"/>
    <n v="279"/>
    <n v="172"/>
    <n v="74"/>
    <n v="38"/>
    <n v="8"/>
    <n v="246"/>
    <x v="1"/>
    <n v="65704"/>
    <n v="0"/>
    <n v="0"/>
  </r>
  <r>
    <x v="1332"/>
    <n v="163"/>
    <n v="48"/>
    <n v="90"/>
    <n v="0"/>
    <n v="45"/>
    <n v="52"/>
    <x v="1"/>
    <n v="62535"/>
    <n v="0"/>
    <n v="1"/>
  </r>
  <r>
    <x v="1333"/>
    <n v="24"/>
    <n v="3"/>
    <n v="26"/>
    <n v="7"/>
    <n v="1"/>
    <n v="23"/>
    <x v="1"/>
    <n v="11012"/>
    <n v="1"/>
    <n v="0"/>
  </r>
  <r>
    <x v="1334"/>
    <n v="479"/>
    <n v="35"/>
    <n v="179"/>
    <n v="28"/>
    <n v="7"/>
    <n v="85"/>
    <x v="1"/>
    <n v="58684"/>
    <n v="0"/>
    <n v="0"/>
  </r>
  <r>
    <x v="1335"/>
    <n v="17"/>
    <n v="3"/>
    <n v="18"/>
    <n v="3"/>
    <n v="4"/>
    <n v="18"/>
    <x v="0"/>
    <n v="29543"/>
    <n v="2"/>
    <n v="0"/>
  </r>
  <r>
    <x v="1336"/>
    <n v="43"/>
    <n v="2"/>
    <n v="27"/>
    <n v="0"/>
    <n v="9"/>
    <n v="12"/>
    <x v="0"/>
    <n v="33471"/>
    <n v="1"/>
    <n v="0"/>
  </r>
  <r>
    <x v="1337"/>
    <n v="109"/>
    <n v="18"/>
    <n v="16"/>
    <n v="24"/>
    <n v="26"/>
    <n v="18"/>
    <x v="0"/>
    <n v="54414"/>
    <n v="1"/>
    <n v="1"/>
  </r>
  <r>
    <x v="1338"/>
    <n v="739"/>
    <n v="107"/>
    <n v="309"/>
    <n v="140"/>
    <n v="80"/>
    <n v="35"/>
    <x v="0"/>
    <n v="76445"/>
    <n v="1"/>
    <n v="0"/>
  </r>
  <r>
    <x v="1339"/>
    <n v="189"/>
    <n v="2"/>
    <n v="55"/>
    <n v="0"/>
    <n v="5"/>
    <n v="12"/>
    <x v="1"/>
    <n v="46231"/>
    <n v="2"/>
    <n v="1"/>
  </r>
  <r>
    <x v="1340"/>
    <n v="1200"/>
    <n v="0"/>
    <n v="204"/>
    <n v="38"/>
    <n v="29"/>
    <n v="14"/>
    <x v="0"/>
    <n v="66465"/>
    <n v="0"/>
    <n v="1"/>
  </r>
  <r>
    <x v="1341"/>
    <n v="8"/>
    <n v="7"/>
    <n v="9"/>
    <n v="13"/>
    <n v="6"/>
    <n v="12"/>
    <x v="0"/>
    <n v="25804"/>
    <n v="1"/>
    <n v="0"/>
  </r>
  <r>
    <x v="1342"/>
    <n v="194"/>
    <n v="55"/>
    <n v="134"/>
    <n v="15"/>
    <n v="0"/>
    <n v="3"/>
    <x v="0"/>
    <n v="37087"/>
    <n v="1"/>
    <n v="0"/>
  </r>
  <r>
    <x v="1343"/>
    <n v="3"/>
    <n v="3"/>
    <n v="14"/>
    <n v="15"/>
    <n v="21"/>
    <n v="10"/>
    <x v="0"/>
    <n v="36790"/>
    <n v="0"/>
    <n v="0"/>
  </r>
  <r>
    <x v="1344"/>
    <n v="604"/>
    <n v="28"/>
    <n v="674"/>
    <n v="91"/>
    <n v="28"/>
    <n v="28"/>
    <x v="1"/>
    <n v="78420"/>
    <n v="0"/>
    <n v="0"/>
  </r>
  <r>
    <x v="1345"/>
    <n v="888"/>
    <n v="0"/>
    <n v="57"/>
    <n v="0"/>
    <n v="0"/>
    <n v="76"/>
    <x v="0"/>
    <n v="61010"/>
    <n v="0"/>
    <n v="1"/>
  </r>
  <r>
    <x v="1346"/>
    <n v="432"/>
    <n v="79"/>
    <n v="341"/>
    <n v="177"/>
    <n v="136"/>
    <n v="170"/>
    <x v="0"/>
    <n v="67432"/>
    <n v="0"/>
    <n v="1"/>
  </r>
  <r>
    <x v="1347"/>
    <n v="897"/>
    <n v="23"/>
    <n v="207"/>
    <n v="15"/>
    <n v="11"/>
    <n v="92"/>
    <x v="1"/>
    <n v="63887"/>
    <n v="0"/>
    <n v="1"/>
  </r>
  <r>
    <x v="1348"/>
    <n v="3"/>
    <n v="6"/>
    <n v="5"/>
    <n v="0"/>
    <n v="2"/>
    <n v="6"/>
    <x v="0"/>
    <n v="19986"/>
    <n v="1"/>
    <n v="0"/>
  </r>
  <r>
    <x v="1349"/>
    <n v="953"/>
    <n v="0"/>
    <n v="71"/>
    <n v="0"/>
    <n v="0"/>
    <n v="174"/>
    <x v="1"/>
    <n v="52278"/>
    <n v="0"/>
    <n v="1"/>
  </r>
  <r>
    <x v="1350"/>
    <n v="483"/>
    <n v="0"/>
    <n v="591"/>
    <n v="156"/>
    <n v="0"/>
    <n v="12"/>
    <x v="0"/>
    <n v="75865"/>
    <n v="0"/>
    <n v="0"/>
  </r>
  <r>
    <x v="1351"/>
    <n v="205"/>
    <n v="20"/>
    <n v="47"/>
    <n v="23"/>
    <n v="2"/>
    <n v="56"/>
    <x v="1"/>
    <n v="51390"/>
    <n v="1"/>
    <n v="1"/>
  </r>
  <r>
    <x v="1352"/>
    <n v="833"/>
    <n v="80"/>
    <n v="363"/>
    <n v="52"/>
    <n v="26"/>
    <n v="174"/>
    <x v="0"/>
    <n v="73803"/>
    <n v="0"/>
    <n v="1"/>
  </r>
  <r>
    <x v="1353"/>
    <n v="395"/>
    <n v="15"/>
    <n v="263"/>
    <n v="60"/>
    <n v="54"/>
    <n v="38"/>
    <x v="1"/>
    <n v="68627"/>
    <n v="0"/>
    <n v="0"/>
  </r>
  <r>
    <x v="1354"/>
    <n v="43"/>
    <n v="4"/>
    <n v="12"/>
    <n v="8"/>
    <n v="0"/>
    <n v="27"/>
    <x v="1"/>
    <n v="36997"/>
    <n v="1"/>
    <n v="1"/>
  </r>
  <r>
    <x v="1355"/>
    <n v="4"/>
    <n v="0"/>
    <n v="5"/>
    <n v="0"/>
    <n v="1"/>
    <n v="5"/>
    <x v="1"/>
    <n v="42997"/>
    <n v="1"/>
    <n v="1"/>
  </r>
  <r>
    <x v="1356"/>
    <n v="686"/>
    <n v="17"/>
    <n v="142"/>
    <n v="23"/>
    <n v="26"/>
    <n v="35"/>
    <x v="0"/>
    <n v="54693"/>
    <n v="0"/>
    <n v="1"/>
  </r>
  <r>
    <x v="1357"/>
    <n v="88"/>
    <n v="10"/>
    <n v="46"/>
    <n v="2"/>
    <n v="3"/>
    <n v="64"/>
    <x v="1"/>
    <n v="21888"/>
    <n v="1"/>
    <n v="0"/>
  </r>
  <r>
    <x v="1358"/>
    <n v="209"/>
    <n v="162"/>
    <n v="209"/>
    <n v="41"/>
    <n v="162"/>
    <n v="37"/>
    <x v="0"/>
    <n v="74805"/>
    <n v="0"/>
    <n v="1"/>
  </r>
  <r>
    <x v="1359"/>
    <n v="381"/>
    <n v="35"/>
    <n v="172"/>
    <n v="56"/>
    <n v="86"/>
    <n v="93"/>
    <x v="0"/>
    <n v="64474"/>
    <n v="0"/>
    <n v="1"/>
  </r>
  <r>
    <x v="1360"/>
    <n v="35"/>
    <n v="0"/>
    <n v="13"/>
    <n v="2"/>
    <n v="0"/>
    <n v="2"/>
    <x v="0"/>
    <n v="30368"/>
    <n v="0"/>
    <n v="1"/>
  </r>
  <r>
    <x v="1361"/>
    <n v="24"/>
    <n v="0"/>
    <n v="2"/>
    <n v="0"/>
    <n v="0"/>
    <n v="9"/>
    <x v="0"/>
    <n v="30843"/>
    <n v="1"/>
    <n v="1"/>
  </r>
  <r>
    <x v="1362"/>
    <n v="172"/>
    <n v="73"/>
    <n v="93"/>
    <n v="95"/>
    <n v="78"/>
    <n v="34"/>
    <x v="0"/>
    <n v="65748"/>
    <n v="0"/>
    <n v="1"/>
  </r>
  <r>
    <x v="1363"/>
    <n v="9"/>
    <n v="0"/>
    <n v="3"/>
    <n v="0"/>
    <n v="0"/>
    <n v="1"/>
    <x v="0"/>
    <n v="41145"/>
    <n v="1"/>
    <n v="1"/>
  </r>
  <r>
    <x v="1364"/>
    <n v="792"/>
    <n v="0"/>
    <n v="275"/>
    <n v="45"/>
    <n v="45"/>
    <n v="126"/>
    <x v="0"/>
    <n v="62187"/>
    <n v="0"/>
    <n v="0"/>
  </r>
  <r>
    <x v="1365"/>
    <n v="722"/>
    <n v="27"/>
    <n v="102"/>
    <n v="44"/>
    <n v="72"/>
    <n v="168"/>
    <x v="1"/>
    <n v="101970"/>
    <n v="0"/>
    <n v="0"/>
  </r>
  <r>
    <x v="1366"/>
    <n v="55"/>
    <n v="0"/>
    <n v="6"/>
    <n v="2"/>
    <n v="0"/>
    <n v="4"/>
    <x v="1"/>
    <n v="42429"/>
    <n v="0"/>
    <n v="1"/>
  </r>
  <r>
    <x v="1367"/>
    <n v="496"/>
    <n v="32"/>
    <n v="849"/>
    <n v="229"/>
    <n v="48"/>
    <n v="128"/>
    <x v="0"/>
    <n v="69209"/>
    <n v="0"/>
    <n v="0"/>
  </r>
  <r>
    <x v="1368"/>
    <n v="2"/>
    <n v="5"/>
    <n v="12"/>
    <n v="4"/>
    <n v="8"/>
    <n v="7"/>
    <x v="0"/>
    <n v="17003"/>
    <n v="1"/>
    <n v="0"/>
  </r>
  <r>
    <x v="1369"/>
    <n v="505"/>
    <n v="0"/>
    <n v="26"/>
    <n v="0"/>
    <n v="0"/>
    <n v="75"/>
    <x v="1"/>
    <n v="47916"/>
    <n v="0"/>
    <n v="1"/>
  </r>
  <r>
    <x v="1370"/>
    <n v="344"/>
    <n v="35"/>
    <n v="178"/>
    <n v="15"/>
    <n v="23"/>
    <n v="17"/>
    <x v="0"/>
    <n v="57867"/>
    <n v="1"/>
    <n v="0"/>
  </r>
  <r>
    <x v="1371"/>
    <n v="39"/>
    <n v="0"/>
    <n v="56"/>
    <n v="20"/>
    <n v="8"/>
    <n v="14"/>
    <x v="0"/>
    <n v="38361"/>
    <n v="1"/>
    <n v="0"/>
  </r>
  <r>
    <x v="1372"/>
    <n v="12"/>
    <n v="0"/>
    <n v="4"/>
    <n v="0"/>
    <n v="0"/>
    <n v="1"/>
    <x v="1"/>
    <n v="52195"/>
    <n v="2"/>
    <n v="1"/>
  </r>
  <r>
    <x v="1373"/>
    <n v="908"/>
    <n v="48"/>
    <n v="217"/>
    <n v="32"/>
    <n v="12"/>
    <n v="24"/>
    <x v="1"/>
    <n v="56981"/>
    <n v="0"/>
    <n v="0"/>
  </r>
  <r>
    <x v="1374"/>
    <n v="736"/>
    <n v="163"/>
    <n v="818"/>
    <n v="212"/>
    <n v="163"/>
    <n v="61"/>
    <x v="0"/>
    <n v="78618"/>
    <n v="0"/>
    <n v="0"/>
  </r>
  <r>
    <x v="1375"/>
    <n v="79"/>
    <n v="1"/>
    <n v="31"/>
    <n v="4"/>
    <n v="4"/>
    <n v="12"/>
    <x v="1"/>
    <n v="33316"/>
    <n v="1"/>
    <n v="1"/>
  </r>
  <r>
    <x v="1376"/>
    <n v="260"/>
    <n v="86"/>
    <n v="559"/>
    <n v="63"/>
    <n v="9"/>
    <n v="67"/>
    <x v="0"/>
    <n v="69476"/>
    <n v="0"/>
    <n v="0"/>
  </r>
  <r>
    <x v="1377"/>
    <n v="10"/>
    <n v="0"/>
    <n v="7"/>
    <n v="2"/>
    <n v="0"/>
    <n v="1"/>
    <x v="0"/>
    <n v="48686"/>
    <n v="1"/>
    <n v="2"/>
  </r>
  <r>
    <x v="1378"/>
    <n v="13"/>
    <n v="6"/>
    <n v="15"/>
    <n v="3"/>
    <n v="5"/>
    <n v="13"/>
    <x v="0"/>
    <n v="41728"/>
    <n v="1"/>
    <n v="0"/>
  </r>
  <r>
    <x v="1379"/>
    <n v="347"/>
    <n v="44"/>
    <n v="534"/>
    <n v="17"/>
    <n v="0"/>
    <n v="26"/>
    <x v="1"/>
    <n v="70596"/>
    <n v="0"/>
    <n v="0"/>
  </r>
  <r>
    <x v="1380"/>
    <n v="5"/>
    <n v="3"/>
    <n v="10"/>
    <n v="12"/>
    <n v="7"/>
    <n v="20"/>
    <x v="1"/>
    <n v="7500"/>
    <n v="1"/>
    <n v="0"/>
  </r>
  <r>
    <x v="1381"/>
    <n v="448"/>
    <n v="4"/>
    <n v="34"/>
    <n v="6"/>
    <n v="4"/>
    <n v="39"/>
    <x v="1"/>
    <n v="69142"/>
    <n v="0"/>
    <n v="1"/>
  </r>
  <r>
    <x v="1382"/>
    <n v="4"/>
    <n v="22"/>
    <n v="11"/>
    <n v="3"/>
    <n v="7"/>
    <n v="32"/>
    <x v="1"/>
    <n v="23616"/>
    <n v="1"/>
    <n v="0"/>
  </r>
  <r>
    <x v="1383"/>
    <n v="570"/>
    <n v="73"/>
    <n v="614"/>
    <n v="133"/>
    <n v="102"/>
    <n v="73"/>
    <x v="1"/>
    <n v="74859"/>
    <n v="0"/>
    <n v="0"/>
  </r>
  <r>
    <x v="1384"/>
    <n v="23"/>
    <n v="0"/>
    <n v="11"/>
    <n v="2"/>
    <n v="1"/>
    <n v="3"/>
    <x v="0"/>
    <n v="38197"/>
    <n v="1"/>
    <n v="0"/>
  </r>
  <r>
    <x v="1385"/>
    <n v="34"/>
    <n v="1"/>
    <n v="19"/>
    <n v="2"/>
    <n v="7"/>
    <n v="0"/>
    <x v="0"/>
    <n v="56850"/>
    <n v="0"/>
    <n v="1"/>
  </r>
  <r>
    <x v="1386"/>
    <n v="21"/>
    <n v="5"/>
    <n v="3"/>
    <n v="10"/>
    <n v="1"/>
    <n v="7"/>
    <x v="0"/>
    <n v="36732"/>
    <n v="1"/>
    <n v="1"/>
  </r>
  <r>
    <x v="1387"/>
    <n v="341"/>
    <n v="142"/>
    <n v="113"/>
    <n v="259"/>
    <n v="151"/>
    <n v="66"/>
    <x v="1"/>
    <n v="59184"/>
    <n v="0"/>
    <n v="1"/>
  </r>
  <r>
    <x v="1388"/>
    <n v="336"/>
    <n v="130"/>
    <n v="411"/>
    <n v="240"/>
    <n v="32"/>
    <n v="43"/>
    <x v="1"/>
    <n v="71691"/>
    <n v="0"/>
    <n v="0"/>
  </r>
  <r>
    <x v="1389"/>
    <n v="6"/>
    <n v="17"/>
    <n v="16"/>
    <n v="6"/>
    <n v="16"/>
    <n v="42"/>
    <x v="0"/>
    <n v="9722"/>
    <n v="1"/>
    <n v="0"/>
  </r>
  <r>
    <x v="1390"/>
    <n v="161"/>
    <n v="28"/>
    <n v="136"/>
    <n v="32"/>
    <n v="3"/>
    <n v="45"/>
    <x v="0"/>
    <n v="55267"/>
    <n v="0"/>
    <n v="1"/>
  </r>
  <r>
    <x v="1391"/>
    <n v="25"/>
    <n v="6"/>
    <n v="25"/>
    <n v="6"/>
    <n v="0"/>
    <n v="0"/>
    <x v="0"/>
    <n v="36959"/>
    <n v="1"/>
    <n v="0"/>
  </r>
  <r>
    <x v="1392"/>
    <n v="96"/>
    <n v="12"/>
    <n v="96"/>
    <n v="33"/>
    <n v="22"/>
    <n v="43"/>
    <x v="1"/>
    <n v="46610"/>
    <n v="0"/>
    <n v="2"/>
  </r>
  <r>
    <x v="1393"/>
    <n v="297"/>
    <n v="7"/>
    <n v="79"/>
    <n v="0"/>
    <n v="11"/>
    <n v="182"/>
    <x v="0"/>
    <n v="51369"/>
    <n v="0"/>
    <n v="1"/>
  </r>
  <r>
    <x v="1394"/>
    <n v="393"/>
    <n v="5"/>
    <n v="136"/>
    <n v="7"/>
    <n v="5"/>
    <n v="27"/>
    <x v="0"/>
    <n v="42021"/>
    <n v="1"/>
    <n v="0"/>
  </r>
  <r>
    <x v="1395"/>
    <n v="797"/>
    <n v="153"/>
    <n v="293"/>
    <n v="72"/>
    <n v="97"/>
    <n v="30"/>
    <x v="1"/>
    <n v="75693"/>
    <n v="0"/>
    <n v="0"/>
  </r>
  <r>
    <x v="1396"/>
    <n v="113"/>
    <n v="61"/>
    <n v="204"/>
    <n v="34"/>
    <n v="26"/>
    <n v="47"/>
    <x v="0"/>
    <n v="39767"/>
    <n v="0"/>
    <n v="0"/>
  </r>
  <r>
    <x v="1397"/>
    <n v="56"/>
    <n v="5"/>
    <n v="24"/>
    <n v="4"/>
    <n v="0"/>
    <n v="3"/>
    <x v="0"/>
    <n v="41580"/>
    <n v="1"/>
    <n v="1"/>
  </r>
  <r>
    <x v="1398"/>
    <n v="342"/>
    <n v="51"/>
    <n v="936"/>
    <n v="207"/>
    <n v="35"/>
    <n v="26"/>
    <x v="0"/>
    <n v="80398"/>
    <n v="0"/>
    <n v="0"/>
  </r>
  <r>
    <x v="1399"/>
    <n v="494"/>
    <n v="5"/>
    <n v="82"/>
    <n v="7"/>
    <n v="0"/>
    <n v="100"/>
    <x v="1"/>
    <n v="49090"/>
    <n v="0"/>
    <n v="1"/>
  </r>
  <r>
    <x v="1400"/>
    <n v="216"/>
    <n v="2"/>
    <n v="6"/>
    <n v="0"/>
    <n v="0"/>
    <n v="9"/>
    <x v="0"/>
    <n v="54549"/>
    <n v="0"/>
    <n v="1"/>
  </r>
  <r>
    <x v="1401"/>
    <n v="211"/>
    <n v="2"/>
    <n v="30"/>
    <n v="7"/>
    <n v="7"/>
    <n v="10"/>
    <x v="0"/>
    <n v="53187"/>
    <n v="1"/>
    <n v="0"/>
  </r>
  <r>
    <x v="1402"/>
    <n v="11"/>
    <n v="0"/>
    <n v="5"/>
    <n v="0"/>
    <n v="0"/>
    <n v="1"/>
    <x v="0"/>
    <n v="31686"/>
    <n v="1"/>
    <n v="1"/>
  </r>
  <r>
    <x v="1403"/>
    <n v="96"/>
    <n v="1"/>
    <n v="42"/>
    <n v="12"/>
    <n v="3"/>
    <n v="32"/>
    <x v="0"/>
    <n v="43824"/>
    <n v="1"/>
    <n v="1"/>
  </r>
  <r>
    <x v="1404"/>
    <n v="8"/>
    <n v="3"/>
    <n v="19"/>
    <n v="0"/>
    <n v="2"/>
    <n v="3"/>
    <x v="1"/>
    <n v="27071"/>
    <n v="1"/>
    <n v="0"/>
  </r>
  <r>
    <x v="1405"/>
    <n v="85"/>
    <n v="44"/>
    <n v="54"/>
    <n v="102"/>
    <n v="78"/>
    <n v="6"/>
    <x v="1"/>
    <n v="46923"/>
    <n v="1"/>
    <n v="0"/>
  </r>
  <r>
    <x v="1406"/>
    <n v="111"/>
    <n v="16"/>
    <n v="37"/>
    <n v="7"/>
    <n v="9"/>
    <n v="18"/>
    <x v="0"/>
    <n v="54690"/>
    <n v="1"/>
    <n v="1"/>
  </r>
  <r>
    <x v="1407"/>
    <n v="240"/>
    <n v="132"/>
    <n v="445"/>
    <n v="250"/>
    <n v="192"/>
    <n v="108"/>
    <x v="0"/>
    <n v="80144"/>
    <n v="0"/>
    <n v="0"/>
  </r>
  <r>
    <x v="1408"/>
    <n v="1332"/>
    <n v="17"/>
    <n v="311"/>
    <n v="23"/>
    <n v="51"/>
    <n v="86"/>
    <x v="1"/>
    <n v="68126"/>
    <n v="0"/>
    <n v="0"/>
  </r>
  <r>
    <x v="1409"/>
    <n v="13"/>
    <n v="0"/>
    <n v="8"/>
    <n v="2"/>
    <n v="1"/>
    <n v="5"/>
    <x v="1"/>
    <n v="27938"/>
    <n v="1"/>
    <n v="0"/>
  </r>
  <r>
    <x v="1410"/>
    <n v="958"/>
    <n v="159"/>
    <n v="447"/>
    <n v="20"/>
    <n v="0"/>
    <n v="31"/>
    <x v="1"/>
    <n v="71128"/>
    <n v="1"/>
    <n v="0"/>
  </r>
  <r>
    <x v="1411"/>
    <n v="19"/>
    <n v="0"/>
    <n v="9"/>
    <n v="0"/>
    <n v="0"/>
    <n v="2"/>
    <x v="0"/>
    <n v="42169"/>
    <n v="1"/>
    <n v="1"/>
  </r>
  <r>
    <x v="1412"/>
    <n v="520"/>
    <n v="42"/>
    <n v="98"/>
    <n v="0"/>
    <n v="42"/>
    <n v="14"/>
    <x v="0"/>
    <n v="62513"/>
    <n v="0"/>
    <n v="1"/>
  </r>
  <r>
    <x v="1413"/>
    <n v="157"/>
    <n v="43"/>
    <n v="127"/>
    <n v="68"/>
    <n v="56"/>
    <n v="37"/>
    <x v="1"/>
    <n v="36130"/>
    <n v="0"/>
    <n v="1"/>
  </r>
  <r>
    <x v="1414"/>
    <n v="39"/>
    <n v="2"/>
    <n v="25"/>
    <n v="4"/>
    <n v="3"/>
    <n v="24"/>
    <x v="0"/>
    <n v="34941"/>
    <n v="1"/>
    <n v="1"/>
  </r>
  <r>
    <x v="1415"/>
    <n v="68"/>
    <n v="0"/>
    <n v="226"/>
    <n v="51"/>
    <n v="157"/>
    <n v="68"/>
    <x v="1"/>
    <n v="22507"/>
    <n v="0"/>
    <n v="0"/>
  </r>
  <r>
    <x v="1416"/>
    <n v="928"/>
    <n v="63"/>
    <n v="254"/>
    <n v="0"/>
    <n v="12"/>
    <n v="12"/>
    <x v="1"/>
    <n v="63972"/>
    <n v="0"/>
    <n v="1"/>
  </r>
  <r>
    <x v="1417"/>
    <n v="67"/>
    <n v="4"/>
    <n v="32"/>
    <n v="17"/>
    <n v="2"/>
    <n v="16"/>
    <x v="1"/>
    <n v="56551"/>
    <n v="1"/>
    <n v="1"/>
  </r>
  <r>
    <x v="1418"/>
    <n v="420"/>
    <n v="15"/>
    <n v="186"/>
    <n v="151"/>
    <n v="38"/>
    <n v="15"/>
    <x v="1"/>
    <n v="64191"/>
    <n v="0"/>
    <n v="1"/>
  </r>
  <r>
    <x v="1419"/>
    <n v="209"/>
    <n v="0"/>
    <n v="40"/>
    <n v="3"/>
    <n v="2"/>
    <n v="15"/>
    <x v="1"/>
    <n v="42873"/>
    <n v="1"/>
    <n v="1"/>
  </r>
  <r>
    <x v="1420"/>
    <n v="77"/>
    <n v="28"/>
    <n v="31"/>
    <n v="16"/>
    <n v="0"/>
    <n v="4"/>
    <x v="0"/>
    <n v="56223"/>
    <n v="0"/>
    <n v="1"/>
  </r>
  <r>
    <x v="1421"/>
    <n v="1032"/>
    <n v="105"/>
    <n v="779"/>
    <n v="137"/>
    <n v="105"/>
    <n v="51"/>
    <x v="1"/>
    <n v="75825"/>
    <n v="0"/>
    <n v="0"/>
  </r>
  <r>
    <x v="1422"/>
    <n v="22"/>
    <n v="1"/>
    <n v="9"/>
    <n v="0"/>
    <n v="0"/>
    <n v="14"/>
    <x v="0"/>
    <n v="44155"/>
    <n v="1"/>
    <n v="1"/>
  </r>
  <r>
    <x v="1423"/>
    <n v="84"/>
    <n v="10"/>
    <n v="34"/>
    <n v="11"/>
    <n v="10"/>
    <n v="28"/>
    <x v="0"/>
    <n v="54342"/>
    <n v="1"/>
    <n v="1"/>
  </r>
  <r>
    <x v="1424"/>
    <n v="6"/>
    <n v="6"/>
    <n v="29"/>
    <n v="12"/>
    <n v="15"/>
    <n v="8"/>
    <x v="1"/>
    <n v="23748"/>
    <n v="1"/>
    <n v="0"/>
  </r>
  <r>
    <x v="1425"/>
    <n v="99"/>
    <n v="2"/>
    <n v="11"/>
    <n v="4"/>
    <n v="0"/>
    <n v="16"/>
    <x v="0"/>
    <n v="43586"/>
    <n v="0"/>
    <n v="1"/>
  </r>
  <r>
    <x v="1426"/>
    <n v="144"/>
    <n v="1"/>
    <n v="32"/>
    <n v="2"/>
    <n v="1"/>
    <n v="7"/>
    <x v="0"/>
    <n v="49096"/>
    <n v="1"/>
    <n v="1"/>
  </r>
  <r>
    <x v="1427"/>
    <n v="143"/>
    <n v="15"/>
    <n v="60"/>
    <n v="24"/>
    <n v="23"/>
    <n v="5"/>
    <x v="0"/>
    <n v="50300"/>
    <n v="0"/>
    <n v="1"/>
  </r>
  <r>
    <x v="1428"/>
    <n v="39"/>
    <n v="1"/>
    <n v="9"/>
    <n v="2"/>
    <n v="1"/>
    <n v="34"/>
    <x v="1"/>
    <n v="31626"/>
    <n v="1"/>
    <n v="0"/>
  </r>
  <r>
    <x v="1429"/>
    <n v="11"/>
    <n v="0"/>
    <n v="13"/>
    <n v="2"/>
    <n v="4"/>
    <n v="11"/>
    <x v="0"/>
    <n v="27922"/>
    <n v="1"/>
    <n v="0"/>
  </r>
  <r>
    <x v="1430"/>
    <n v="1"/>
    <n v="3"/>
    <n v="3"/>
    <n v="8"/>
    <n v="1"/>
    <n v="13"/>
    <x v="1"/>
    <n v="15253"/>
    <n v="1"/>
    <n v="0"/>
  </r>
  <r>
    <x v="1431"/>
    <n v="275"/>
    <n v="0"/>
    <n v="86"/>
    <n v="10"/>
    <n v="23"/>
    <n v="66"/>
    <x v="0"/>
    <n v="37292"/>
    <n v="1"/>
    <n v="0"/>
  </r>
  <r>
    <x v="1432"/>
    <n v="166"/>
    <n v="5"/>
    <n v="107"/>
    <n v="11"/>
    <n v="8"/>
    <n v="29"/>
    <x v="0"/>
    <n v="49669"/>
    <n v="1"/>
    <n v="0"/>
  </r>
  <r>
    <x v="1433"/>
    <n v="67"/>
    <n v="5"/>
    <n v="61"/>
    <n v="3"/>
    <n v="8"/>
    <n v="19"/>
    <x v="1"/>
    <n v="42373"/>
    <n v="1"/>
    <n v="1"/>
  </r>
  <r>
    <x v="1434"/>
    <n v="5"/>
    <n v="11"/>
    <n v="16"/>
    <n v="21"/>
    <n v="8"/>
    <n v="45"/>
    <x v="1"/>
    <n v="16185"/>
    <n v="1"/>
    <n v="0"/>
  </r>
  <r>
    <x v="1435"/>
    <n v="817"/>
    <n v="183"/>
    <n v="797"/>
    <n v="106"/>
    <n v="163"/>
    <n v="20"/>
    <x v="0"/>
    <n v="92163"/>
    <n v="0"/>
    <n v="0"/>
  </r>
  <r>
    <x v="1436"/>
    <n v="30"/>
    <n v="5"/>
    <n v="24"/>
    <n v="6"/>
    <n v="3"/>
    <n v="8"/>
    <x v="0"/>
    <n v="43050"/>
    <n v="1"/>
    <n v="0"/>
  </r>
  <r>
    <x v="1437"/>
    <n v="5"/>
    <n v="3"/>
    <n v="9"/>
    <n v="6"/>
    <n v="2"/>
    <n v="6"/>
    <x v="0"/>
    <n v="22108"/>
    <n v="1"/>
    <n v="1"/>
  </r>
  <r>
    <x v="1438"/>
    <n v="562"/>
    <n v="58"/>
    <n v="168"/>
    <n v="43"/>
    <n v="16"/>
    <n v="142"/>
    <x v="0"/>
    <n v="61346"/>
    <n v="1"/>
    <n v="0"/>
  </r>
  <r>
    <x v="1439"/>
    <n v="218"/>
    <n v="63"/>
    <n v="282"/>
    <n v="137"/>
    <n v="35"/>
    <n v="70"/>
    <x v="1"/>
    <n v="64449"/>
    <n v="1"/>
    <n v="0"/>
  </r>
  <r>
    <x v="1440"/>
    <n v="15"/>
    <n v="0"/>
    <n v="8"/>
    <n v="4"/>
    <n v="2"/>
    <n v="20"/>
    <x v="1"/>
    <n v="35860"/>
    <n v="1"/>
    <n v="1"/>
  </r>
  <r>
    <x v="1441"/>
    <n v="6"/>
    <n v="3"/>
    <n v="12"/>
    <n v="6"/>
    <n v="1"/>
    <n v="0"/>
    <x v="1"/>
    <n v="30298"/>
    <n v="0"/>
    <n v="0"/>
  </r>
  <r>
    <x v="1442"/>
    <n v="554"/>
    <n v="35"/>
    <n v="113"/>
    <n v="0"/>
    <n v="7"/>
    <n v="78"/>
    <x v="0"/>
    <n v="70777"/>
    <n v="0"/>
    <n v="1"/>
  </r>
  <r>
    <x v="1443"/>
    <n v="152"/>
    <n v="3"/>
    <n v="22"/>
    <n v="2"/>
    <n v="5"/>
    <n v="7"/>
    <x v="0"/>
    <n v="51650"/>
    <n v="0"/>
    <n v="1"/>
  </r>
  <r>
    <x v="1444"/>
    <n v="350"/>
    <n v="104"/>
    <n v="189"/>
    <n v="197"/>
    <n v="151"/>
    <n v="57"/>
    <x v="0"/>
    <n v="46772"/>
    <n v="0"/>
    <n v="1"/>
  </r>
  <r>
    <x v="1445"/>
    <n v="182"/>
    <n v="17"/>
    <n v="259"/>
    <n v="77"/>
    <n v="70"/>
    <n v="29"/>
    <x v="1"/>
    <n v="62159"/>
    <n v="0"/>
    <n v="0"/>
  </r>
  <r>
    <x v="1446"/>
    <n v="244"/>
    <n v="51"/>
    <n v="270"/>
    <n v="101"/>
    <n v="0"/>
    <n v="45"/>
    <x v="0"/>
    <n v="66000"/>
    <n v="0"/>
    <n v="0"/>
  </r>
  <r>
    <x v="1447"/>
    <n v="173"/>
    <n v="26"/>
    <n v="255"/>
    <n v="35"/>
    <n v="71"/>
    <n v="81"/>
    <x v="0"/>
    <n v="76800"/>
    <n v="0"/>
    <n v="0"/>
  </r>
  <r>
    <x v="1448"/>
    <n v="293"/>
    <n v="0"/>
    <n v="124"/>
    <n v="179"/>
    <n v="97"/>
    <n v="52"/>
    <x v="0"/>
    <n v="64813"/>
    <n v="1"/>
    <n v="0"/>
  </r>
  <r>
    <x v="1449"/>
    <n v="471"/>
    <n v="102"/>
    <n v="125"/>
    <n v="212"/>
    <n v="61"/>
    <n v="245"/>
    <x v="1"/>
    <n v="79244"/>
    <n v="0"/>
    <n v="0"/>
  </r>
  <r>
    <x v="1450"/>
    <n v="11"/>
    <n v="7"/>
    <n v="12"/>
    <n v="2"/>
    <n v="2"/>
    <n v="27"/>
    <x v="0"/>
    <n v="22518"/>
    <n v="1"/>
    <n v="0"/>
  </r>
  <r>
    <x v="1451"/>
    <n v="350"/>
    <n v="3"/>
    <n v="39"/>
    <n v="0"/>
    <n v="0"/>
    <n v="19"/>
    <x v="0"/>
    <n v="57744"/>
    <n v="0"/>
    <n v="1"/>
  </r>
  <r>
    <x v="1452"/>
    <n v="13"/>
    <n v="11"/>
    <n v="24"/>
    <n v="13"/>
    <n v="8"/>
    <n v="40"/>
    <x v="0"/>
    <n v="38702"/>
    <n v="1"/>
    <n v="0"/>
  </r>
  <r>
    <x v="1453"/>
    <n v="68"/>
    <n v="7"/>
    <n v="59"/>
    <n v="10"/>
    <n v="5"/>
    <n v="11"/>
    <x v="1"/>
    <n v="29999"/>
    <n v="1"/>
    <n v="0"/>
  </r>
  <r>
    <x v="1454"/>
    <n v="6"/>
    <n v="0"/>
    <n v="3"/>
    <n v="0"/>
    <n v="0"/>
    <n v="1"/>
    <x v="0"/>
    <n v="23536"/>
    <n v="1"/>
    <n v="0"/>
  </r>
  <r>
    <x v="1455"/>
    <n v="12"/>
    <n v="1"/>
    <n v="6"/>
    <n v="0"/>
    <n v="1"/>
    <n v="5"/>
    <x v="0"/>
    <n v="37054"/>
    <n v="1"/>
    <n v="1"/>
  </r>
  <r>
    <x v="1456"/>
    <n v="641"/>
    <n v="7"/>
    <n v="84"/>
    <n v="0"/>
    <n v="30"/>
    <n v="38"/>
    <x v="0"/>
    <n v="62061"/>
    <n v="0"/>
    <n v="1"/>
  </r>
  <r>
    <x v="1457"/>
    <n v="233"/>
    <n v="20"/>
    <n v="57"/>
    <n v="8"/>
    <n v="20"/>
    <n v="91"/>
    <x v="0"/>
    <n v="46344"/>
    <n v="0"/>
    <n v="1"/>
  </r>
  <r>
    <x v="1458"/>
    <n v="197"/>
    <n v="107"/>
    <n v="227"/>
    <n v="7"/>
    <n v="59"/>
    <n v="131"/>
    <x v="0"/>
    <n v="54753"/>
    <n v="0"/>
    <n v="1"/>
  </r>
  <r>
    <x v="1459"/>
    <n v="198"/>
    <n v="18"/>
    <n v="252"/>
    <n v="32"/>
    <n v="108"/>
    <n v="54"/>
    <x v="0"/>
    <n v="54058"/>
    <n v="0"/>
    <n v="1"/>
  </r>
  <r>
    <x v="1460"/>
    <n v="68"/>
    <n v="129"/>
    <n v="396"/>
    <n v="188"/>
    <n v="22"/>
    <n v="15"/>
    <x v="0"/>
    <n v="77882"/>
    <n v="0"/>
    <n v="0"/>
  </r>
  <r>
    <x v="1461"/>
    <n v="15"/>
    <n v="6"/>
    <n v="8"/>
    <n v="7"/>
    <n v="4"/>
    <n v="25"/>
    <x v="1"/>
    <n v="36640"/>
    <n v="1"/>
    <n v="0"/>
  </r>
  <r>
    <x v="1462"/>
    <n v="940"/>
    <n v="44"/>
    <n v="396"/>
    <n v="0"/>
    <n v="88"/>
    <n v="58"/>
    <x v="0"/>
    <n v="77520"/>
    <n v="0"/>
    <n v="1"/>
  </r>
  <r>
    <x v="1463"/>
    <n v="18"/>
    <n v="7"/>
    <n v="34"/>
    <n v="10"/>
    <n v="2"/>
    <n v="3"/>
    <x v="1"/>
    <n v="36065"/>
    <n v="1"/>
    <n v="1"/>
  </r>
  <r>
    <x v="1464"/>
    <n v="224"/>
    <n v="2"/>
    <n v="25"/>
    <n v="7"/>
    <n v="0"/>
    <n v="110"/>
    <x v="1"/>
    <n v="49166"/>
    <n v="0"/>
    <n v="1"/>
  </r>
  <r>
    <x v="1465"/>
    <n v="209"/>
    <n v="19"/>
    <n v="456"/>
    <n v="160"/>
    <n v="142"/>
    <n v="66"/>
    <x v="0"/>
    <n v="80336"/>
    <n v="0"/>
    <n v="0"/>
  </r>
  <r>
    <x v="1466"/>
    <n v="161"/>
    <n v="0"/>
    <n v="253"/>
    <n v="199"/>
    <n v="191"/>
    <n v="122"/>
    <x v="1"/>
    <n v="70165"/>
    <n v="0"/>
    <n v="0"/>
  </r>
  <r>
    <x v="1467"/>
    <n v="820"/>
    <n v="57"/>
    <n v="242"/>
    <n v="45"/>
    <n v="0"/>
    <n v="11"/>
    <x v="0"/>
    <n v="77027"/>
    <n v="0"/>
    <n v="1"/>
  </r>
  <r>
    <x v="1468"/>
    <n v="179"/>
    <n v="21"/>
    <n v="273"/>
    <n v="0"/>
    <n v="21"/>
    <n v="63"/>
    <x v="0"/>
    <n v="86836"/>
    <n v="0"/>
    <n v="0"/>
  </r>
  <r>
    <x v="1469"/>
    <n v="141"/>
    <n v="11"/>
    <n v="114"/>
    <n v="15"/>
    <n v="14"/>
    <n v="5"/>
    <x v="0"/>
    <n v="63516"/>
    <n v="1"/>
    <n v="1"/>
  </r>
  <r>
    <x v="1470"/>
    <n v="967"/>
    <n v="0"/>
    <n v="617"/>
    <n v="43"/>
    <n v="50"/>
    <n v="0"/>
    <x v="0"/>
    <n v="72025"/>
    <n v="0"/>
    <n v="0"/>
  </r>
  <r>
    <x v="1471"/>
    <n v="620"/>
    <n v="26"/>
    <n v="195"/>
    <n v="34"/>
    <n v="17"/>
    <n v="141"/>
    <x v="0"/>
    <n v="66835"/>
    <n v="0"/>
    <n v="0"/>
  </r>
  <r>
    <x v="1472"/>
    <n v="6"/>
    <n v="4"/>
    <n v="25"/>
    <n v="15"/>
    <n v="12"/>
    <n v="13"/>
    <x v="1"/>
    <n v="18589"/>
    <n v="0"/>
    <n v="0"/>
  </r>
  <r>
    <x v="1473"/>
    <n v="1245"/>
    <n v="33"/>
    <n v="332"/>
    <n v="21"/>
    <n v="33"/>
    <n v="16"/>
    <x v="0"/>
    <n v="77610"/>
    <n v="0"/>
    <n v="1"/>
  </r>
  <r>
    <x v="1474"/>
    <n v="9"/>
    <n v="1"/>
    <n v="5"/>
    <n v="2"/>
    <n v="1"/>
    <n v="4"/>
    <x v="0"/>
    <n v="34109"/>
    <n v="0"/>
    <n v="1"/>
  </r>
  <r>
    <x v="1475"/>
    <n v="8"/>
    <n v="15"/>
    <n v="27"/>
    <n v="0"/>
    <n v="20"/>
    <n v="33"/>
    <x v="0"/>
    <n v="38136"/>
    <n v="1"/>
    <n v="0"/>
  </r>
  <r>
    <x v="1476"/>
    <n v="1285"/>
    <n v="105"/>
    <n v="653"/>
    <n v="28"/>
    <n v="21"/>
    <n v="0"/>
    <x v="0"/>
    <n v="72335"/>
    <n v="0"/>
    <n v="0"/>
  </r>
  <r>
    <x v="1477"/>
    <n v="819"/>
    <n v="0"/>
    <n v="72"/>
    <n v="12"/>
    <n v="0"/>
    <n v="63"/>
    <x v="1"/>
    <n v="64950"/>
    <n v="0"/>
    <n v="1"/>
  </r>
  <r>
    <x v="1478"/>
    <n v="101"/>
    <n v="13"/>
    <n v="76"/>
    <n v="20"/>
    <n v="18"/>
    <n v="40"/>
    <x v="1"/>
    <n v="26877"/>
    <n v="0"/>
    <n v="0"/>
  </r>
  <r>
    <x v="1479"/>
    <n v="10"/>
    <n v="7"/>
    <n v="25"/>
    <n v="6"/>
    <n v="3"/>
    <n v="7"/>
    <x v="0"/>
    <n v="24711"/>
    <n v="0"/>
    <n v="0"/>
  </r>
  <r>
    <x v="1480"/>
    <n v="350"/>
    <n v="8"/>
    <n v="66"/>
    <n v="17"/>
    <n v="4"/>
    <n v="4"/>
    <x v="0"/>
    <n v="51518"/>
    <n v="0"/>
    <n v="1"/>
  </r>
  <r>
    <x v="1481"/>
    <n v="18"/>
    <n v="0"/>
    <n v="6"/>
    <n v="3"/>
    <n v="3"/>
    <n v="5"/>
    <x v="0"/>
    <n v="36663"/>
    <n v="1"/>
    <n v="0"/>
  </r>
  <r>
    <x v="1482"/>
    <n v="24"/>
    <n v="0"/>
    <n v="8"/>
    <n v="0"/>
    <n v="1"/>
    <n v="4"/>
    <x v="0"/>
    <n v="42231"/>
    <n v="1"/>
    <n v="1"/>
  </r>
  <r>
    <x v="1483"/>
    <n v="658"/>
    <n v="80"/>
    <n v="483"/>
    <n v="123"/>
    <n v="13"/>
    <n v="13"/>
    <x v="0"/>
    <n v="79410"/>
    <n v="0"/>
    <n v="0"/>
  </r>
  <r>
    <x v="1484"/>
    <n v="734"/>
    <n v="22"/>
    <n v="350"/>
    <n v="151"/>
    <n v="25"/>
    <n v="100"/>
    <x v="0"/>
    <n v="82122"/>
    <n v="0"/>
    <n v="0"/>
  </r>
  <r>
    <x v="1485"/>
    <n v="1285"/>
    <n v="21"/>
    <n v="449"/>
    <n v="106"/>
    <n v="20"/>
    <n v="20"/>
    <x v="1"/>
    <n v="95169"/>
    <n v="0"/>
    <n v="0"/>
  </r>
  <r>
    <x v="1486"/>
    <n v="505"/>
    <n v="137"/>
    <n v="401"/>
    <n v="104"/>
    <n v="22"/>
    <n v="22"/>
    <x v="1"/>
    <n v="80982"/>
    <n v="1"/>
    <n v="1"/>
  </r>
  <r>
    <x v="1487"/>
    <n v="400"/>
    <n v="32"/>
    <n v="519"/>
    <n v="71"/>
    <n v="75"/>
    <n v="54"/>
    <x v="1"/>
    <n v="72906"/>
    <n v="0"/>
    <n v="0"/>
  </r>
  <r>
    <x v="1488"/>
    <n v="346"/>
    <n v="17"/>
    <n v="48"/>
    <n v="23"/>
    <n v="13"/>
    <n v="13"/>
    <x v="0"/>
    <n v="65747"/>
    <n v="0"/>
    <n v="1"/>
  </r>
  <r>
    <x v="1489"/>
    <n v="9"/>
    <n v="1"/>
    <n v="2"/>
    <n v="3"/>
    <n v="2"/>
    <n v="0"/>
    <x v="0"/>
    <n v="27469"/>
    <n v="0"/>
    <n v="0"/>
  </r>
  <r>
    <x v="1490"/>
    <n v="53"/>
    <n v="8"/>
    <n v="17"/>
    <n v="13"/>
    <n v="0"/>
    <n v="21"/>
    <x v="0"/>
    <n v="28087"/>
    <n v="1"/>
    <n v="1"/>
  </r>
  <r>
    <x v="1491"/>
    <n v="1239"/>
    <n v="17"/>
    <n v="413"/>
    <n v="23"/>
    <n v="34"/>
    <n v="17"/>
    <x v="0"/>
    <n v="75261"/>
    <n v="0"/>
    <n v="0"/>
  </r>
  <r>
    <x v="1492"/>
    <n v="46"/>
    <n v="0"/>
    <n v="30"/>
    <n v="12"/>
    <n v="1"/>
    <n v="30"/>
    <x v="0"/>
    <n v="36075"/>
    <n v="1"/>
    <n v="0"/>
  </r>
  <r>
    <x v="1493"/>
    <n v="22"/>
    <n v="0"/>
    <n v="19"/>
    <n v="6"/>
    <n v="5"/>
    <n v="3"/>
    <x v="0"/>
    <n v="51111"/>
    <n v="1"/>
    <n v="1"/>
  </r>
  <r>
    <x v="1494"/>
    <n v="120"/>
    <n v="58"/>
    <n v="73"/>
    <n v="65"/>
    <n v="89"/>
    <n v="58"/>
    <x v="0"/>
    <n v="62998"/>
    <n v="0"/>
    <n v="1"/>
  </r>
  <r>
    <x v="1495"/>
    <n v="1184"/>
    <n v="32"/>
    <n v="352"/>
    <n v="21"/>
    <n v="16"/>
    <n v="16"/>
    <x v="1"/>
    <n v="90247"/>
    <n v="0"/>
    <n v="0"/>
  </r>
  <r>
    <x v="1496"/>
    <n v="31"/>
    <n v="1"/>
    <n v="13"/>
    <n v="7"/>
    <n v="2"/>
    <n v="9"/>
    <x v="0"/>
    <n v="26850"/>
    <n v="1"/>
    <n v="1"/>
  </r>
  <r>
    <x v="1497"/>
    <n v="595"/>
    <n v="71"/>
    <n v="153"/>
    <n v="120"/>
    <n v="112"/>
    <n v="41"/>
    <x v="1"/>
    <n v="47111"/>
    <n v="0"/>
    <n v="1"/>
  </r>
  <r>
    <x v="1498"/>
    <n v="199"/>
    <n v="12"/>
    <n v="31"/>
    <n v="3"/>
    <n v="12"/>
    <n v="7"/>
    <x v="0"/>
    <n v="54222"/>
    <n v="0"/>
    <n v="1"/>
  </r>
  <r>
    <x v="1499"/>
    <n v="3"/>
    <n v="1"/>
    <n v="8"/>
    <n v="23"/>
    <n v="2"/>
    <n v="18"/>
    <x v="0"/>
    <n v="22448"/>
    <n v="1"/>
    <n v="0"/>
  </r>
  <r>
    <x v="1500"/>
    <n v="5"/>
    <n v="1"/>
    <n v="6"/>
    <n v="3"/>
    <n v="4"/>
    <n v="3"/>
    <x v="1"/>
    <n v="26816"/>
    <n v="0"/>
    <n v="0"/>
  </r>
  <r>
    <x v="1501"/>
    <n v="1"/>
    <n v="3"/>
    <n v="6"/>
    <n v="3"/>
    <n v="6"/>
    <n v="15"/>
    <x v="0"/>
    <n v="25721"/>
    <n v="1"/>
    <n v="0"/>
  </r>
  <r>
    <x v="1502"/>
    <n v="48"/>
    <n v="0"/>
    <n v="2"/>
    <n v="0"/>
    <n v="0"/>
    <n v="5"/>
    <x v="0"/>
    <n v="42243"/>
    <n v="1"/>
    <n v="1"/>
  </r>
  <r>
    <x v="1503"/>
    <n v="423"/>
    <n v="184"/>
    <n v="368"/>
    <n v="13"/>
    <n v="97"/>
    <n v="21"/>
    <x v="0"/>
    <n v="63943"/>
    <n v="0"/>
    <n v="1"/>
  </r>
  <r>
    <x v="1504"/>
    <n v="572"/>
    <n v="8"/>
    <n v="232"/>
    <n v="23"/>
    <n v="62"/>
    <n v="17"/>
    <x v="0"/>
    <n v="79734"/>
    <n v="0"/>
    <n v="0"/>
  </r>
  <r>
    <x v="1505"/>
    <n v="241"/>
    <n v="0"/>
    <n v="12"/>
    <n v="0"/>
    <n v="0"/>
    <n v="25"/>
    <x v="0"/>
    <n v="53312"/>
    <n v="0"/>
    <n v="0"/>
  </r>
  <r>
    <x v="1506"/>
    <n v="565"/>
    <n v="6"/>
    <n v="65"/>
    <n v="0"/>
    <n v="6"/>
    <n v="19"/>
    <x v="0"/>
    <n v="60631"/>
    <n v="1"/>
    <n v="1"/>
  </r>
  <r>
    <x v="1507"/>
    <n v="7"/>
    <n v="4"/>
    <n v="23"/>
    <n v="7"/>
    <n v="0"/>
    <n v="11"/>
    <x v="0"/>
    <n v="27161"/>
    <n v="1"/>
    <n v="0"/>
  </r>
  <r>
    <x v="1508"/>
    <n v="10"/>
    <n v="14"/>
    <n v="29"/>
    <n v="4"/>
    <n v="2"/>
    <n v="36"/>
    <x v="0"/>
    <n v="22682"/>
    <n v="1"/>
    <n v="0"/>
  </r>
  <r>
    <x v="1509"/>
    <n v="202"/>
    <n v="2"/>
    <n v="46"/>
    <n v="3"/>
    <n v="2"/>
    <n v="10"/>
    <x v="1"/>
    <n v="37929"/>
    <n v="0"/>
    <n v="0"/>
  </r>
  <r>
    <x v="1510"/>
    <n v="30"/>
    <n v="0"/>
    <n v="8"/>
    <n v="2"/>
    <n v="0"/>
    <n v="14"/>
    <x v="0"/>
    <n v="46106"/>
    <n v="1"/>
    <n v="1"/>
  </r>
  <r>
    <x v="1511"/>
    <n v="28"/>
    <n v="0"/>
    <n v="11"/>
    <n v="0"/>
    <n v="0"/>
    <n v="9"/>
    <x v="0"/>
    <n v="31454"/>
    <n v="1"/>
    <n v="1"/>
  </r>
  <r>
    <x v="1512"/>
    <n v="285"/>
    <n v="28"/>
    <n v="242"/>
    <n v="55"/>
    <n v="114"/>
    <n v="135"/>
    <x v="0"/>
    <n v="50898"/>
    <n v="1"/>
    <n v="1"/>
  </r>
  <r>
    <x v="1513"/>
    <n v="16"/>
    <n v="36"/>
    <n v="21"/>
    <n v="20"/>
    <n v="62"/>
    <n v="108"/>
    <x v="0"/>
    <n v="24279"/>
    <n v="0"/>
    <n v="0"/>
  </r>
  <r>
    <x v="1514"/>
    <n v="117"/>
    <n v="0"/>
    <n v="22"/>
    <n v="13"/>
    <n v="0"/>
    <n v="30"/>
    <x v="0"/>
    <n v="51287"/>
    <n v="1"/>
    <n v="1"/>
  </r>
  <r>
    <x v="1515"/>
    <n v="4"/>
    <n v="1"/>
    <n v="11"/>
    <n v="6"/>
    <n v="2"/>
    <n v="2"/>
    <x v="0"/>
    <n v="14661"/>
    <n v="0"/>
    <n v="0"/>
  </r>
  <r>
    <x v="1516"/>
    <n v="1023"/>
    <n v="93"/>
    <n v="651"/>
    <n v="49"/>
    <n v="55"/>
    <n v="37"/>
    <x v="0"/>
    <n v="82170"/>
    <n v="0"/>
    <n v="0"/>
  </r>
  <r>
    <x v="1517"/>
    <n v="233"/>
    <n v="2"/>
    <n v="53"/>
    <n v="3"/>
    <n v="5"/>
    <n v="14"/>
    <x v="1"/>
    <n v="59354"/>
    <n v="1"/>
    <n v="1"/>
  </r>
  <r>
    <x v="1518"/>
    <n v="51"/>
    <n v="12"/>
    <n v="49"/>
    <n v="17"/>
    <n v="24"/>
    <n v="24"/>
    <x v="1"/>
    <n v="38593"/>
    <n v="1"/>
    <n v="0"/>
  </r>
  <r>
    <x v="1519"/>
    <n v="53"/>
    <n v="3"/>
    <n v="49"/>
    <n v="7"/>
    <n v="4"/>
    <n v="5"/>
    <x v="0"/>
    <n v="23228"/>
    <n v="1"/>
    <n v="0"/>
  </r>
  <r>
    <x v="1520"/>
    <n v="482"/>
    <n v="35"/>
    <n v="553"/>
    <n v="72"/>
    <n v="160"/>
    <n v="17"/>
    <x v="0"/>
    <n v="78041"/>
    <n v="0"/>
    <n v="0"/>
  </r>
  <r>
    <x v="1521"/>
    <n v="28"/>
    <n v="0"/>
    <n v="9"/>
    <n v="3"/>
    <n v="0"/>
    <n v="0"/>
    <x v="0"/>
    <n v="53233"/>
    <n v="0"/>
    <n v="1"/>
  </r>
  <r>
    <x v="1522"/>
    <n v="318"/>
    <n v="3"/>
    <n v="17"/>
    <n v="4"/>
    <n v="7"/>
    <n v="56"/>
    <x v="0"/>
    <n v="54730"/>
    <n v="0"/>
    <n v="1"/>
  </r>
  <r>
    <x v="1523"/>
    <n v="85"/>
    <n v="15"/>
    <n v="27"/>
    <n v="13"/>
    <n v="13"/>
    <n v="21"/>
    <x v="0"/>
    <n v="39791"/>
    <n v="0"/>
    <n v="1"/>
  </r>
  <r>
    <x v="1524"/>
    <n v="6"/>
    <n v="4"/>
    <n v="9"/>
    <n v="6"/>
    <n v="36"/>
    <n v="35"/>
    <x v="0"/>
    <n v="14515"/>
    <n v="1"/>
    <n v="0"/>
  </r>
  <r>
    <x v="1525"/>
    <n v="158"/>
    <n v="0"/>
    <n v="76"/>
    <n v="13"/>
    <n v="7"/>
    <n v="71"/>
    <x v="0"/>
    <n v="53761"/>
    <n v="1"/>
    <n v="1"/>
  </r>
  <r>
    <x v="1526"/>
    <n v="22"/>
    <n v="2"/>
    <n v="31"/>
    <n v="7"/>
    <n v="4"/>
    <n v="5"/>
    <x v="0"/>
    <n v="33228"/>
    <n v="1"/>
    <n v="0"/>
  </r>
  <r>
    <x v="1527"/>
    <n v="508"/>
    <n v="5"/>
    <n v="21"/>
    <n v="7"/>
    <n v="5"/>
    <n v="10"/>
    <x v="1"/>
    <n v="64866"/>
    <n v="0"/>
    <n v="1"/>
  </r>
  <r>
    <x v="1528"/>
    <n v="1"/>
    <n v="6"/>
    <n v="7"/>
    <n v="0"/>
    <n v="1"/>
    <n v="3"/>
    <x v="0"/>
    <n v="27190"/>
    <n v="1"/>
    <n v="0"/>
  </r>
  <r>
    <x v="1529"/>
    <n v="428"/>
    <n v="30"/>
    <n v="214"/>
    <n v="80"/>
    <n v="30"/>
    <n v="61"/>
    <x v="0"/>
    <n v="69245"/>
    <n v="0"/>
    <n v="1"/>
  </r>
  <r>
    <x v="1530"/>
    <n v="16"/>
    <n v="0"/>
    <n v="3"/>
    <n v="0"/>
    <n v="0"/>
    <n v="1"/>
    <x v="1"/>
    <n v="47025"/>
    <n v="1"/>
    <n v="1"/>
  </r>
  <r>
    <x v="1531"/>
    <n v="863"/>
    <n v="83"/>
    <n v="547"/>
    <n v="86"/>
    <n v="99"/>
    <n v="33"/>
    <x v="0"/>
    <n v="74214"/>
    <n v="0"/>
    <n v="0"/>
  </r>
  <r>
    <x v="1532"/>
    <n v="98"/>
    <n v="1"/>
    <n v="17"/>
    <n v="0"/>
    <n v="1"/>
    <n v="5"/>
    <x v="0"/>
    <n v="51717"/>
    <n v="0"/>
    <n v="1"/>
  </r>
  <r>
    <x v="1533"/>
    <n v="897"/>
    <n v="126"/>
    <n v="196"/>
    <n v="91"/>
    <n v="112"/>
    <n v="37"/>
    <x v="0"/>
    <n v="68142"/>
    <n v="0"/>
    <n v="1"/>
  </r>
  <r>
    <x v="1534"/>
    <n v="557"/>
    <n v="129"/>
    <n v="761"/>
    <n v="29"/>
    <n v="185"/>
    <n v="111"/>
    <x v="0"/>
    <n v="79908"/>
    <n v="0"/>
    <n v="0"/>
  </r>
  <r>
    <x v="1535"/>
    <n v="594"/>
    <n v="134"/>
    <n v="786"/>
    <n v="33"/>
    <n v="134"/>
    <n v="57"/>
    <x v="0"/>
    <n v="90300"/>
    <n v="0"/>
    <n v="0"/>
  </r>
  <r>
    <x v="1536"/>
    <n v="15"/>
    <n v="0"/>
    <n v="6"/>
    <n v="0"/>
    <n v="1"/>
    <n v="12"/>
    <x v="0"/>
    <n v="30396"/>
    <n v="1"/>
    <n v="0"/>
  </r>
  <r>
    <x v="1537"/>
    <n v="138"/>
    <n v="15"/>
    <n v="35"/>
    <n v="25"/>
    <n v="11"/>
    <n v="72"/>
    <x v="1"/>
    <n v="32233"/>
    <n v="1"/>
    <n v="0"/>
  </r>
  <r>
    <x v="1538"/>
    <n v="1"/>
    <n v="2"/>
    <n v="7"/>
    <n v="4"/>
    <n v="3"/>
    <n v="11"/>
    <x v="0"/>
    <n v="18227"/>
    <n v="1"/>
    <n v="0"/>
  </r>
  <r>
    <x v="1539"/>
    <n v="378"/>
    <n v="97"/>
    <n v="259"/>
    <n v="197"/>
    <n v="194"/>
    <n v="34"/>
    <x v="0"/>
    <n v="75484"/>
    <n v="0"/>
    <n v="1"/>
  </r>
  <r>
    <x v="1540"/>
    <n v="447"/>
    <n v="0"/>
    <n v="28"/>
    <n v="0"/>
    <n v="0"/>
    <n v="43"/>
    <x v="0"/>
    <n v="55954"/>
    <n v="0"/>
    <n v="1"/>
  </r>
  <r>
    <x v="1541"/>
    <n v="134"/>
    <n v="8"/>
    <n v="76"/>
    <n v="6"/>
    <n v="0"/>
    <n v="11"/>
    <x v="0"/>
    <n v="43140"/>
    <n v="0"/>
    <n v="1"/>
  </r>
  <r>
    <x v="1542"/>
    <n v="980"/>
    <n v="37"/>
    <n v="265"/>
    <n v="35"/>
    <n v="163"/>
    <n v="31"/>
    <x v="1"/>
    <n v="82014"/>
    <n v="0"/>
    <n v="0"/>
  </r>
  <r>
    <x v="1543"/>
    <n v="18"/>
    <n v="0"/>
    <n v="5"/>
    <n v="0"/>
    <n v="0"/>
    <n v="11"/>
    <x v="0"/>
    <n v="44689"/>
    <n v="1"/>
    <n v="1"/>
  </r>
  <r>
    <x v="1544"/>
    <n v="329"/>
    <n v="35"/>
    <n v="222"/>
    <n v="130"/>
    <n v="35"/>
    <n v="43"/>
    <x v="0"/>
    <n v="67087"/>
    <n v="0"/>
    <n v="1"/>
  </r>
  <r>
    <x v="1545"/>
    <n v="135"/>
    <n v="25"/>
    <n v="51"/>
    <n v="23"/>
    <n v="25"/>
    <n v="46"/>
    <x v="1"/>
    <n v="68274"/>
    <n v="1"/>
    <n v="1"/>
  </r>
  <r>
    <x v="1546"/>
    <n v="56"/>
    <n v="0"/>
    <n v="12"/>
    <n v="0"/>
    <n v="0"/>
    <n v="18"/>
    <x v="1"/>
    <n v="33419"/>
    <n v="0"/>
    <n v="1"/>
  </r>
  <r>
    <x v="1547"/>
    <n v="6"/>
    <n v="6"/>
    <n v="15"/>
    <n v="10"/>
    <n v="5"/>
    <n v="2"/>
    <x v="0"/>
    <n v="29009"/>
    <n v="1"/>
    <n v="0"/>
  </r>
  <r>
    <x v="1548"/>
    <n v="7"/>
    <n v="10"/>
    <n v="17"/>
    <n v="8"/>
    <n v="6"/>
    <n v="13"/>
    <x v="1"/>
    <n v="38741"/>
    <n v="1"/>
    <n v="1"/>
  </r>
  <r>
    <x v="1549"/>
    <n v="7"/>
    <n v="4"/>
    <n v="13"/>
    <n v="15"/>
    <n v="8"/>
    <n v="17"/>
    <x v="0"/>
    <n v="15315"/>
    <n v="0"/>
    <n v="0"/>
  </r>
  <r>
    <x v="1550"/>
    <n v="9"/>
    <n v="0"/>
    <n v="6"/>
    <n v="3"/>
    <n v="1"/>
    <n v="3"/>
    <x v="0"/>
    <n v="21994"/>
    <n v="0"/>
    <n v="1"/>
  </r>
  <r>
    <x v="1551"/>
    <n v="734"/>
    <n v="26"/>
    <n v="70"/>
    <n v="11"/>
    <n v="44"/>
    <n v="17"/>
    <x v="0"/>
    <n v="63404"/>
    <n v="0"/>
    <n v="2"/>
  </r>
  <r>
    <x v="1552"/>
    <n v="9"/>
    <n v="0"/>
    <n v="7"/>
    <n v="3"/>
    <n v="4"/>
    <n v="7"/>
    <x v="0"/>
    <n v="19510"/>
    <n v="2"/>
    <n v="0"/>
  </r>
  <r>
    <x v="1553"/>
    <n v="6"/>
    <n v="10"/>
    <n v="12"/>
    <n v="3"/>
    <n v="15"/>
    <n v="40"/>
    <x v="1"/>
    <n v="24762"/>
    <n v="1"/>
    <n v="0"/>
  </r>
  <r>
    <x v="1554"/>
    <n v="14"/>
    <n v="0"/>
    <n v="1"/>
    <n v="0"/>
    <n v="0"/>
    <n v="1"/>
    <x v="1"/>
    <n v="46102"/>
    <n v="2"/>
    <n v="1"/>
  </r>
  <r>
    <x v="1555"/>
    <n v="1"/>
    <n v="4"/>
    <n v="10"/>
    <n v="29"/>
    <n v="0"/>
    <n v="36"/>
    <x v="0"/>
    <n v="24882"/>
    <n v="1"/>
    <n v="0"/>
  </r>
  <r>
    <x v="1556"/>
    <n v="20"/>
    <n v="2"/>
    <n v="1582"/>
    <n v="1"/>
    <n v="2"/>
    <n v="1"/>
    <x v="0"/>
    <n v="157243"/>
    <n v="0"/>
    <n v="1"/>
  </r>
  <r>
    <x v="1557"/>
    <n v="5"/>
    <n v="1"/>
    <n v="13"/>
    <n v="3"/>
    <n v="5"/>
    <n v="1"/>
    <x v="1"/>
    <n v="26150"/>
    <n v="2"/>
    <n v="1"/>
  </r>
  <r>
    <x v="1558"/>
    <n v="284"/>
    <n v="0"/>
    <n v="52"/>
    <n v="8"/>
    <n v="3"/>
    <n v="20"/>
    <x v="0"/>
    <n v="30538"/>
    <n v="1"/>
    <n v="0"/>
  </r>
  <r>
    <x v="1559"/>
    <n v="795"/>
    <n v="0"/>
    <n v="545"/>
    <n v="95"/>
    <n v="58"/>
    <n v="0"/>
    <x v="0"/>
    <n v="75437"/>
    <n v="0"/>
    <n v="0"/>
  </r>
  <r>
    <x v="1560"/>
    <n v="8"/>
    <n v="0"/>
    <n v="7"/>
    <n v="3"/>
    <n v="1"/>
    <n v="1"/>
    <x v="0"/>
    <n v="29478"/>
    <n v="1"/>
    <n v="0"/>
  </r>
  <r>
    <x v="1561"/>
    <n v="24"/>
    <n v="1"/>
    <n v="16"/>
    <n v="12"/>
    <n v="2"/>
    <n v="5"/>
    <x v="0"/>
    <n v="19329"/>
    <n v="1"/>
    <n v="0"/>
  </r>
  <r>
    <x v="1562"/>
    <n v="239"/>
    <n v="7"/>
    <n v="119"/>
    <n v="4"/>
    <n v="15"/>
    <n v="11"/>
    <x v="0"/>
    <n v="65735"/>
    <n v="1"/>
    <n v="1"/>
  </r>
  <r>
    <x v="1563"/>
    <n v="615"/>
    <n v="28"/>
    <n v="259"/>
    <n v="12"/>
    <n v="48"/>
    <n v="30"/>
    <x v="0"/>
    <n v="67433"/>
    <n v="0"/>
    <n v="2"/>
  </r>
  <r>
    <x v="1564"/>
    <n v="526"/>
    <n v="80"/>
    <n v="553"/>
    <n v="123"/>
    <n v="94"/>
    <n v="53"/>
    <x v="1"/>
    <n v="72643"/>
    <n v="0"/>
    <n v="0"/>
  </r>
  <r>
    <x v="1565"/>
    <n v="8"/>
    <n v="4"/>
    <n v="10"/>
    <n v="6"/>
    <n v="7"/>
    <n v="6"/>
    <x v="0"/>
    <n v="24683"/>
    <n v="1"/>
    <n v="0"/>
  </r>
  <r>
    <x v="1566"/>
    <n v="1296"/>
    <n v="17"/>
    <n v="311"/>
    <n v="45"/>
    <n v="69"/>
    <n v="51"/>
    <x v="1"/>
    <n v="85683"/>
    <n v="0"/>
    <n v="0"/>
  </r>
  <r>
    <x v="1567"/>
    <n v="30"/>
    <n v="0"/>
    <n v="9"/>
    <n v="0"/>
    <n v="0"/>
    <n v="3"/>
    <x v="0"/>
    <n v="44300"/>
    <n v="1"/>
    <n v="1"/>
  </r>
  <r>
    <x v="1568"/>
    <n v="351"/>
    <n v="16"/>
    <n v="156"/>
    <n v="7"/>
    <n v="5"/>
    <n v="145"/>
    <x v="1"/>
    <n v="48789"/>
    <n v="0"/>
    <n v="0"/>
  </r>
  <r>
    <x v="1569"/>
    <n v="127"/>
    <n v="4"/>
    <n v="73"/>
    <n v="15"/>
    <n v="6"/>
    <n v="11"/>
    <x v="0"/>
    <n v="54165"/>
    <n v="0"/>
    <n v="0"/>
  </r>
  <r>
    <x v="1570"/>
    <n v="5"/>
    <n v="0"/>
    <n v="3"/>
    <n v="0"/>
    <n v="0"/>
    <n v="1"/>
    <x v="0"/>
    <n v="32583"/>
    <n v="1"/>
    <n v="1"/>
  </r>
  <r>
    <x v="1571"/>
    <n v="604"/>
    <n v="0"/>
    <n v="100"/>
    <n v="19"/>
    <n v="0"/>
    <n v="28"/>
    <x v="0"/>
    <n v="49505"/>
    <n v="1"/>
    <n v="1"/>
  </r>
  <r>
    <x v="1572"/>
    <n v="376"/>
    <n v="53"/>
    <n v="462"/>
    <n v="168"/>
    <n v="53"/>
    <n v="53"/>
    <x v="0"/>
    <n v="85431"/>
    <n v="0"/>
    <n v="0"/>
  </r>
  <r>
    <x v="1573"/>
    <n v="112"/>
    <n v="0"/>
    <n v="6"/>
    <n v="2"/>
    <n v="1"/>
    <n v="14"/>
    <x v="1"/>
    <n v="50520"/>
    <n v="0"/>
    <n v="1"/>
  </r>
  <r>
    <x v="1574"/>
    <n v="421"/>
    <n v="76"/>
    <n v="536"/>
    <n v="82"/>
    <n v="178"/>
    <n v="102"/>
    <x v="0"/>
    <n v="80011"/>
    <n v="0"/>
    <n v="1"/>
  </r>
  <r>
    <x v="1575"/>
    <n v="412"/>
    <n v="172"/>
    <n v="153"/>
    <n v="150"/>
    <n v="105"/>
    <n v="57"/>
    <x v="1"/>
    <n v="69932"/>
    <n v="0"/>
    <n v="1"/>
  </r>
  <r>
    <x v="1576"/>
    <n v="48"/>
    <n v="0"/>
    <n v="14"/>
    <n v="0"/>
    <n v="0"/>
    <n v="6"/>
    <x v="0"/>
    <n v="46910"/>
    <n v="1"/>
    <n v="1"/>
  </r>
  <r>
    <x v="1577"/>
    <n v="245"/>
    <n v="19"/>
    <n v="125"/>
    <n v="37"/>
    <n v="67"/>
    <n v="14"/>
    <x v="1"/>
    <n v="65486"/>
    <n v="0"/>
    <n v="1"/>
  </r>
  <r>
    <x v="1578"/>
    <n v="183"/>
    <n v="33"/>
    <n v="493"/>
    <n v="59"/>
    <n v="103"/>
    <n v="57"/>
    <x v="0"/>
    <n v="81320"/>
    <n v="0"/>
    <n v="0"/>
  </r>
  <r>
    <x v="1579"/>
    <n v="15"/>
    <n v="1"/>
    <n v="23"/>
    <n v="0"/>
    <n v="5"/>
    <n v="1"/>
    <x v="0"/>
    <n v="17649"/>
    <n v="1"/>
    <n v="0"/>
  </r>
  <r>
    <x v="1580"/>
    <n v="19"/>
    <n v="1"/>
    <n v="10"/>
    <n v="2"/>
    <n v="1"/>
    <n v="8"/>
    <x v="1"/>
    <n v="46984"/>
    <n v="1"/>
    <n v="1"/>
  </r>
  <r>
    <x v="1581"/>
    <n v="252"/>
    <n v="98"/>
    <n v="827"/>
    <n v="219"/>
    <n v="70"/>
    <n v="196"/>
    <x v="0"/>
    <n v="69930"/>
    <n v="0"/>
    <n v="0"/>
  </r>
  <r>
    <x v="1582"/>
    <n v="5"/>
    <n v="6"/>
    <n v="10"/>
    <n v="6"/>
    <n v="5"/>
    <n v="10"/>
    <x v="1"/>
    <n v="54162"/>
    <n v="1"/>
    <n v="1"/>
  </r>
  <r>
    <x v="1583"/>
    <n v="750"/>
    <n v="71"/>
    <n v="174"/>
    <n v="13"/>
    <n v="10"/>
    <n v="20"/>
    <x v="0"/>
    <n v="69805"/>
    <n v="0"/>
    <n v="1"/>
  </r>
  <r>
    <x v="1584"/>
    <n v="11"/>
    <n v="0"/>
    <n v="3"/>
    <n v="0"/>
    <n v="0"/>
    <n v="1"/>
    <x v="1"/>
    <n v="39996"/>
    <n v="1"/>
    <n v="1"/>
  </r>
  <r>
    <x v="1585"/>
    <n v="5"/>
    <n v="23"/>
    <n v="15"/>
    <n v="0"/>
    <n v="18"/>
    <n v="14"/>
    <x v="0"/>
    <n v="23724"/>
    <n v="1"/>
    <n v="0"/>
  </r>
  <r>
    <x v="1586"/>
    <n v="121"/>
    <n v="62"/>
    <n v="90"/>
    <n v="68"/>
    <n v="20"/>
    <n v="125"/>
    <x v="0"/>
    <n v="53172"/>
    <n v="0"/>
    <n v="1"/>
  </r>
  <r>
    <x v="1587"/>
    <n v="399"/>
    <n v="28"/>
    <n v="756"/>
    <n v="36"/>
    <n v="40"/>
    <n v="126"/>
    <x v="0"/>
    <n v="86111"/>
    <n v="0"/>
    <n v="0"/>
  </r>
  <r>
    <x v="1588"/>
    <n v="90"/>
    <n v="17"/>
    <n v="97"/>
    <n v="15"/>
    <n v="6"/>
    <n v="15"/>
    <x v="0"/>
    <n v="43462"/>
    <n v="1"/>
    <n v="1"/>
  </r>
  <r>
    <x v="1589"/>
    <n v="7"/>
    <n v="7"/>
    <n v="14"/>
    <n v="7"/>
    <n v="16"/>
    <n v="15"/>
    <x v="1"/>
    <n v="14906"/>
    <n v="0"/>
    <n v="0"/>
  </r>
  <r>
    <x v="1590"/>
    <n v="565"/>
    <n v="42"/>
    <n v="548"/>
    <n v="64"/>
    <n v="83"/>
    <n v="99"/>
    <x v="0"/>
    <n v="79456"/>
    <n v="0"/>
    <n v="0"/>
  </r>
  <r>
    <x v="1591"/>
    <n v="1149"/>
    <n v="71"/>
    <n v="449"/>
    <n v="69"/>
    <n v="71"/>
    <n v="26"/>
    <x v="0"/>
    <n v="80427"/>
    <n v="0"/>
    <n v="1"/>
  </r>
  <r>
    <x v="1592"/>
    <n v="11"/>
    <n v="3"/>
    <n v="22"/>
    <n v="2"/>
    <n v="2"/>
    <n v="6"/>
    <x v="1"/>
    <n v="28567"/>
    <n v="1"/>
    <n v="0"/>
  </r>
  <r>
    <x v="1593"/>
    <n v="77"/>
    <n v="8"/>
    <n v="44"/>
    <n v="10"/>
    <n v="10"/>
    <n v="25"/>
    <x v="1"/>
    <n v="41713"/>
    <n v="1"/>
    <n v="1"/>
  </r>
  <r>
    <x v="1594"/>
    <n v="1298"/>
    <n v="0"/>
    <n v="70"/>
    <n v="37"/>
    <n v="14"/>
    <n v="42"/>
    <x v="1"/>
    <n v="67369"/>
    <n v="0"/>
    <n v="1"/>
  </r>
  <r>
    <x v="1595"/>
    <n v="29"/>
    <n v="1"/>
    <n v="9"/>
    <n v="2"/>
    <n v="0"/>
    <n v="2"/>
    <x v="1"/>
    <n v="55563"/>
    <n v="0"/>
    <n v="1"/>
  </r>
  <r>
    <x v="1596"/>
    <n v="800"/>
    <n v="0"/>
    <n v="297"/>
    <n v="0"/>
    <n v="34"/>
    <n v="57"/>
    <x v="0"/>
    <n v="75433"/>
    <n v="1"/>
    <n v="0"/>
  </r>
  <r>
    <x v="1597"/>
    <n v="20"/>
    <n v="2"/>
    <n v="9"/>
    <n v="4"/>
    <n v="6"/>
    <n v="20"/>
    <x v="0"/>
    <n v="37235"/>
    <n v="1"/>
    <n v="0"/>
  </r>
  <r>
    <x v="1598"/>
    <n v="14"/>
    <n v="0"/>
    <n v="3"/>
    <n v="0"/>
    <n v="0"/>
    <n v="3"/>
    <x v="0"/>
    <n v="45068"/>
    <n v="0"/>
    <n v="1"/>
  </r>
  <r>
    <x v="1599"/>
    <n v="482"/>
    <n v="34"/>
    <n v="471"/>
    <n v="119"/>
    <n v="68"/>
    <n v="22"/>
    <x v="0"/>
    <n v="68657"/>
    <n v="0"/>
    <n v="0"/>
  </r>
  <r>
    <x v="1600"/>
    <n v="280"/>
    <n v="0"/>
    <n v="18"/>
    <n v="0"/>
    <n v="0"/>
    <n v="24"/>
    <x v="0"/>
    <n v="57420"/>
    <n v="0"/>
    <n v="1"/>
  </r>
  <r>
    <x v="1601"/>
    <n v="56"/>
    <n v="4"/>
    <n v="76"/>
    <n v="17"/>
    <n v="1"/>
    <n v="18"/>
    <x v="0"/>
    <n v="36145"/>
    <n v="1"/>
    <n v="0"/>
  </r>
  <r>
    <x v="1602"/>
    <n v="296"/>
    <n v="13"/>
    <n v="104"/>
    <n v="11"/>
    <n v="13"/>
    <n v="17"/>
    <x v="0"/>
    <n v="57045"/>
    <n v="0"/>
    <n v="1"/>
  </r>
  <r>
    <x v="1603"/>
    <n v="301"/>
    <n v="7"/>
    <n v="74"/>
    <n v="10"/>
    <n v="0"/>
    <n v="58"/>
    <x v="0"/>
    <n v="62058"/>
    <n v="0"/>
    <n v="1"/>
  </r>
  <r>
    <x v="1604"/>
    <n v="35"/>
    <n v="40"/>
    <n v="111"/>
    <n v="36"/>
    <n v="40"/>
    <n v="12"/>
    <x v="0"/>
    <n v="59060"/>
    <n v="1"/>
    <n v="0"/>
  </r>
  <r>
    <x v="1605"/>
    <n v="70"/>
    <n v="6"/>
    <n v="69"/>
    <n v="2"/>
    <n v="3"/>
    <n v="3"/>
    <x v="0"/>
    <n v="38175"/>
    <n v="1"/>
    <n v="0"/>
  </r>
  <r>
    <x v="1606"/>
    <n v="283"/>
    <n v="10"/>
    <n v="38"/>
    <n v="0"/>
    <n v="13"/>
    <n v="27"/>
    <x v="1"/>
    <n v="48904"/>
    <n v="0"/>
    <n v="1"/>
  </r>
  <r>
    <x v="1607"/>
    <n v="12"/>
    <n v="3"/>
    <n v="8"/>
    <n v="8"/>
    <n v="0"/>
    <n v="17"/>
    <x v="1"/>
    <n v="13533"/>
    <n v="1"/>
    <n v="0"/>
  </r>
  <r>
    <x v="1608"/>
    <n v="230"/>
    <n v="14"/>
    <n v="156"/>
    <n v="82"/>
    <n v="24"/>
    <n v="58"/>
    <x v="0"/>
    <n v="51195"/>
    <n v="1"/>
    <n v="1"/>
  </r>
  <r>
    <x v="1609"/>
    <n v="37"/>
    <n v="5"/>
    <n v="56"/>
    <n v="12"/>
    <n v="8"/>
    <n v="5"/>
    <x v="0"/>
    <n v="37509"/>
    <n v="1"/>
    <n v="0"/>
  </r>
  <r>
    <x v="1610"/>
    <n v="387"/>
    <n v="126"/>
    <n v="342"/>
    <n v="0"/>
    <n v="45"/>
    <n v="180"/>
    <x v="0"/>
    <n v="61064"/>
    <n v="0"/>
    <n v="1"/>
  </r>
  <r>
    <x v="1611"/>
    <n v="516"/>
    <n v="0"/>
    <n v="21"/>
    <n v="0"/>
    <n v="0"/>
    <n v="5"/>
    <x v="0"/>
    <n v="44325"/>
    <n v="0"/>
    <n v="1"/>
  </r>
  <r>
    <x v="1612"/>
    <n v="75"/>
    <n v="12"/>
    <n v="141"/>
    <n v="43"/>
    <n v="39"/>
    <n v="187"/>
    <x v="0"/>
    <n v="35196"/>
    <n v="1"/>
    <n v="0"/>
  </r>
  <r>
    <x v="1613"/>
    <n v="132"/>
    <n v="0"/>
    <n v="16"/>
    <n v="0"/>
    <n v="0"/>
    <n v="4"/>
    <x v="0"/>
    <n v="33629"/>
    <n v="1"/>
    <n v="1"/>
  </r>
  <r>
    <x v="1614"/>
    <n v="155"/>
    <n v="7"/>
    <n v="80"/>
    <n v="13"/>
    <n v="7"/>
    <n v="10"/>
    <x v="1"/>
    <n v="65808"/>
    <n v="1"/>
    <n v="1"/>
  </r>
  <r>
    <x v="1615"/>
    <n v="392"/>
    <n v="5"/>
    <n v="91"/>
    <n v="28"/>
    <n v="26"/>
    <n v="112"/>
    <x v="1"/>
    <n v="42720"/>
    <n v="1"/>
    <n v="1"/>
  </r>
  <r>
    <x v="1616"/>
    <n v="217"/>
    <n v="76"/>
    <n v="690"/>
    <n v="50"/>
    <n v="26"/>
    <n v="38"/>
    <x v="0"/>
    <n v="87195"/>
    <n v="0"/>
    <n v="0"/>
  </r>
  <r>
    <x v="1617"/>
    <n v="194"/>
    <n v="2"/>
    <n v="56"/>
    <n v="0"/>
    <n v="0"/>
    <n v="0"/>
    <x v="0"/>
    <n v="42586"/>
    <n v="1"/>
    <n v="1"/>
  </r>
  <r>
    <x v="1618"/>
    <n v="201"/>
    <n v="53"/>
    <n v="172"/>
    <n v="116"/>
    <n v="77"/>
    <n v="83"/>
    <x v="0"/>
    <n v="56320"/>
    <n v="0"/>
    <n v="1"/>
  </r>
  <r>
    <x v="1619"/>
    <n v="9"/>
    <n v="1"/>
    <n v="5"/>
    <n v="0"/>
    <n v="0"/>
    <n v="1"/>
    <x v="1"/>
    <n v="36627"/>
    <n v="2"/>
    <n v="0"/>
  </r>
  <r>
    <x v="1620"/>
    <n v="448"/>
    <n v="40"/>
    <n v="469"/>
    <n v="80"/>
    <n v="0"/>
    <n v="91"/>
    <x v="1"/>
    <n v="59235"/>
    <n v="1"/>
    <n v="0"/>
  </r>
  <r>
    <x v="1621"/>
    <n v="514"/>
    <n v="22"/>
    <n v="732"/>
    <n v="42"/>
    <n v="198"/>
    <n v="79"/>
    <x v="1"/>
    <n v="83917"/>
    <n v="0"/>
    <n v="0"/>
  </r>
  <r>
    <x v="1622"/>
    <n v="512"/>
    <n v="53"/>
    <n v="98"/>
    <n v="81"/>
    <n v="179"/>
    <n v="89"/>
    <x v="0"/>
    <n v="70053"/>
    <n v="0"/>
    <n v="1"/>
  </r>
  <r>
    <x v="1623"/>
    <n v="812"/>
    <n v="99"/>
    <n v="431"/>
    <n v="237"/>
    <n v="149"/>
    <n v="33"/>
    <x v="0"/>
    <n v="83033"/>
    <n v="1"/>
    <n v="0"/>
  </r>
  <r>
    <x v="1624"/>
    <n v="960"/>
    <n v="28"/>
    <n v="183"/>
    <n v="220"/>
    <n v="70"/>
    <n v="70"/>
    <x v="0"/>
    <n v="65176"/>
    <n v="0"/>
    <n v="1"/>
  </r>
  <r>
    <x v="1625"/>
    <n v="26"/>
    <n v="3"/>
    <n v="23"/>
    <n v="4"/>
    <n v="7"/>
    <n v="3"/>
    <x v="0"/>
    <n v="32146"/>
    <n v="1"/>
    <n v="0"/>
  </r>
  <r>
    <x v="1626"/>
    <n v="382"/>
    <n v="138"/>
    <n v="65"/>
    <n v="60"/>
    <n v="26"/>
    <n v="59"/>
    <x v="1"/>
    <n v="61250"/>
    <n v="0"/>
    <n v="1"/>
  </r>
  <r>
    <x v="1627"/>
    <n v="171"/>
    <n v="0"/>
    <n v="11"/>
    <n v="0"/>
    <n v="1"/>
    <n v="20"/>
    <x v="1"/>
    <n v="54137"/>
    <n v="0"/>
    <n v="1"/>
  </r>
  <r>
    <x v="1628"/>
    <n v="397"/>
    <n v="46"/>
    <n v="288"/>
    <n v="20"/>
    <n v="38"/>
    <n v="70"/>
    <x v="0"/>
    <n v="65569"/>
    <n v="0"/>
    <n v="1"/>
  </r>
  <r>
    <x v="1629"/>
    <n v="27"/>
    <n v="0"/>
    <n v="5"/>
    <n v="0"/>
    <n v="0"/>
    <n v="3"/>
    <x v="1"/>
    <n v="35791"/>
    <n v="2"/>
    <n v="1"/>
  </r>
  <r>
    <x v="1630"/>
    <n v="35"/>
    <n v="0"/>
    <n v="4"/>
    <n v="0"/>
    <n v="0"/>
    <n v="10"/>
    <x v="0"/>
    <n v="40451"/>
    <n v="0"/>
    <n v="2"/>
  </r>
  <r>
    <x v="1631"/>
    <n v="480"/>
    <n v="86"/>
    <n v="249"/>
    <n v="75"/>
    <n v="86"/>
    <n v="144"/>
    <x v="1"/>
    <n v="64831"/>
    <n v="1"/>
    <n v="1"/>
  </r>
  <r>
    <x v="1632"/>
    <n v="26"/>
    <n v="0"/>
    <n v="8"/>
    <n v="0"/>
    <n v="0"/>
    <n v="3"/>
    <x v="0"/>
    <n v="44319"/>
    <n v="1"/>
    <n v="1"/>
  </r>
  <r>
    <x v="1633"/>
    <n v="548"/>
    <n v="31"/>
    <n v="422"/>
    <n v="0"/>
    <n v="112"/>
    <n v="28"/>
    <x v="0"/>
    <n v="71855"/>
    <n v="0"/>
    <n v="1"/>
  </r>
  <r>
    <x v="1634"/>
    <n v="371"/>
    <n v="22"/>
    <n v="39"/>
    <n v="6"/>
    <n v="0"/>
    <n v="92"/>
    <x v="0"/>
    <n v="62010"/>
    <n v="0"/>
    <n v="1"/>
  </r>
  <r>
    <x v="1635"/>
    <n v="14"/>
    <n v="3"/>
    <n v="21"/>
    <n v="2"/>
    <n v="1"/>
    <n v="28"/>
    <x v="0"/>
    <n v="19514"/>
    <n v="1"/>
    <n v="1"/>
  </r>
  <r>
    <x v="1636"/>
    <n v="1"/>
    <n v="3"/>
    <n v="4"/>
    <n v="2"/>
    <n v="3"/>
    <n v="11"/>
    <x v="1"/>
    <n v="16581"/>
    <n v="0"/>
    <n v="0"/>
  </r>
  <r>
    <x v="1637"/>
    <n v="806"/>
    <n v="80"/>
    <n v="161"/>
    <n v="120"/>
    <n v="11"/>
    <n v="33"/>
    <x v="0"/>
    <n v="68316"/>
    <n v="0"/>
    <n v="1"/>
  </r>
  <r>
    <x v="1638"/>
    <n v="968"/>
    <n v="147"/>
    <n v="842"/>
    <n v="137"/>
    <n v="42"/>
    <n v="210"/>
    <x v="0"/>
    <n v="83151"/>
    <n v="0"/>
    <n v="0"/>
  </r>
  <r>
    <x v="1639"/>
    <n v="39"/>
    <n v="1"/>
    <n v="16"/>
    <n v="2"/>
    <n v="0"/>
    <n v="3"/>
    <x v="0"/>
    <n v="37085"/>
    <n v="1"/>
    <n v="1"/>
  </r>
  <r>
    <x v="1640"/>
    <n v="707"/>
    <n v="44"/>
    <n v="603"/>
    <n v="95"/>
    <n v="58"/>
    <n v="29"/>
    <x v="0"/>
    <n v="70116"/>
    <n v="0"/>
    <n v="0"/>
  </r>
  <r>
    <x v="1641"/>
    <n v="1060"/>
    <n v="21"/>
    <n v="530"/>
    <n v="32"/>
    <n v="0"/>
    <n v="224"/>
    <x v="1"/>
    <n v="79800"/>
    <n v="0"/>
    <n v="0"/>
  </r>
  <r>
    <x v="1642"/>
    <n v="155"/>
    <n v="1"/>
    <n v="25"/>
    <n v="0"/>
    <n v="1"/>
    <n v="3"/>
    <x v="0"/>
    <n v="30732"/>
    <n v="1"/>
    <n v="0"/>
  </r>
  <r>
    <x v="1643"/>
    <n v="4"/>
    <n v="1"/>
    <n v="6"/>
    <n v="4"/>
    <n v="1"/>
    <n v="9"/>
    <x v="1"/>
    <n v="20518"/>
    <n v="1"/>
    <n v="0"/>
  </r>
  <r>
    <x v="1644"/>
    <n v="313"/>
    <n v="15"/>
    <n v="47"/>
    <n v="20"/>
    <n v="0"/>
    <n v="192"/>
    <x v="0"/>
    <n v="62972"/>
    <n v="0"/>
    <n v="1"/>
  </r>
  <r>
    <x v="1645"/>
    <n v="244"/>
    <n v="8"/>
    <n v="32"/>
    <n v="7"/>
    <n v="2"/>
    <n v="50"/>
    <x v="1"/>
    <n v="46086"/>
    <n v="0"/>
    <n v="1"/>
  </r>
  <r>
    <x v="1646"/>
    <n v="208"/>
    <n v="17"/>
    <n v="76"/>
    <n v="36"/>
    <n v="17"/>
    <n v="38"/>
    <x v="0"/>
    <n v="60905"/>
    <n v="0"/>
    <n v="1"/>
  </r>
  <r>
    <x v="1647"/>
    <n v="747"/>
    <n v="10"/>
    <n v="161"/>
    <n v="65"/>
    <n v="40"/>
    <n v="42"/>
    <x v="1"/>
    <n v="66565"/>
    <n v="0"/>
    <n v="1"/>
  </r>
  <r>
    <x v="1648"/>
    <n v="13"/>
    <n v="2"/>
    <n v="21"/>
    <n v="4"/>
    <n v="0"/>
    <n v="24"/>
    <x v="0"/>
    <n v="27203"/>
    <n v="1"/>
    <n v="1"/>
  </r>
  <r>
    <x v="1649"/>
    <n v="51"/>
    <n v="4"/>
    <n v="24"/>
    <n v="4"/>
    <n v="7"/>
    <n v="1"/>
    <x v="0"/>
    <n v="50523"/>
    <n v="1"/>
    <n v="1"/>
  </r>
  <r>
    <x v="1650"/>
    <n v="604"/>
    <n v="26"/>
    <n v="470"/>
    <n v="123"/>
    <n v="161"/>
    <n v="94"/>
    <x v="1"/>
    <n v="72504"/>
    <n v="0"/>
    <n v="1"/>
  </r>
  <r>
    <x v="1651"/>
    <n v="418"/>
    <n v="61"/>
    <n v="428"/>
    <n v="80"/>
    <n v="51"/>
    <n v="10"/>
    <x v="0"/>
    <n v="59304"/>
    <n v="0"/>
    <n v="1"/>
  </r>
  <r>
    <x v="1652"/>
    <n v="387"/>
    <n v="84"/>
    <n v="141"/>
    <n v="73"/>
    <n v="35"/>
    <n v="162"/>
    <x v="0"/>
    <n v="63967"/>
    <n v="0"/>
    <n v="1"/>
  </r>
  <r>
    <x v="1653"/>
    <n v="465"/>
    <n v="71"/>
    <n v="250"/>
    <n v="93"/>
    <n v="35"/>
    <n v="62"/>
    <x v="0"/>
    <n v="67131"/>
    <n v="0"/>
    <n v="1"/>
  </r>
  <r>
    <x v="1654"/>
    <n v="452"/>
    <n v="20"/>
    <n v="514"/>
    <n v="13"/>
    <n v="30"/>
    <n v="0"/>
    <x v="1"/>
    <n v="69759"/>
    <n v="0"/>
    <n v="0"/>
  </r>
  <r>
    <x v="1655"/>
    <n v="32"/>
    <n v="0"/>
    <n v="5"/>
    <n v="2"/>
    <n v="0"/>
    <n v="8"/>
    <x v="0"/>
    <n v="39722"/>
    <n v="0"/>
    <n v="1"/>
  </r>
  <r>
    <x v="1656"/>
    <n v="371"/>
    <n v="159"/>
    <n v="194"/>
    <n v="58"/>
    <n v="106"/>
    <n v="141"/>
    <x v="1"/>
    <n v="66731"/>
    <n v="0"/>
    <n v="1"/>
  </r>
  <r>
    <x v="1657"/>
    <n v="491"/>
    <n v="48"/>
    <n v="231"/>
    <n v="112"/>
    <n v="105"/>
    <n v="134"/>
    <x v="0"/>
    <n v="77382"/>
    <n v="0"/>
    <n v="1"/>
  </r>
  <r>
    <x v="1658"/>
    <n v="1205"/>
    <n v="0"/>
    <n v="235"/>
    <n v="19"/>
    <n v="14"/>
    <n v="205"/>
    <x v="0"/>
    <n v="72828"/>
    <n v="0"/>
    <n v="1"/>
  </r>
  <r>
    <x v="1659"/>
    <n v="4"/>
    <n v="1"/>
    <n v="5"/>
    <n v="2"/>
    <n v="0"/>
    <n v="3"/>
    <x v="1"/>
    <n v="31880"/>
    <n v="1"/>
    <n v="0"/>
  </r>
  <r>
    <x v="1660"/>
    <n v="179"/>
    <n v="2"/>
    <n v="64"/>
    <n v="38"/>
    <n v="17"/>
    <n v="58"/>
    <x v="0"/>
    <n v="42691"/>
    <n v="0"/>
    <n v="0"/>
  </r>
  <r>
    <x v="1661"/>
    <n v="378"/>
    <n v="0"/>
    <n v="101"/>
    <n v="0"/>
    <n v="0"/>
    <n v="72"/>
    <x v="0"/>
    <n v="43974"/>
    <n v="1"/>
    <n v="0"/>
  </r>
  <r>
    <x v="1662"/>
    <n v="23"/>
    <n v="2"/>
    <n v="11"/>
    <n v="3"/>
    <n v="1"/>
    <n v="4"/>
    <x v="0"/>
    <n v="35788"/>
    <n v="1"/>
    <n v="1"/>
  </r>
  <r>
    <x v="1663"/>
    <n v="576"/>
    <n v="172"/>
    <n v="961"/>
    <n v="125"/>
    <n v="115"/>
    <n v="19"/>
    <x v="1"/>
    <n v="91700"/>
    <n v="0"/>
    <n v="0"/>
  </r>
  <r>
    <x v="1664"/>
    <n v="825"/>
    <n v="8"/>
    <n v="53"/>
    <n v="11"/>
    <n v="0"/>
    <n v="242"/>
    <x v="1"/>
    <n v="55260"/>
    <n v="0"/>
    <n v="1"/>
  </r>
  <r>
    <x v="1665"/>
    <n v="92"/>
    <n v="4"/>
    <n v="18"/>
    <n v="3"/>
    <n v="3"/>
    <n v="6"/>
    <x v="0"/>
    <n v="61923"/>
    <n v="0"/>
    <n v="2"/>
  </r>
  <r>
    <x v="1666"/>
    <n v="458"/>
    <n v="0"/>
    <n v="24"/>
    <n v="6"/>
    <n v="4"/>
    <n v="34"/>
    <x v="1"/>
    <n v="60504"/>
    <n v="0"/>
    <n v="1"/>
  </r>
  <r>
    <x v="1667"/>
    <n v="836"/>
    <n v="185"/>
    <n v="575"/>
    <n v="24"/>
    <n v="25"/>
    <n v="77"/>
    <x v="1"/>
    <n v="64509"/>
    <n v="0"/>
    <n v="0"/>
  </r>
  <r>
    <x v="1668"/>
    <n v="171"/>
    <n v="3"/>
    <n v="129"/>
    <n v="26"/>
    <n v="24"/>
    <n v="62"/>
    <x v="0"/>
    <n v="40101"/>
    <n v="1"/>
    <n v="0"/>
  </r>
  <r>
    <x v="1669"/>
    <n v="493"/>
    <n v="26"/>
    <n v="206"/>
    <n v="116"/>
    <n v="80"/>
    <n v="80"/>
    <x v="1"/>
    <n v="58350"/>
    <n v="0"/>
    <n v="1"/>
  </r>
  <r>
    <x v="1670"/>
    <n v="1349"/>
    <n v="16"/>
    <n v="249"/>
    <n v="43"/>
    <n v="16"/>
    <n v="33"/>
    <x v="0"/>
    <n v="70356"/>
    <n v="0"/>
    <n v="0"/>
  </r>
  <r>
    <x v="1671"/>
    <n v="20"/>
    <n v="6"/>
    <n v="5"/>
    <n v="0"/>
    <n v="9"/>
    <n v="12"/>
    <x v="0"/>
    <n v="32414"/>
    <n v="0"/>
    <n v="0"/>
  </r>
  <r>
    <x v="1672"/>
    <n v="423"/>
    <n v="42"/>
    <n v="706"/>
    <n v="73"/>
    <n v="197"/>
    <n v="197"/>
    <x v="0"/>
    <n v="79529"/>
    <n v="0"/>
    <n v="0"/>
  </r>
  <r>
    <x v="1673"/>
    <n v="925"/>
    <n v="64"/>
    <n v="179"/>
    <n v="133"/>
    <n v="12"/>
    <n v="77"/>
    <x v="0"/>
    <n v="75027"/>
    <n v="0"/>
    <n v="1"/>
  </r>
  <r>
    <x v="1674"/>
    <n v="525"/>
    <n v="147"/>
    <n v="112"/>
    <n v="219"/>
    <n v="147"/>
    <n v="63"/>
    <x v="0"/>
    <n v="80950"/>
    <n v="0"/>
    <n v="0"/>
  </r>
  <r>
    <x v="1675"/>
    <n v="8"/>
    <n v="1"/>
    <n v="7"/>
    <n v="2"/>
    <n v="0"/>
    <n v="0"/>
    <x v="1"/>
    <n v="60199"/>
    <n v="1"/>
    <n v="2"/>
  </r>
  <r>
    <x v="1676"/>
    <n v="620"/>
    <n v="16"/>
    <n v="165"/>
    <n v="0"/>
    <n v="24"/>
    <n v="82"/>
    <x v="0"/>
    <n v="53977"/>
    <n v="0"/>
    <n v="1"/>
  </r>
  <r>
    <x v="1677"/>
    <n v="407"/>
    <n v="28"/>
    <n v="100"/>
    <n v="120"/>
    <n v="74"/>
    <n v="18"/>
    <x v="0"/>
    <n v="83151"/>
    <n v="0"/>
    <n v="0"/>
  </r>
  <r>
    <x v="1678"/>
    <n v="29"/>
    <n v="1"/>
    <n v="17"/>
    <n v="0"/>
    <n v="3"/>
    <n v="13"/>
    <x v="0"/>
    <n v="36781"/>
    <n v="1"/>
    <n v="0"/>
  </r>
  <r>
    <x v="1679"/>
    <n v="8"/>
    <n v="2"/>
    <n v="4"/>
    <n v="0"/>
    <n v="0"/>
    <n v="1"/>
    <x v="0"/>
    <n v="34242"/>
    <n v="0"/>
    <n v="1"/>
  </r>
  <r>
    <x v="1680"/>
    <n v="324"/>
    <n v="132"/>
    <n v="693"/>
    <n v="27"/>
    <n v="118"/>
    <n v="88"/>
    <x v="0"/>
    <n v="81795"/>
    <n v="0"/>
    <n v="0"/>
  </r>
  <r>
    <x v="1681"/>
    <n v="1252"/>
    <n v="0"/>
    <n v="465"/>
    <n v="46"/>
    <n v="35"/>
    <n v="0"/>
    <x v="0"/>
    <n v="81574"/>
    <n v="0"/>
    <n v="0"/>
  </r>
  <r>
    <x v="1682"/>
    <n v="12"/>
    <n v="4"/>
    <n v="7"/>
    <n v="1"/>
    <n v="3"/>
    <n v="5"/>
    <x v="0"/>
    <n v="5305"/>
    <n v="0"/>
    <n v="1"/>
  </r>
  <r>
    <x v="1683"/>
    <n v="311"/>
    <n v="26"/>
    <n v="640"/>
    <n v="180"/>
    <n v="37"/>
    <n v="121"/>
    <x v="1"/>
    <n v="79689"/>
    <n v="0"/>
    <n v="0"/>
  </r>
  <r>
    <x v="1684"/>
    <n v="2"/>
    <n v="0"/>
    <n v="7"/>
    <n v="3"/>
    <n v="7"/>
    <n v="10"/>
    <x v="0"/>
    <n v="13084"/>
    <n v="0"/>
    <n v="0"/>
  </r>
  <r>
    <x v="1685"/>
    <n v="512"/>
    <n v="0"/>
    <n v="83"/>
    <n v="0"/>
    <n v="0"/>
    <n v="41"/>
    <x v="1"/>
    <n v="62187"/>
    <n v="0"/>
    <n v="1"/>
  </r>
  <r>
    <x v="1686"/>
    <n v="31"/>
    <n v="0"/>
    <n v="7"/>
    <n v="2"/>
    <n v="0"/>
    <n v="6"/>
    <x v="0"/>
    <n v="50943"/>
    <n v="0"/>
    <n v="1"/>
  </r>
  <r>
    <x v="1687"/>
    <n v="693"/>
    <n v="21"/>
    <n v="118"/>
    <n v="110"/>
    <n v="147"/>
    <n v="42"/>
    <x v="0"/>
    <n v="92533"/>
    <n v="0"/>
    <n v="0"/>
  </r>
  <r>
    <x v="1688"/>
    <n v="515"/>
    <n v="47"/>
    <n v="267"/>
    <n v="62"/>
    <n v="66"/>
    <n v="38"/>
    <x v="1"/>
    <n v="62450"/>
    <n v="0"/>
    <n v="1"/>
  </r>
  <r>
    <x v="1689"/>
    <n v="86"/>
    <n v="2"/>
    <n v="73"/>
    <n v="69"/>
    <n v="38"/>
    <n v="48"/>
    <x v="0"/>
    <n v="37040"/>
    <n v="0"/>
    <n v="0"/>
  </r>
  <r>
    <x v="1690"/>
    <n v="492"/>
    <n v="5"/>
    <n v="32"/>
    <n v="13"/>
    <n v="5"/>
    <n v="21"/>
    <x v="1"/>
    <n v="69263"/>
    <n v="0"/>
    <n v="1"/>
  </r>
  <r>
    <x v="1691"/>
    <n v="1048"/>
    <n v="0"/>
    <n v="217"/>
    <n v="0"/>
    <n v="0"/>
    <n v="12"/>
    <x v="1"/>
    <n v="60000"/>
    <n v="0"/>
    <n v="1"/>
  </r>
  <r>
    <x v="1692"/>
    <n v="688"/>
    <n v="14"/>
    <n v="309"/>
    <n v="201"/>
    <n v="24"/>
    <n v="38"/>
    <x v="1"/>
    <n v="88194"/>
    <n v="0"/>
    <n v="1"/>
  </r>
  <r>
    <x v="1693"/>
    <n v="562"/>
    <n v="81"/>
    <n v="276"/>
    <n v="80"/>
    <n v="40"/>
    <n v="81"/>
    <x v="0"/>
    <n v="65846"/>
    <n v="0"/>
    <n v="0"/>
  </r>
  <r>
    <x v="1694"/>
    <n v="328"/>
    <n v="9"/>
    <n v="124"/>
    <n v="12"/>
    <n v="24"/>
    <n v="109"/>
    <x v="0"/>
    <n v="66373"/>
    <n v="1"/>
    <n v="1"/>
  </r>
  <r>
    <x v="1695"/>
    <n v="274"/>
    <n v="0"/>
    <n v="21"/>
    <n v="4"/>
    <n v="6"/>
    <n v="15"/>
    <x v="0"/>
    <n v="50127"/>
    <n v="0"/>
    <n v="1"/>
  </r>
  <r>
    <x v="1696"/>
    <n v="4"/>
    <n v="1"/>
    <n v="11"/>
    <n v="0"/>
    <n v="0"/>
    <n v="1"/>
    <x v="1"/>
    <n v="26954"/>
    <n v="1"/>
    <n v="0"/>
  </r>
  <r>
    <x v="1697"/>
    <n v="630"/>
    <n v="26"/>
    <n v="611"/>
    <n v="44"/>
    <n v="18"/>
    <n v="54"/>
    <x v="1"/>
    <n v="85485"/>
    <n v="0"/>
    <n v="0"/>
  </r>
  <r>
    <x v="1698"/>
    <n v="84"/>
    <n v="3"/>
    <n v="61"/>
    <n v="2"/>
    <n v="1"/>
    <n v="21"/>
    <x v="0"/>
    <n v="52869"/>
    <n v="1"/>
    <n v="1"/>
  </r>
  <r>
    <x v="1699"/>
    <n v="36"/>
    <n v="2"/>
    <n v="42"/>
    <n v="20"/>
    <n v="21"/>
    <n v="10"/>
    <x v="0"/>
    <n v="38360"/>
    <n v="1"/>
    <n v="0"/>
  </r>
  <r>
    <x v="1700"/>
    <n v="13"/>
    <n v="3"/>
    <n v="17"/>
    <n v="7"/>
    <n v="3"/>
    <n v="3"/>
    <x v="0"/>
    <n v="32765"/>
    <n v="1"/>
    <n v="0"/>
  </r>
  <r>
    <x v="1701"/>
    <n v="691"/>
    <n v="0"/>
    <n v="69"/>
    <n v="10"/>
    <n v="0"/>
    <n v="130"/>
    <x v="1"/>
    <n v="58308"/>
    <n v="0"/>
    <n v="1"/>
  </r>
  <r>
    <x v="1702"/>
    <n v="415"/>
    <n v="5"/>
    <n v="124"/>
    <n v="15"/>
    <n v="35"/>
    <n v="11"/>
    <x v="1"/>
    <n v="79761"/>
    <n v="0"/>
    <n v="1"/>
  </r>
  <r>
    <x v="1703"/>
    <n v="811"/>
    <n v="76"/>
    <n v="428"/>
    <n v="99"/>
    <n v="137"/>
    <n v="107"/>
    <x v="0"/>
    <n v="73538"/>
    <n v="0"/>
    <n v="1"/>
  </r>
  <r>
    <x v="1704"/>
    <n v="931"/>
    <n v="56"/>
    <n v="253"/>
    <n v="91"/>
    <n v="98"/>
    <n v="14"/>
    <x v="0"/>
    <n v="71706"/>
    <n v="0"/>
    <n v="1"/>
  </r>
  <r>
    <x v="1705"/>
    <n v="3"/>
    <n v="2"/>
    <n v="10"/>
    <n v="3"/>
    <n v="0"/>
    <n v="2"/>
    <x v="1"/>
    <n v="34738"/>
    <n v="1"/>
    <n v="0"/>
  </r>
  <r>
    <x v="1706"/>
    <n v="91"/>
    <n v="64"/>
    <n v="128"/>
    <n v="65"/>
    <n v="3"/>
    <n v="50"/>
    <x v="1"/>
    <n v="66503"/>
    <n v="1"/>
    <n v="0"/>
  </r>
  <r>
    <x v="1707"/>
    <n v="9"/>
    <n v="9"/>
    <n v="11"/>
    <n v="13"/>
    <n v="10"/>
    <n v="16"/>
    <x v="0"/>
    <n v="17148"/>
    <n v="1"/>
    <n v="0"/>
  </r>
  <r>
    <x v="1708"/>
    <n v="290"/>
    <n v="59"/>
    <n v="177"/>
    <n v="77"/>
    <n v="5"/>
    <n v="29"/>
    <x v="0"/>
    <n v="57957"/>
    <n v="0"/>
    <n v="1"/>
  </r>
  <r>
    <x v="1709"/>
    <n v="102"/>
    <n v="9"/>
    <n v="49"/>
    <n v="24"/>
    <n v="3"/>
    <n v="12"/>
    <x v="0"/>
    <n v="45921"/>
    <n v="0"/>
    <n v="0"/>
  </r>
  <r>
    <x v="1710"/>
    <n v="14"/>
    <n v="1"/>
    <n v="21"/>
    <n v="2"/>
    <n v="3"/>
    <n v="25"/>
    <x v="0"/>
    <n v="23976"/>
    <n v="1"/>
    <n v="0"/>
  </r>
  <r>
    <x v="1711"/>
    <n v="840"/>
    <n v="53"/>
    <n v="804"/>
    <n v="23"/>
    <n v="71"/>
    <n v="17"/>
    <x v="1"/>
    <n v="76412"/>
    <n v="0"/>
    <n v="0"/>
  </r>
  <r>
    <x v="1712"/>
    <n v="1279"/>
    <n v="15"/>
    <n v="287"/>
    <n v="20"/>
    <n v="0"/>
    <n v="15"/>
    <x v="0"/>
    <n v="93404"/>
    <n v="1"/>
    <n v="2"/>
  </r>
  <r>
    <x v="1713"/>
    <n v="221"/>
    <n v="104"/>
    <n v="169"/>
    <n v="102"/>
    <n v="78"/>
    <n v="84"/>
    <x v="0"/>
    <n v="58113"/>
    <n v="0"/>
    <n v="1"/>
  </r>
  <r>
    <x v="1714"/>
    <n v="39"/>
    <n v="33"/>
    <n v="130"/>
    <n v="41"/>
    <n v="26"/>
    <n v="44"/>
    <x v="1"/>
    <n v="28071"/>
    <n v="0"/>
    <n v="0"/>
  </r>
  <r>
    <x v="1715"/>
    <n v="179"/>
    <n v="28"/>
    <n v="520"/>
    <n v="111"/>
    <n v="123"/>
    <n v="47"/>
    <x v="0"/>
    <n v="81698"/>
    <n v="0"/>
    <n v="0"/>
  </r>
  <r>
    <x v="1716"/>
    <n v="261"/>
    <n v="23"/>
    <n v="73"/>
    <n v="4"/>
    <n v="23"/>
    <n v="50"/>
    <x v="0"/>
    <n v="40794"/>
    <n v="0"/>
    <n v="1"/>
  </r>
  <r>
    <x v="1717"/>
    <n v="620"/>
    <n v="54"/>
    <n v="239"/>
    <n v="99"/>
    <n v="98"/>
    <n v="119"/>
    <x v="1"/>
    <n v="49118"/>
    <n v="0"/>
    <n v="0"/>
  </r>
  <r>
    <x v="1718"/>
    <n v="5"/>
    <n v="0"/>
    <n v="8"/>
    <n v="2"/>
    <n v="0"/>
    <n v="0"/>
    <x v="0"/>
    <n v="40479"/>
    <n v="1"/>
    <n v="0"/>
  </r>
  <r>
    <x v="1719"/>
    <n v="559"/>
    <n v="153"/>
    <n v="503"/>
    <n v="218"/>
    <n v="13"/>
    <n v="181"/>
    <x v="0"/>
    <n v="73687"/>
    <n v="0"/>
    <n v="0"/>
  </r>
  <r>
    <x v="1720"/>
    <n v="5"/>
    <n v="3"/>
    <n v="4"/>
    <n v="4"/>
    <n v="1"/>
    <n v="0"/>
    <x v="0"/>
    <n v="24645"/>
    <n v="1"/>
    <n v="0"/>
  </r>
  <r>
    <x v="1721"/>
    <n v="0"/>
    <n v="2"/>
    <n v="3"/>
    <n v="4"/>
    <n v="1"/>
    <n v="5"/>
    <x v="0"/>
    <n v="7500"/>
    <n v="0"/>
    <n v="0"/>
  </r>
  <r>
    <x v="1722"/>
    <n v="944"/>
    <n v="0"/>
    <n v="60"/>
    <n v="0"/>
    <n v="0"/>
    <n v="30"/>
    <x v="0"/>
    <n v="57072"/>
    <n v="0"/>
    <n v="1"/>
  </r>
  <r>
    <x v="1723"/>
    <n v="856"/>
    <n v="61"/>
    <n v="570"/>
    <n v="40"/>
    <n v="25"/>
    <n v="122"/>
    <x v="0"/>
    <n v="83003"/>
    <n v="0"/>
    <n v="0"/>
  </r>
  <r>
    <x v="1724"/>
    <n v="86"/>
    <n v="4"/>
    <n v="56"/>
    <n v="2"/>
    <n v="4"/>
    <n v="7"/>
    <x v="0"/>
    <n v="32313"/>
    <n v="1"/>
    <n v="0"/>
  </r>
  <r>
    <x v="1725"/>
    <n v="53"/>
    <n v="1"/>
    <n v="34"/>
    <n v="2"/>
    <n v="0"/>
    <n v="16"/>
    <x v="0"/>
    <n v="33762"/>
    <n v="2"/>
    <n v="1"/>
  </r>
  <r>
    <x v="1726"/>
    <n v="11"/>
    <n v="2"/>
    <n v="9"/>
    <n v="3"/>
    <n v="0"/>
    <n v="8"/>
    <x v="0"/>
    <n v="22010"/>
    <n v="1"/>
    <n v="0"/>
  </r>
  <r>
    <x v="1727"/>
    <n v="539"/>
    <n v="169"/>
    <n v="816"/>
    <n v="20"/>
    <n v="0"/>
    <n v="30"/>
    <x v="0"/>
    <n v="64260"/>
    <n v="0"/>
    <n v="0"/>
  </r>
  <r>
    <x v="1728"/>
    <n v="365"/>
    <n v="32"/>
    <n v="117"/>
    <n v="34"/>
    <n v="110"/>
    <n v="6"/>
    <x v="1"/>
    <n v="65295"/>
    <n v="0"/>
    <n v="0"/>
  </r>
  <r>
    <x v="1729"/>
    <n v="236"/>
    <n v="106"/>
    <n v="189"/>
    <n v="23"/>
    <n v="41"/>
    <n v="130"/>
    <x v="0"/>
    <n v="73448"/>
    <n v="0"/>
    <n v="0"/>
  </r>
  <r>
    <x v="1730"/>
    <n v="882"/>
    <n v="29"/>
    <n v="514"/>
    <n v="38"/>
    <n v="29"/>
    <n v="44"/>
    <x v="0"/>
    <n v="69969"/>
    <n v="0"/>
    <n v="0"/>
  </r>
  <r>
    <x v="1731"/>
    <n v="1"/>
    <n v="8"/>
    <n v="6"/>
    <n v="4"/>
    <n v="8"/>
    <n v="16"/>
    <x v="1"/>
    <n v="23830"/>
    <n v="0"/>
    <n v="0"/>
  </r>
  <r>
    <x v="1732"/>
    <n v="0"/>
    <n v="4"/>
    <n v="5"/>
    <n v="6"/>
    <n v="0"/>
    <n v="4"/>
    <x v="1"/>
    <n v="15033"/>
    <n v="0"/>
    <n v="0"/>
  </r>
  <r>
    <x v="1733"/>
    <n v="603"/>
    <n v="45"/>
    <n v="207"/>
    <n v="36"/>
    <n v="18"/>
    <n v="54"/>
    <x v="0"/>
    <n v="65488"/>
    <n v="0"/>
    <n v="0"/>
  </r>
  <r>
    <x v="1734"/>
    <n v="66"/>
    <n v="2"/>
    <n v="40"/>
    <n v="4"/>
    <n v="3"/>
    <n v="14"/>
    <x v="0"/>
    <n v="35876"/>
    <n v="0"/>
    <n v="0"/>
  </r>
  <r>
    <x v="1735"/>
    <n v="920"/>
    <n v="138"/>
    <n v="168"/>
    <n v="36"/>
    <n v="46"/>
    <n v="30"/>
    <x v="0"/>
    <n v="64590"/>
    <n v="0"/>
    <n v="0"/>
  </r>
  <r>
    <x v="1736"/>
    <n v="153"/>
    <n v="4"/>
    <n v="56"/>
    <n v="0"/>
    <n v="9"/>
    <n v="31"/>
    <x v="1"/>
    <n v="46904"/>
    <n v="1"/>
    <n v="1"/>
  </r>
  <r>
    <x v="1737"/>
    <n v="27"/>
    <n v="1"/>
    <n v="14"/>
    <n v="4"/>
    <n v="1"/>
    <n v="21"/>
    <x v="0"/>
    <n v="35797"/>
    <n v="0"/>
    <n v="1"/>
  </r>
  <r>
    <x v="1738"/>
    <n v="267"/>
    <n v="3"/>
    <n v="30"/>
    <n v="4"/>
    <n v="0"/>
    <n v="57"/>
    <x v="1"/>
    <n v="54237"/>
    <n v="0"/>
    <n v="1"/>
  </r>
  <r>
    <x v="1739"/>
    <n v="4"/>
    <n v="16"/>
    <n v="20"/>
    <n v="0"/>
    <n v="17"/>
    <n v="20"/>
    <x v="0"/>
    <n v="18793"/>
    <n v="1"/>
    <n v="0"/>
  </r>
  <r>
    <x v="1740"/>
    <n v="8"/>
    <n v="3"/>
    <n v="9"/>
    <n v="19"/>
    <n v="4"/>
    <n v="22"/>
    <x v="0"/>
    <n v="23162"/>
    <n v="1"/>
    <n v="1"/>
  </r>
  <r>
    <x v="1741"/>
    <n v="184"/>
    <n v="174"/>
    <n v="256"/>
    <n v="50"/>
    <n v="30"/>
    <n v="32"/>
    <x v="1"/>
    <n v="73170"/>
    <n v="0"/>
    <n v="0"/>
  </r>
  <r>
    <x v="1742"/>
    <n v="335"/>
    <n v="42"/>
    <n v="127"/>
    <n v="28"/>
    <n v="5"/>
    <n v="5"/>
    <x v="0"/>
    <n v="53790"/>
    <n v="0"/>
    <n v="2"/>
  </r>
  <r>
    <x v="1743"/>
    <n v="357"/>
    <n v="35"/>
    <n v="271"/>
    <n v="28"/>
    <n v="28"/>
    <n v="14"/>
    <x v="1"/>
    <n v="67272"/>
    <n v="0"/>
    <n v="1"/>
  </r>
  <r>
    <x v="1744"/>
    <n v="32"/>
    <n v="34"/>
    <n v="41"/>
    <n v="73"/>
    <n v="16"/>
    <n v="116"/>
    <x v="0"/>
    <n v="41883"/>
    <n v="1"/>
    <n v="0"/>
  </r>
  <r>
    <x v="1745"/>
    <n v="77"/>
    <n v="2"/>
    <n v="35"/>
    <n v="0"/>
    <n v="1"/>
    <n v="69"/>
    <x v="0"/>
    <n v="38097"/>
    <n v="1"/>
    <n v="1"/>
  </r>
  <r>
    <x v="1746"/>
    <n v="62"/>
    <n v="1"/>
    <n v="20"/>
    <n v="4"/>
    <n v="0"/>
    <n v="7"/>
    <x v="1"/>
    <n v="31560"/>
    <n v="1"/>
    <n v="0"/>
  </r>
  <r>
    <x v="1747"/>
    <n v="1103"/>
    <n v="0"/>
    <n v="45"/>
    <n v="0"/>
    <n v="0"/>
    <n v="34"/>
    <x v="0"/>
    <n v="55212"/>
    <n v="0"/>
    <n v="1"/>
  </r>
  <r>
    <x v="1748"/>
    <n v="708"/>
    <n v="7"/>
    <n v="62"/>
    <n v="0"/>
    <n v="0"/>
    <n v="15"/>
    <x v="1"/>
    <n v="58086"/>
    <n v="0"/>
    <n v="1"/>
  </r>
  <r>
    <x v="1749"/>
    <n v="530"/>
    <n v="142"/>
    <n v="217"/>
    <n v="62"/>
    <n v="9"/>
    <n v="56"/>
    <x v="0"/>
    <n v="67716"/>
    <n v="0"/>
    <n v="1"/>
  </r>
  <r>
    <x v="1750"/>
    <n v="8"/>
    <n v="0"/>
    <n v="3"/>
    <n v="0"/>
    <n v="0"/>
    <n v="1"/>
    <x v="0"/>
    <n v="28764"/>
    <n v="1"/>
    <n v="1"/>
  </r>
  <r>
    <x v="1751"/>
    <n v="4"/>
    <n v="24"/>
    <n v="11"/>
    <n v="16"/>
    <n v="1"/>
    <n v="25"/>
    <x v="0"/>
    <n v="23539"/>
    <n v="0"/>
    <n v="0"/>
  </r>
  <r>
    <x v="1752"/>
    <n v="189"/>
    <n v="10"/>
    <n v="253"/>
    <n v="56"/>
    <n v="43"/>
    <n v="64"/>
    <x v="1"/>
    <n v="58275"/>
    <n v="1"/>
    <n v="1"/>
  </r>
  <r>
    <x v="1753"/>
    <n v="53"/>
    <n v="5"/>
    <n v="19"/>
    <n v="2"/>
    <n v="13"/>
    <n v="4"/>
    <x v="0"/>
    <n v="41850"/>
    <n v="1"/>
    <n v="1"/>
  </r>
  <r>
    <x v="1754"/>
    <n v="65"/>
    <n v="4"/>
    <n v="16"/>
    <n v="0"/>
    <n v="4"/>
    <n v="11"/>
    <x v="0"/>
    <n v="42386"/>
    <n v="1"/>
    <n v="0"/>
  </r>
  <r>
    <x v="1755"/>
    <n v="62"/>
    <n v="0"/>
    <n v="22"/>
    <n v="3"/>
    <n v="1"/>
    <n v="26"/>
    <x v="1"/>
    <n v="34377"/>
    <n v="0"/>
    <n v="1"/>
  </r>
  <r>
    <x v="1756"/>
    <n v="1449"/>
    <n v="89"/>
    <n v="161"/>
    <n v="69"/>
    <n v="35"/>
    <n v="107"/>
    <x v="0"/>
    <n v="76998"/>
    <n v="0"/>
    <n v="1"/>
  </r>
  <r>
    <x v="1757"/>
    <n v="731"/>
    <n v="60"/>
    <n v="353"/>
    <n v="78"/>
    <n v="12"/>
    <n v="73"/>
    <x v="1"/>
    <n v="64325"/>
    <n v="0"/>
    <n v="1"/>
  </r>
  <r>
    <x v="1758"/>
    <n v="104"/>
    <n v="20"/>
    <n v="101"/>
    <n v="24"/>
    <n v="15"/>
    <n v="5"/>
    <x v="1"/>
    <n v="23331"/>
    <n v="1"/>
    <n v="0"/>
  </r>
  <r>
    <x v="1759"/>
    <n v="465"/>
    <n v="25"/>
    <n v="132"/>
    <n v="136"/>
    <n v="0"/>
    <n v="37"/>
    <x v="0"/>
    <n v="71499"/>
    <n v="0"/>
    <n v="1"/>
  </r>
  <r>
    <x v="1760"/>
    <n v="912"/>
    <n v="72"/>
    <n v="170"/>
    <n v="47"/>
    <n v="36"/>
    <n v="97"/>
    <x v="1"/>
    <n v="78499"/>
    <n v="0"/>
    <n v="0"/>
  </r>
  <r>
    <x v="1761"/>
    <n v="228"/>
    <n v="19"/>
    <n v="130"/>
    <n v="4"/>
    <n v="11"/>
    <n v="51"/>
    <x v="0"/>
    <n v="58116"/>
    <n v="0"/>
    <n v="1"/>
  </r>
  <r>
    <x v="1762"/>
    <n v="866"/>
    <n v="21"/>
    <n v="151"/>
    <n v="28"/>
    <n v="21"/>
    <n v="86"/>
    <x v="1"/>
    <n v="83664"/>
    <n v="1"/>
    <n v="1"/>
  </r>
  <r>
    <x v="1763"/>
    <n v="853"/>
    <n v="10"/>
    <n v="143"/>
    <n v="13"/>
    <n v="10"/>
    <n v="20"/>
    <x v="1"/>
    <n v="44802"/>
    <n v="0"/>
    <n v="0"/>
  </r>
  <r>
    <x v="1764"/>
    <n v="22"/>
    <n v="4"/>
    <n v="17"/>
    <n v="12"/>
    <n v="10"/>
    <n v="13"/>
    <x v="0"/>
    <n v="28587"/>
    <n v="1"/>
    <n v="0"/>
  </r>
  <r>
    <x v="1765"/>
    <n v="3"/>
    <n v="6"/>
    <n v="7"/>
    <n v="0"/>
    <n v="0"/>
    <n v="3"/>
    <x v="0"/>
    <n v="24884"/>
    <n v="1"/>
    <n v="0"/>
  </r>
  <r>
    <x v="1766"/>
    <n v="899"/>
    <n v="0"/>
    <n v="101"/>
    <n v="0"/>
    <n v="0"/>
    <n v="20"/>
    <x v="1"/>
    <n v="62000"/>
    <n v="0"/>
    <n v="1"/>
  </r>
  <r>
    <x v="1767"/>
    <n v="159"/>
    <n v="0"/>
    <n v="22"/>
    <n v="2"/>
    <n v="1"/>
    <n v="31"/>
    <x v="0"/>
    <n v="44911"/>
    <n v="0"/>
    <n v="1"/>
  </r>
  <r>
    <x v="1768"/>
    <n v="1"/>
    <n v="6"/>
    <n v="7"/>
    <n v="11"/>
    <n v="5"/>
    <n v="3"/>
    <x v="0"/>
    <n v="21918"/>
    <n v="1"/>
    <n v="0"/>
  </r>
  <r>
    <x v="1769"/>
    <n v="336"/>
    <n v="123"/>
    <n v="274"/>
    <n v="46"/>
    <n v="123"/>
    <n v="141"/>
    <x v="0"/>
    <n v="71391"/>
    <n v="0"/>
    <n v="1"/>
  </r>
  <r>
    <x v="1770"/>
    <n v="135"/>
    <n v="1"/>
    <n v="41"/>
    <n v="10"/>
    <n v="1"/>
    <n v="67"/>
    <x v="0"/>
    <n v="34074"/>
    <n v="1"/>
    <n v="1"/>
  </r>
  <r>
    <x v="1771"/>
    <n v="742"/>
    <n v="28"/>
    <n v="152"/>
    <n v="25"/>
    <n v="9"/>
    <n v="57"/>
    <x v="0"/>
    <n v="66476"/>
    <n v="0"/>
    <n v="1"/>
  </r>
  <r>
    <x v="1772"/>
    <n v="3"/>
    <n v="18"/>
    <n v="14"/>
    <n v="15"/>
    <n v="22"/>
    <n v="50"/>
    <x v="0"/>
    <n v="7500"/>
    <n v="0"/>
    <n v="0"/>
  </r>
  <r>
    <x v="1773"/>
    <n v="127"/>
    <n v="1"/>
    <n v="56"/>
    <n v="0"/>
    <n v="1"/>
    <n v="31"/>
    <x v="0"/>
    <n v="39665"/>
    <n v="1"/>
    <n v="0"/>
  </r>
  <r>
    <x v="1774"/>
    <n v="606"/>
    <n v="148"/>
    <n v="228"/>
    <n v="15"/>
    <n v="148"/>
    <n v="22"/>
    <x v="1"/>
    <n v="82716"/>
    <n v="0"/>
    <n v="0"/>
  </r>
  <r>
    <x v="1775"/>
    <n v="5"/>
    <n v="0"/>
    <n v="1"/>
    <n v="1"/>
    <n v="1"/>
    <n v="1"/>
    <x v="0"/>
    <n v="4023"/>
    <n v="1"/>
    <n v="1"/>
  </r>
  <r>
    <x v="1776"/>
    <n v="187"/>
    <n v="81"/>
    <n v="149"/>
    <n v="25"/>
    <n v="43"/>
    <n v="91"/>
    <x v="1"/>
    <n v="70337"/>
    <n v="0"/>
    <n v="0"/>
  </r>
  <r>
    <x v="1777"/>
    <n v="519"/>
    <n v="17"/>
    <n v="813"/>
    <n v="27"/>
    <n v="173"/>
    <n v="51"/>
    <x v="0"/>
    <n v="80067"/>
    <n v="0"/>
    <n v="0"/>
  </r>
  <r>
    <x v="1778"/>
    <n v="382"/>
    <n v="114"/>
    <n v="276"/>
    <n v="75"/>
    <n v="124"/>
    <n v="38"/>
    <x v="0"/>
    <n v="64961"/>
    <n v="0"/>
    <n v="1"/>
  </r>
  <r>
    <x v="1779"/>
    <n v="598"/>
    <n v="16"/>
    <n v="141"/>
    <n v="32"/>
    <n v="41"/>
    <n v="49"/>
    <x v="0"/>
    <n v="59809"/>
    <n v="0"/>
    <n v="2"/>
  </r>
  <r>
    <x v="1780"/>
    <n v="368"/>
    <n v="32"/>
    <n v="639"/>
    <n v="13"/>
    <n v="43"/>
    <n v="10"/>
    <x v="0"/>
    <n v="78093"/>
    <n v="0"/>
    <n v="0"/>
  </r>
  <r>
    <x v="1781"/>
    <n v="0"/>
    <n v="0"/>
    <n v="1"/>
    <n v="8"/>
    <n v="3"/>
    <n v="2"/>
    <x v="1"/>
    <n v="26868"/>
    <n v="1"/>
    <n v="0"/>
  </r>
  <r>
    <x v="1782"/>
    <n v="160"/>
    <n v="15"/>
    <n v="196"/>
    <n v="15"/>
    <n v="11"/>
    <n v="50"/>
    <x v="1"/>
    <n v="53034"/>
    <n v="1"/>
    <n v="1"/>
  </r>
  <r>
    <x v="1783"/>
    <n v="42"/>
    <n v="11"/>
    <n v="57"/>
    <n v="10"/>
    <n v="28"/>
    <n v="14"/>
    <x v="0"/>
    <n v="55375"/>
    <n v="0"/>
    <n v="1"/>
  </r>
  <r>
    <x v="1784"/>
    <n v="397"/>
    <n v="19"/>
    <n v="69"/>
    <n v="12"/>
    <n v="0"/>
    <n v="9"/>
    <x v="0"/>
    <n v="65526"/>
    <n v="0"/>
    <n v="1"/>
  </r>
  <r>
    <x v="1785"/>
    <n v="370"/>
    <n v="9"/>
    <n v="92"/>
    <n v="6"/>
    <n v="9"/>
    <n v="4"/>
    <x v="0"/>
    <n v="50437"/>
    <n v="0"/>
    <n v="2"/>
  </r>
  <r>
    <x v="1786"/>
    <n v="15"/>
    <n v="6"/>
    <n v="20"/>
    <n v="4"/>
    <n v="5"/>
    <n v="20"/>
    <x v="0"/>
    <n v="30631"/>
    <n v="1"/>
    <n v="0"/>
  </r>
  <r>
    <x v="1787"/>
    <n v="321"/>
    <n v="11"/>
    <n v="309"/>
    <n v="33"/>
    <n v="26"/>
    <n v="34"/>
    <x v="1"/>
    <n v="78901"/>
    <n v="0"/>
    <n v="1"/>
  </r>
  <r>
    <x v="1788"/>
    <n v="349"/>
    <n v="16"/>
    <n v="144"/>
    <n v="28"/>
    <n v="5"/>
    <n v="182"/>
    <x v="0"/>
    <n v="56337"/>
    <n v="1"/>
    <n v="1"/>
  </r>
  <r>
    <x v="1789"/>
    <n v="16"/>
    <n v="0"/>
    <n v="23"/>
    <n v="3"/>
    <n v="2"/>
    <n v="10"/>
    <x v="0"/>
    <n v="19444"/>
    <n v="1"/>
    <n v="0"/>
  </r>
  <r>
    <x v="1790"/>
    <n v="553"/>
    <n v="25"/>
    <n v="142"/>
    <n v="65"/>
    <n v="67"/>
    <n v="8"/>
    <x v="1"/>
    <n v="70379"/>
    <n v="0"/>
    <n v="1"/>
  </r>
  <r>
    <x v="1791"/>
    <n v="610"/>
    <n v="105"/>
    <n v="125"/>
    <n v="137"/>
    <n v="42"/>
    <n v="21"/>
    <x v="0"/>
    <n v="75276"/>
    <n v="0"/>
    <n v="0"/>
  </r>
  <r>
    <x v="1792"/>
    <n v="5"/>
    <n v="17"/>
    <n v="17"/>
    <n v="13"/>
    <n v="14"/>
    <n v="34"/>
    <x v="0"/>
    <n v="7500"/>
    <n v="1"/>
    <n v="0"/>
  </r>
  <r>
    <x v="1793"/>
    <n v="100"/>
    <n v="2"/>
    <n v="16"/>
    <n v="2"/>
    <n v="1"/>
    <n v="31"/>
    <x v="1"/>
    <n v="36957"/>
    <n v="1"/>
    <n v="1"/>
  </r>
  <r>
    <x v="1794"/>
    <n v="12"/>
    <n v="0"/>
    <n v="4"/>
    <n v="0"/>
    <n v="0"/>
    <n v="0"/>
    <x v="1"/>
    <n v="54466"/>
    <n v="1"/>
    <n v="1"/>
  </r>
  <r>
    <x v="1795"/>
    <n v="20"/>
    <n v="2"/>
    <n v="23"/>
    <n v="3"/>
    <n v="1"/>
    <n v="4"/>
    <x v="0"/>
    <n v="16927"/>
    <n v="1"/>
    <n v="1"/>
  </r>
  <r>
    <x v="1796"/>
    <n v="3"/>
    <n v="5"/>
    <n v="14"/>
    <n v="2"/>
    <n v="12"/>
    <n v="17"/>
    <x v="1"/>
    <n v="12571"/>
    <n v="1"/>
    <n v="0"/>
  </r>
  <r>
    <x v="1797"/>
    <n v="503"/>
    <n v="27"/>
    <n v="419"/>
    <n v="90"/>
    <n v="139"/>
    <n v="153"/>
    <x v="1"/>
    <n v="72282"/>
    <n v="0"/>
    <n v="0"/>
  </r>
  <r>
    <x v="1798"/>
    <n v="724"/>
    <n v="17"/>
    <n v="143"/>
    <n v="0"/>
    <n v="8"/>
    <n v="196"/>
    <x v="0"/>
    <n v="59462"/>
    <n v="0"/>
    <n v="1"/>
  </r>
  <r>
    <x v="1799"/>
    <n v="4"/>
    <n v="0"/>
    <n v="4"/>
    <n v="0"/>
    <n v="0"/>
    <n v="5"/>
    <x v="0"/>
    <n v="25176"/>
    <n v="1"/>
    <n v="1"/>
  </r>
  <r>
    <x v="1800"/>
    <n v="2"/>
    <n v="7"/>
    <n v="5"/>
    <n v="2"/>
    <n v="15"/>
    <n v="27"/>
    <x v="0"/>
    <n v="13724"/>
    <n v="1"/>
    <n v="0"/>
  </r>
  <r>
    <x v="1801"/>
    <n v="3"/>
    <n v="2"/>
    <n v="8"/>
    <n v="20"/>
    <n v="0"/>
    <n v="17"/>
    <x v="0"/>
    <n v="24434"/>
    <n v="2"/>
    <n v="0"/>
  </r>
  <r>
    <x v="1802"/>
    <n v="168"/>
    <n v="148"/>
    <n v="444"/>
    <n v="32"/>
    <n v="172"/>
    <n v="148"/>
    <x v="1"/>
    <n v="102692"/>
    <n v="0"/>
    <n v="0"/>
  </r>
  <r>
    <x v="1803"/>
    <n v="520"/>
    <n v="20"/>
    <n v="367"/>
    <n v="39"/>
    <n v="81"/>
    <n v="40"/>
    <x v="1"/>
    <n v="60230"/>
    <n v="0"/>
    <n v="1"/>
  </r>
  <r>
    <x v="1804"/>
    <n v="1073"/>
    <n v="0"/>
    <n v="250"/>
    <n v="153"/>
    <n v="14"/>
    <n v="14"/>
    <x v="1"/>
    <n v="70044"/>
    <n v="0"/>
    <n v="1"/>
  </r>
  <r>
    <x v="1805"/>
    <n v="1001"/>
    <n v="12"/>
    <n v="240"/>
    <n v="16"/>
    <n v="12"/>
    <n v="12"/>
    <x v="1"/>
    <n v="74165"/>
    <n v="0"/>
    <n v="0"/>
  </r>
  <r>
    <x v="1806"/>
    <n v="238"/>
    <n v="115"/>
    <n v="215"/>
    <n v="169"/>
    <n v="69"/>
    <n v="76"/>
    <x v="0"/>
    <n v="55434"/>
    <n v="1"/>
    <n v="0"/>
  </r>
  <r>
    <x v="1807"/>
    <n v="395"/>
    <n v="183"/>
    <n v="565"/>
    <n v="166"/>
    <n v="141"/>
    <n v="28"/>
    <x v="1"/>
    <n v="79946"/>
    <n v="0"/>
    <n v="0"/>
  </r>
  <r>
    <x v="1808"/>
    <n v="4"/>
    <n v="0"/>
    <n v="2"/>
    <n v="0"/>
    <n v="0"/>
    <n v="2"/>
    <x v="0"/>
    <n v="33590"/>
    <n v="2"/>
    <n v="1"/>
  </r>
  <r>
    <x v="1809"/>
    <n v="301"/>
    <n v="11"/>
    <n v="61"/>
    <n v="4"/>
    <n v="7"/>
    <n v="11"/>
    <x v="0"/>
    <n v="58692"/>
    <n v="0"/>
    <n v="1"/>
  </r>
  <r>
    <x v="1810"/>
    <n v="482"/>
    <n v="147"/>
    <n v="509"/>
    <n v="104"/>
    <n v="107"/>
    <n v="107"/>
    <x v="0"/>
    <n v="82427"/>
    <n v="0"/>
    <n v="0"/>
  </r>
  <r>
    <x v="1811"/>
    <n v="1302"/>
    <n v="68"/>
    <n v="731"/>
    <n v="89"/>
    <n v="114"/>
    <n v="45"/>
    <x v="1"/>
    <n v="93790"/>
    <n v="0"/>
    <n v="0"/>
  </r>
  <r>
    <x v="1812"/>
    <n v="1308"/>
    <n v="0"/>
    <n v="396"/>
    <n v="23"/>
    <n v="0"/>
    <n v="0"/>
    <x v="0"/>
    <n v="70123"/>
    <n v="0"/>
    <n v="0"/>
  </r>
  <r>
    <x v="1813"/>
    <n v="7"/>
    <n v="1"/>
    <n v="6"/>
    <n v="0"/>
    <n v="3"/>
    <n v="3"/>
    <x v="1"/>
    <n v="39228"/>
    <n v="0"/>
    <n v="0"/>
  </r>
  <r>
    <x v="1814"/>
    <n v="372"/>
    <n v="18"/>
    <n v="126"/>
    <n v="47"/>
    <n v="48"/>
    <n v="78"/>
    <x v="1"/>
    <n v="66476"/>
    <n v="0"/>
    <n v="1"/>
  </r>
  <r>
    <x v="1815"/>
    <n v="25"/>
    <n v="1"/>
    <n v="13"/>
    <n v="0"/>
    <n v="0"/>
    <n v="3"/>
    <x v="0"/>
    <n v="38887"/>
    <n v="1"/>
    <n v="0"/>
  </r>
  <r>
    <x v="1816"/>
    <n v="464"/>
    <n v="28"/>
    <n v="873"/>
    <n v="29"/>
    <n v="18"/>
    <n v="37"/>
    <x v="1"/>
    <n v="86429"/>
    <n v="0"/>
    <n v="0"/>
  </r>
  <r>
    <x v="1817"/>
    <n v="317"/>
    <n v="46"/>
    <n v="247"/>
    <n v="151"/>
    <n v="46"/>
    <n v="139"/>
    <x v="1"/>
    <n v="62204"/>
    <n v="0"/>
    <n v="2"/>
  </r>
  <r>
    <x v="1818"/>
    <n v="215"/>
    <n v="63"/>
    <n v="507"/>
    <n v="231"/>
    <n v="31"/>
    <n v="190"/>
    <x v="1"/>
    <n v="84196"/>
    <n v="0"/>
    <n v="1"/>
  </r>
  <r>
    <x v="1819"/>
    <n v="89"/>
    <n v="15"/>
    <n v="89"/>
    <n v="34"/>
    <n v="42"/>
    <n v="5"/>
    <x v="1"/>
    <n v="59686"/>
    <n v="0"/>
    <n v="1"/>
  </r>
  <r>
    <x v="1820"/>
    <n v="440"/>
    <n v="81"/>
    <n v="368"/>
    <n v="0"/>
    <n v="122"/>
    <n v="174"/>
    <x v="1"/>
    <n v="58710"/>
    <n v="0"/>
    <n v="1"/>
  </r>
  <r>
    <x v="1821"/>
    <n v="712"/>
    <n v="50"/>
    <n v="420"/>
    <n v="65"/>
    <n v="38"/>
    <n v="38"/>
    <x v="1"/>
    <n v="82733"/>
    <n v="0"/>
    <n v="0"/>
  </r>
  <r>
    <x v="1822"/>
    <n v="1017"/>
    <n v="33"/>
    <n v="417"/>
    <n v="108"/>
    <n v="100"/>
    <n v="16"/>
    <x v="1"/>
    <n v="94472"/>
    <n v="0"/>
    <n v="1"/>
  </r>
  <r>
    <x v="1823"/>
    <n v="18"/>
    <n v="0"/>
    <n v="2"/>
    <n v="0"/>
    <n v="0"/>
    <n v="2"/>
    <x v="1"/>
    <n v="32173"/>
    <n v="0"/>
    <n v="1"/>
  </r>
  <r>
    <x v="1824"/>
    <n v="159"/>
    <n v="0"/>
    <n v="120"/>
    <n v="0"/>
    <n v="0"/>
    <n v="137"/>
    <x v="1"/>
    <n v="57107"/>
    <n v="0"/>
    <n v="1"/>
  </r>
  <r>
    <x v="1825"/>
    <n v="212"/>
    <n v="123"/>
    <n v="177"/>
    <n v="15"/>
    <n v="64"/>
    <n v="23"/>
    <x v="0"/>
    <n v="71427"/>
    <n v="2"/>
    <n v="0"/>
  </r>
  <r>
    <x v="1826"/>
    <n v="11"/>
    <n v="7"/>
    <n v="9"/>
    <n v="3"/>
    <n v="1"/>
    <n v="11"/>
    <x v="1"/>
    <n v="26095"/>
    <n v="1"/>
    <n v="0"/>
  </r>
  <r>
    <x v="1827"/>
    <n v="6"/>
    <n v="2"/>
    <n v="15"/>
    <n v="6"/>
    <n v="6"/>
    <n v="3"/>
    <x v="0"/>
    <n v="31590"/>
    <n v="1"/>
    <n v="0"/>
  </r>
  <r>
    <x v="1828"/>
    <n v="174"/>
    <n v="18"/>
    <n v="81"/>
    <n v="28"/>
    <n v="6"/>
    <n v="24"/>
    <x v="1"/>
    <n v="48799"/>
    <n v="0"/>
    <n v="1"/>
  </r>
  <r>
    <x v="1829"/>
    <n v="16"/>
    <n v="3"/>
    <n v="25"/>
    <n v="6"/>
    <n v="1"/>
    <n v="13"/>
    <x v="1"/>
    <n v="31160"/>
    <n v="1"/>
    <n v="0"/>
  </r>
  <r>
    <x v="1830"/>
    <n v="997"/>
    <n v="26"/>
    <n v="269"/>
    <n v="34"/>
    <n v="13"/>
    <n v="42"/>
    <x v="0"/>
    <n v="69372"/>
    <n v="0"/>
    <n v="0"/>
  </r>
  <r>
    <x v="1831"/>
    <n v="0"/>
    <n v="0"/>
    <n v="0"/>
    <n v="6"/>
    <n v="2"/>
    <n v="6"/>
    <x v="1"/>
    <n v="11448"/>
    <n v="0"/>
    <n v="0"/>
  </r>
  <r>
    <x v="1832"/>
    <n v="56"/>
    <n v="0"/>
    <n v="11"/>
    <n v="0"/>
    <n v="0"/>
    <n v="8"/>
    <x v="0"/>
    <n v="47472"/>
    <n v="1"/>
    <n v="1"/>
  </r>
  <r>
    <x v="1833"/>
    <n v="160"/>
    <n v="80"/>
    <n v="369"/>
    <n v="67"/>
    <n v="39"/>
    <n v="41"/>
    <x v="1"/>
    <n v="80910"/>
    <n v="0"/>
    <n v="0"/>
  </r>
  <r>
    <x v="1834"/>
    <n v="1"/>
    <n v="5"/>
    <n v="3"/>
    <n v="7"/>
    <n v="4"/>
    <n v="8"/>
    <x v="0"/>
    <n v="28389"/>
    <n v="0"/>
    <n v="0"/>
  </r>
  <r>
    <x v="1835"/>
    <n v="8"/>
    <n v="2"/>
    <n v="15"/>
    <n v="0"/>
    <n v="10"/>
    <n v="18"/>
    <x v="0"/>
    <n v="15072"/>
    <n v="2"/>
    <n v="0"/>
  </r>
  <r>
    <x v="1836"/>
    <n v="11"/>
    <n v="5"/>
    <n v="22"/>
    <n v="12"/>
    <n v="5"/>
    <n v="11"/>
    <x v="0"/>
    <n v="35523"/>
    <n v="1"/>
    <n v="0"/>
  </r>
  <r>
    <x v="1837"/>
    <n v="36"/>
    <n v="0"/>
    <n v="2"/>
    <n v="0"/>
    <n v="0"/>
    <n v="4"/>
    <x v="1"/>
    <n v="30081"/>
    <n v="0"/>
    <n v="1"/>
  </r>
  <r>
    <x v="1838"/>
    <n v="180"/>
    <n v="60"/>
    <n v="241"/>
    <n v="13"/>
    <n v="54"/>
    <n v="54"/>
    <x v="1"/>
    <n v="64713"/>
    <n v="1"/>
    <n v="0"/>
  </r>
  <r>
    <x v="1839"/>
    <n v="318"/>
    <n v="8"/>
    <n v="407"/>
    <n v="150"/>
    <n v="35"/>
    <n v="8"/>
    <x v="0"/>
    <n v="83715"/>
    <n v="0"/>
    <n v="0"/>
  </r>
  <r>
    <x v="1840"/>
    <n v="389"/>
    <n v="91"/>
    <n v="248"/>
    <n v="64"/>
    <n v="49"/>
    <n v="41"/>
    <x v="1"/>
    <n v="48240"/>
    <n v="0"/>
    <n v="0"/>
  </r>
  <r>
    <x v="1841"/>
    <n v="369"/>
    <n v="9"/>
    <n v="87"/>
    <n v="12"/>
    <n v="14"/>
    <n v="34"/>
    <x v="0"/>
    <n v="50387"/>
    <n v="0"/>
    <n v="2"/>
  </r>
  <r>
    <x v="1842"/>
    <n v="16"/>
    <n v="4"/>
    <n v="12"/>
    <n v="2"/>
    <n v="4"/>
    <n v="321"/>
    <x v="0"/>
    <n v="4428"/>
    <n v="0"/>
    <n v="1"/>
  </r>
  <r>
    <x v="1843"/>
    <n v="159"/>
    <n v="4"/>
    <n v="45"/>
    <n v="6"/>
    <n v="2"/>
    <n v="38"/>
    <x v="0"/>
    <n v="48178"/>
    <n v="1"/>
    <n v="1"/>
  </r>
  <r>
    <x v="1844"/>
    <n v="847"/>
    <n v="66"/>
    <n v="119"/>
    <n v="86"/>
    <n v="89"/>
    <n v="111"/>
    <x v="0"/>
    <n v="83837"/>
    <n v="0"/>
    <n v="0"/>
  </r>
  <r>
    <x v="1845"/>
    <n v="1090"/>
    <n v="12"/>
    <n v="96"/>
    <n v="16"/>
    <n v="12"/>
    <n v="60"/>
    <x v="0"/>
    <n v="66303"/>
    <n v="0"/>
    <n v="1"/>
  </r>
  <r>
    <x v="1846"/>
    <n v="205"/>
    <n v="7"/>
    <n v="41"/>
    <n v="3"/>
    <n v="2"/>
    <n v="46"/>
    <x v="0"/>
    <n v="49413"/>
    <n v="0"/>
    <n v="1"/>
  </r>
  <r>
    <x v="1847"/>
    <n v="68"/>
    <n v="28"/>
    <n v="39"/>
    <n v="16"/>
    <n v="30"/>
    <n v="41"/>
    <x v="0"/>
    <n v="51315"/>
    <n v="0"/>
    <n v="0"/>
  </r>
  <r>
    <x v="1848"/>
    <n v="605"/>
    <n v="91"/>
    <n v="399"/>
    <n v="0"/>
    <n v="45"/>
    <n v="205"/>
    <x v="1"/>
    <n v="61618"/>
    <n v="0"/>
    <n v="0"/>
  </r>
  <r>
    <x v="1849"/>
    <n v="33"/>
    <n v="0"/>
    <n v="5"/>
    <n v="0"/>
    <n v="0"/>
    <n v="0"/>
    <x v="0"/>
    <n v="54432"/>
    <n v="2"/>
    <n v="1"/>
  </r>
  <r>
    <x v="1850"/>
    <n v="50"/>
    <n v="4"/>
    <n v="28"/>
    <n v="6"/>
    <n v="3"/>
    <n v="26"/>
    <x v="1"/>
    <n v="34213"/>
    <n v="1"/>
    <n v="1"/>
  </r>
  <r>
    <x v="1851"/>
    <n v="29"/>
    <n v="0"/>
    <n v="2"/>
    <n v="0"/>
    <n v="0"/>
    <n v="1"/>
    <x v="1"/>
    <n v="41437"/>
    <n v="1"/>
    <n v="1"/>
  </r>
  <r>
    <x v="1852"/>
    <n v="0"/>
    <n v="0"/>
    <n v="1"/>
    <n v="2"/>
    <n v="12"/>
    <n v="5"/>
    <x v="1"/>
    <n v="23295"/>
    <n v="0"/>
    <n v="0"/>
  </r>
  <r>
    <x v="1853"/>
    <n v="170"/>
    <n v="6"/>
    <n v="97"/>
    <n v="24"/>
    <n v="12"/>
    <n v="88"/>
    <x v="0"/>
    <n v="46692"/>
    <n v="0"/>
    <n v="1"/>
  </r>
  <r>
    <x v="1854"/>
    <n v="327"/>
    <n v="9"/>
    <n v="122"/>
    <n v="19"/>
    <n v="14"/>
    <n v="83"/>
    <x v="1"/>
    <n v="59247"/>
    <n v="0"/>
    <n v="2"/>
  </r>
  <r>
    <x v="1855"/>
    <n v="40"/>
    <n v="1"/>
    <n v="40"/>
    <n v="4"/>
    <n v="3"/>
    <n v="18"/>
    <x v="0"/>
    <n v="37787"/>
    <n v="1"/>
    <n v="0"/>
  </r>
  <r>
    <x v="1856"/>
    <n v="14"/>
    <n v="0"/>
    <n v="3"/>
    <n v="0"/>
    <n v="0"/>
    <n v="4"/>
    <x v="1"/>
    <n v="47691"/>
    <n v="0"/>
    <n v="1"/>
  </r>
  <r>
    <x v="1857"/>
    <n v="295"/>
    <n v="35"/>
    <n v="482"/>
    <n v="121"/>
    <n v="120"/>
    <n v="40"/>
    <x v="1"/>
    <n v="70287"/>
    <n v="0"/>
    <n v="0"/>
  </r>
  <r>
    <x v="1858"/>
    <n v="6"/>
    <n v="7"/>
    <n v="4"/>
    <n v="3"/>
    <n v="4"/>
    <n v="6"/>
    <x v="0"/>
    <n v="26887"/>
    <n v="0"/>
    <n v="1"/>
  </r>
  <r>
    <x v="1859"/>
    <n v="675"/>
    <n v="144"/>
    <n v="133"/>
    <n v="94"/>
    <n v="192"/>
    <n v="241"/>
    <x v="0"/>
    <n v="90000"/>
    <n v="0"/>
    <n v="0"/>
  </r>
  <r>
    <x v="1860"/>
    <n v="1"/>
    <n v="45"/>
    <n v="3"/>
    <n v="4"/>
    <n v="6"/>
    <n v="42"/>
    <x v="1"/>
    <n v="8940"/>
    <n v="1"/>
    <n v="0"/>
  </r>
  <r>
    <x v="1861"/>
    <n v="1"/>
    <n v="6"/>
    <n v="2"/>
    <n v="8"/>
    <n v="2"/>
    <n v="12"/>
    <x v="1"/>
    <n v="24336"/>
    <n v="1"/>
    <n v="0"/>
  </r>
  <r>
    <x v="1862"/>
    <n v="1"/>
    <n v="0"/>
    <n v="5"/>
    <n v="0"/>
    <n v="3"/>
    <n v="9"/>
    <x v="0"/>
    <n v="26326"/>
    <n v="0"/>
    <n v="0"/>
  </r>
  <r>
    <x v="1863"/>
    <n v="25"/>
    <n v="1"/>
    <n v="9"/>
    <n v="2"/>
    <n v="1"/>
    <n v="1"/>
    <x v="0"/>
    <n v="35441"/>
    <n v="1"/>
    <n v="1"/>
  </r>
  <r>
    <x v="1864"/>
    <n v="2"/>
    <n v="13"/>
    <n v="6"/>
    <n v="7"/>
    <n v="5"/>
    <n v="11"/>
    <x v="0"/>
    <n v="16531"/>
    <n v="1"/>
    <n v="0"/>
  </r>
  <r>
    <x v="1865"/>
    <n v="274"/>
    <n v="83"/>
    <n v="216"/>
    <n v="151"/>
    <n v="141"/>
    <n v="224"/>
    <x v="0"/>
    <n v="72570"/>
    <n v="0"/>
    <n v="0"/>
  </r>
  <r>
    <x v="1866"/>
    <n v="95"/>
    <n v="14"/>
    <n v="64"/>
    <n v="2"/>
    <n v="9"/>
    <n v="38"/>
    <x v="1"/>
    <n v="46390"/>
    <n v="0"/>
    <n v="1"/>
  </r>
  <r>
    <x v="1867"/>
    <n v="265"/>
    <n v="138"/>
    <n v="553"/>
    <n v="224"/>
    <n v="23"/>
    <n v="92"/>
    <x v="1"/>
    <n v="75922"/>
    <n v="0"/>
    <n v="0"/>
  </r>
  <r>
    <x v="1868"/>
    <n v="1126"/>
    <n v="28"/>
    <n v="211"/>
    <n v="37"/>
    <n v="28"/>
    <n v="42"/>
    <x v="1"/>
    <n v="89694"/>
    <n v="1"/>
    <n v="1"/>
  </r>
  <r>
    <x v="1869"/>
    <n v="2"/>
    <n v="0"/>
    <n v="9"/>
    <n v="3"/>
    <n v="6"/>
    <n v="2"/>
    <x v="1"/>
    <n v="19346"/>
    <n v="1"/>
    <n v="0"/>
  </r>
  <r>
    <x v="1870"/>
    <n v="184"/>
    <n v="23"/>
    <n v="446"/>
    <n v="30"/>
    <n v="23"/>
    <n v="23"/>
    <x v="0"/>
    <n v="82017"/>
    <n v="0"/>
    <n v="0"/>
  </r>
  <r>
    <x v="1871"/>
    <n v="172"/>
    <n v="41"/>
    <n v="86"/>
    <n v="45"/>
    <n v="6"/>
    <n v="27"/>
    <x v="1"/>
    <n v="46998"/>
    <n v="0"/>
    <n v="1"/>
  </r>
  <r>
    <x v="1872"/>
    <n v="24"/>
    <n v="2"/>
    <n v="20"/>
    <n v="2"/>
    <n v="2"/>
    <n v="10"/>
    <x v="0"/>
    <n v="44393"/>
    <n v="1"/>
    <n v="1"/>
  </r>
  <r>
    <x v="1873"/>
    <n v="519"/>
    <n v="71"/>
    <n v="860"/>
    <n v="93"/>
    <n v="27"/>
    <n v="53"/>
    <x v="0"/>
    <n v="88325"/>
    <n v="0"/>
    <n v="0"/>
  </r>
  <r>
    <x v="1874"/>
    <n v="40"/>
    <n v="2"/>
    <n v="23"/>
    <n v="0"/>
    <n v="4"/>
    <n v="23"/>
    <x v="0"/>
    <n v="40662"/>
    <n v="1"/>
    <n v="0"/>
  </r>
  <r>
    <x v="1875"/>
    <n v="158"/>
    <n v="19"/>
    <n v="288"/>
    <n v="25"/>
    <n v="0"/>
    <n v="38"/>
    <x v="1"/>
    <n v="78028"/>
    <n v="0"/>
    <n v="1"/>
  </r>
  <r>
    <x v="1876"/>
    <n v="134"/>
    <n v="11"/>
    <n v="59"/>
    <n v="15"/>
    <n v="2"/>
    <n v="30"/>
    <x v="0"/>
    <n v="67267"/>
    <n v="0"/>
    <n v="1"/>
  </r>
  <r>
    <x v="1877"/>
    <n v="71"/>
    <n v="0"/>
    <n v="18"/>
    <n v="0"/>
    <n v="0"/>
    <n v="13"/>
    <x v="0"/>
    <n v="39435"/>
    <n v="1"/>
    <n v="0"/>
  </r>
  <r>
    <x v="1878"/>
    <n v="483"/>
    <n v="0"/>
    <n v="108"/>
    <n v="0"/>
    <n v="6"/>
    <n v="36"/>
    <x v="0"/>
    <n v="55517"/>
    <n v="1"/>
    <n v="1"/>
  </r>
  <r>
    <x v="1879"/>
    <n v="749"/>
    <n v="40"/>
    <n v="294"/>
    <n v="121"/>
    <n v="160"/>
    <n v="147"/>
    <x v="0"/>
    <n v="76618"/>
    <n v="0"/>
    <n v="0"/>
  </r>
  <r>
    <x v="1880"/>
    <n v="476"/>
    <n v="75"/>
    <n v="162"/>
    <n v="29"/>
    <n v="151"/>
    <n v="97"/>
    <x v="0"/>
    <n v="77142"/>
    <n v="0"/>
    <n v="0"/>
  </r>
  <r>
    <x v="1881"/>
    <n v="693"/>
    <n v="21"/>
    <n v="925"/>
    <n v="31"/>
    <n v="24"/>
    <n v="84"/>
    <x v="0"/>
    <n v="92955"/>
    <n v="0"/>
    <n v="0"/>
  </r>
  <r>
    <x v="1882"/>
    <n v="100"/>
    <n v="64"/>
    <n v="79"/>
    <n v="65"/>
    <n v="0"/>
    <n v="109"/>
    <x v="0"/>
    <n v="51039"/>
    <n v="1"/>
    <n v="1"/>
  </r>
  <r>
    <x v="1883"/>
    <n v="2"/>
    <n v="0"/>
    <n v="5"/>
    <n v="2"/>
    <n v="0"/>
    <n v="1"/>
    <x v="0"/>
    <n v="38285"/>
    <n v="2"/>
    <n v="1"/>
  </r>
  <r>
    <x v="1884"/>
    <n v="19"/>
    <n v="1"/>
    <n v="20"/>
    <n v="16"/>
    <n v="14"/>
    <n v="28"/>
    <x v="0"/>
    <n v="31761"/>
    <n v="1"/>
    <n v="0"/>
  </r>
  <r>
    <x v="1885"/>
    <n v="741"/>
    <n v="19"/>
    <n v="154"/>
    <n v="50"/>
    <n v="9"/>
    <n v="28"/>
    <x v="0"/>
    <n v="73113"/>
    <n v="0"/>
    <n v="0"/>
  </r>
  <r>
    <x v="1886"/>
    <n v="691"/>
    <n v="7"/>
    <n v="69"/>
    <n v="0"/>
    <n v="7"/>
    <n v="23"/>
    <x v="1"/>
    <n v="59601"/>
    <n v="0"/>
    <n v="1"/>
  </r>
  <r>
    <x v="1887"/>
    <n v="51"/>
    <n v="0"/>
    <n v="16"/>
    <n v="0"/>
    <n v="0"/>
    <n v="4"/>
    <x v="1"/>
    <n v="36927"/>
    <n v="1"/>
    <n v="1"/>
  </r>
  <r>
    <x v="1888"/>
    <n v="438"/>
    <n v="169"/>
    <n v="565"/>
    <n v="91"/>
    <n v="169"/>
    <n v="70"/>
    <x v="0"/>
    <n v="63207"/>
    <n v="0"/>
    <n v="0"/>
  </r>
  <r>
    <x v="1889"/>
    <n v="386"/>
    <n v="23"/>
    <n v="95"/>
    <n v="54"/>
    <n v="41"/>
    <n v="196"/>
    <x v="1"/>
    <n v="49476"/>
    <n v="0"/>
    <n v="1"/>
  </r>
  <r>
    <x v="1890"/>
    <n v="10"/>
    <n v="0"/>
    <n v="8"/>
    <n v="0"/>
    <n v="0"/>
    <n v="9"/>
    <x v="1"/>
    <n v="26576"/>
    <n v="1"/>
    <n v="0"/>
  </r>
  <r>
    <x v="1891"/>
    <n v="431"/>
    <n v="82"/>
    <n v="441"/>
    <n v="80"/>
    <n v="20"/>
    <n v="102"/>
    <x v="1"/>
    <n v="67786"/>
    <n v="0"/>
    <n v="0"/>
  </r>
  <r>
    <x v="1892"/>
    <n v="29"/>
    <n v="4"/>
    <n v="34"/>
    <n v="2"/>
    <n v="4"/>
    <n v="4"/>
    <x v="0"/>
    <n v="36778"/>
    <n v="1"/>
    <n v="1"/>
  </r>
  <r>
    <x v="1893"/>
    <n v="283"/>
    <n v="17"/>
    <n v="372"/>
    <n v="138"/>
    <n v="106"/>
    <n v="44"/>
    <x v="1"/>
    <n v="71163"/>
    <n v="0"/>
    <n v="0"/>
  </r>
  <r>
    <x v="1894"/>
    <n v="70"/>
    <n v="54"/>
    <n v="109"/>
    <n v="80"/>
    <n v="9"/>
    <n v="45"/>
    <x v="0"/>
    <n v="54210"/>
    <n v="0"/>
    <n v="1"/>
  </r>
  <r>
    <x v="1895"/>
    <n v="173"/>
    <n v="13"/>
    <n v="131"/>
    <n v="32"/>
    <n v="3"/>
    <n v="6"/>
    <x v="0"/>
    <n v="54984"/>
    <n v="0"/>
    <n v="1"/>
  </r>
  <r>
    <x v="1896"/>
    <n v="16"/>
    <n v="1"/>
    <n v="2"/>
    <n v="0"/>
    <n v="0"/>
    <n v="1"/>
    <x v="1"/>
    <n v="36802"/>
    <n v="1"/>
    <n v="0"/>
  </r>
  <r>
    <x v="1897"/>
    <n v="125"/>
    <n v="16"/>
    <n v="98"/>
    <n v="134"/>
    <n v="21"/>
    <n v="27"/>
    <x v="1"/>
    <n v="62551"/>
    <n v="0"/>
    <n v="0"/>
  </r>
  <r>
    <x v="1898"/>
    <n v="281"/>
    <n v="7"/>
    <n v="84"/>
    <n v="15"/>
    <n v="0"/>
    <n v="119"/>
    <x v="0"/>
    <n v="41124"/>
    <n v="1"/>
    <n v="0"/>
  </r>
  <r>
    <x v="1899"/>
    <n v="180"/>
    <n v="32"/>
    <n v="348"/>
    <n v="76"/>
    <n v="32"/>
    <n v="90"/>
    <x v="0"/>
    <n v="72063"/>
    <n v="0"/>
    <n v="1"/>
  </r>
  <r>
    <x v="1900"/>
    <n v="225"/>
    <n v="162"/>
    <n v="387"/>
    <n v="106"/>
    <n v="36"/>
    <n v="29"/>
    <x v="0"/>
    <n v="65665"/>
    <n v="0"/>
    <n v="1"/>
  </r>
  <r>
    <x v="1901"/>
    <n v="794"/>
    <n v="73"/>
    <n v="573"/>
    <n v="0"/>
    <n v="29"/>
    <n v="14"/>
    <x v="0"/>
    <n v="76542"/>
    <n v="0"/>
    <n v="0"/>
  </r>
  <r>
    <x v="1902"/>
    <n v="63"/>
    <n v="10"/>
    <n v="83"/>
    <n v="7"/>
    <n v="19"/>
    <n v="19"/>
    <x v="1"/>
    <n v="43638"/>
    <n v="0"/>
    <n v="1"/>
  </r>
  <r>
    <x v="1903"/>
    <n v="2"/>
    <n v="6"/>
    <n v="28"/>
    <n v="13"/>
    <n v="4"/>
    <n v="16"/>
    <x v="0"/>
    <n v="30093"/>
    <n v="0"/>
    <n v="0"/>
  </r>
  <r>
    <x v="1904"/>
    <n v="12"/>
    <n v="1"/>
    <n v="16"/>
    <n v="4"/>
    <n v="1"/>
    <n v="3"/>
    <x v="0"/>
    <n v="27943"/>
    <n v="1"/>
    <n v="1"/>
  </r>
  <r>
    <x v="1905"/>
    <n v="71"/>
    <n v="0"/>
    <n v="13"/>
    <n v="3"/>
    <n v="1"/>
    <n v="0"/>
    <x v="0"/>
    <n v="42769"/>
    <n v="0"/>
    <n v="1"/>
  </r>
  <r>
    <x v="1906"/>
    <n v="26"/>
    <n v="1"/>
    <n v="16"/>
    <n v="2"/>
    <n v="2"/>
    <n v="15"/>
    <x v="0"/>
    <n v="37334"/>
    <n v="1"/>
    <n v="1"/>
  </r>
  <r>
    <x v="1907"/>
    <n v="770"/>
    <n v="29"/>
    <n v="890"/>
    <n v="250"/>
    <n v="27"/>
    <n v="24"/>
    <x v="1"/>
    <n v="95529"/>
    <n v="0"/>
    <n v="0"/>
  </r>
  <r>
    <x v="1908"/>
    <n v="28"/>
    <n v="0"/>
    <n v="4"/>
    <n v="0"/>
    <n v="0"/>
    <n v="0"/>
    <x v="0"/>
    <n v="48330"/>
    <n v="0"/>
    <n v="1"/>
  </r>
  <r>
    <x v="1909"/>
    <n v="90"/>
    <n v="67"/>
    <n v="165"/>
    <n v="30"/>
    <n v="43"/>
    <n v="11"/>
    <x v="0"/>
    <n v="59412"/>
    <n v="0"/>
    <n v="0"/>
  </r>
  <r>
    <x v="1910"/>
    <n v="24"/>
    <n v="0"/>
    <n v="27"/>
    <n v="8"/>
    <n v="30"/>
    <n v="10"/>
    <x v="0"/>
    <n v="40800"/>
    <n v="1"/>
    <n v="2"/>
  </r>
  <r>
    <x v="1911"/>
    <n v="87"/>
    <n v="5"/>
    <n v="71"/>
    <n v="7"/>
    <n v="12"/>
    <n v="29"/>
    <x v="0"/>
    <n v="44392"/>
    <n v="1"/>
    <n v="1"/>
  </r>
  <r>
    <x v="1912"/>
    <n v="6"/>
    <n v="5"/>
    <n v="4"/>
    <n v="13"/>
    <n v="4"/>
    <n v="25"/>
    <x v="1"/>
    <n v="7500"/>
    <n v="1"/>
    <n v="1"/>
  </r>
  <r>
    <x v="1913"/>
    <n v="240"/>
    <n v="67"/>
    <n v="500"/>
    <n v="199"/>
    <n v="0"/>
    <n v="163"/>
    <x v="0"/>
    <n v="65487"/>
    <n v="0"/>
    <n v="0"/>
  </r>
  <r>
    <x v="1914"/>
    <n v="2"/>
    <n v="8"/>
    <n v="11"/>
    <n v="3"/>
    <n v="8"/>
    <n v="21"/>
    <x v="0"/>
    <n v="7500"/>
    <n v="1"/>
    <n v="0"/>
  </r>
  <r>
    <x v="1915"/>
    <n v="349"/>
    <n v="7"/>
    <n v="35"/>
    <n v="0"/>
    <n v="0"/>
    <n v="47"/>
    <x v="0"/>
    <n v="66726"/>
    <n v="1"/>
    <n v="1"/>
  </r>
  <r>
    <x v="1916"/>
    <n v="400"/>
    <n v="4"/>
    <n v="35"/>
    <n v="6"/>
    <n v="0"/>
    <n v="22"/>
    <x v="1"/>
    <n v="51529"/>
    <n v="0"/>
    <n v="1"/>
  </r>
  <r>
    <x v="1917"/>
    <n v="277"/>
    <n v="21"/>
    <n v="64"/>
    <n v="62"/>
    <n v="21"/>
    <n v="25"/>
    <x v="0"/>
    <n v="54386"/>
    <n v="0"/>
    <n v="1"/>
  </r>
  <r>
    <x v="1918"/>
    <n v="760"/>
    <n v="80"/>
    <n v="466"/>
    <n v="17"/>
    <n v="13"/>
    <n v="80"/>
    <x v="0"/>
    <n v="68397"/>
    <n v="0"/>
    <n v="1"/>
  </r>
  <r>
    <x v="1919"/>
    <n v="909"/>
    <n v="11"/>
    <n v="218"/>
    <n v="0"/>
    <n v="0"/>
    <n v="23"/>
    <x v="0"/>
    <n v="66334"/>
    <n v="0"/>
    <n v="1"/>
  </r>
  <r>
    <x v="1920"/>
    <n v="145"/>
    <n v="193"/>
    <n v="459"/>
    <n v="205"/>
    <n v="26"/>
    <n v="145"/>
    <x v="0"/>
    <n v="63211"/>
    <n v="0"/>
    <n v="0"/>
  </r>
  <r>
    <x v="1921"/>
    <n v="653"/>
    <n v="17"/>
    <n v="170"/>
    <n v="34"/>
    <n v="26"/>
    <n v="17"/>
    <x v="0"/>
    <n v="71232"/>
    <n v="0"/>
    <n v="1"/>
  </r>
  <r>
    <x v="1922"/>
    <n v="45"/>
    <n v="0"/>
    <n v="16"/>
    <n v="2"/>
    <n v="1"/>
    <n v="6"/>
    <x v="0"/>
    <n v="33235"/>
    <n v="1"/>
    <n v="0"/>
  </r>
  <r>
    <x v="1923"/>
    <n v="15"/>
    <n v="0"/>
    <n v="4"/>
    <n v="0"/>
    <n v="0"/>
    <n v="2"/>
    <x v="0"/>
    <n v="34230"/>
    <n v="1"/>
    <n v="1"/>
  </r>
  <r>
    <x v="1924"/>
    <n v="11"/>
    <n v="0"/>
    <n v="10"/>
    <n v="0"/>
    <n v="2"/>
    <n v="20"/>
    <x v="0"/>
    <n v="28520"/>
    <n v="1"/>
    <n v="1"/>
  </r>
  <r>
    <x v="1925"/>
    <n v="46"/>
    <n v="0"/>
    <n v="40"/>
    <n v="3"/>
    <n v="0"/>
    <n v="3"/>
    <x v="0"/>
    <n v="44322"/>
    <n v="1"/>
    <n v="0"/>
  </r>
  <r>
    <x v="1926"/>
    <n v="713"/>
    <n v="0"/>
    <n v="264"/>
    <n v="120"/>
    <n v="80"/>
    <n v="34"/>
    <x v="0"/>
    <n v="65308"/>
    <n v="0"/>
    <n v="0"/>
  </r>
  <r>
    <x v="1927"/>
    <n v="185"/>
    <n v="8"/>
    <n v="133"/>
    <n v="56"/>
    <n v="56"/>
    <n v="12"/>
    <x v="1"/>
    <n v="52413"/>
    <n v="1"/>
    <n v="0"/>
  </r>
  <r>
    <x v="1928"/>
    <n v="404"/>
    <n v="0"/>
    <n v="92"/>
    <n v="28"/>
    <n v="27"/>
    <n v="142"/>
    <x v="1"/>
    <n v="54803"/>
    <n v="0"/>
    <n v="1"/>
  </r>
  <r>
    <x v="1929"/>
    <n v="10"/>
    <n v="6"/>
    <n v="11"/>
    <n v="0"/>
    <n v="4"/>
    <n v="2"/>
    <x v="1"/>
    <n v="36975"/>
    <n v="1"/>
    <n v="0"/>
  </r>
  <r>
    <x v="1930"/>
    <n v="5"/>
    <n v="2"/>
    <n v="3"/>
    <n v="3"/>
    <n v="0"/>
    <n v="5"/>
    <x v="0"/>
    <n v="7500"/>
    <n v="0"/>
    <n v="1"/>
  </r>
  <r>
    <x v="1931"/>
    <n v="217"/>
    <n v="77"/>
    <n v="373"/>
    <n v="111"/>
    <n v="23"/>
    <n v="93"/>
    <x v="0"/>
    <n v="69755"/>
    <n v="0"/>
    <n v="0"/>
  </r>
  <r>
    <x v="1932"/>
    <n v="293"/>
    <n v="8"/>
    <n v="124"/>
    <n v="11"/>
    <n v="4"/>
    <n v="106"/>
    <x v="0"/>
    <n v="55593"/>
    <n v="0"/>
    <n v="1"/>
  </r>
  <r>
    <x v="1933"/>
    <n v="522"/>
    <n v="0"/>
    <n v="522"/>
    <n v="227"/>
    <n v="120"/>
    <n v="134"/>
    <x v="1"/>
    <n v="72258"/>
    <n v="0"/>
    <n v="1"/>
  </r>
  <r>
    <x v="1934"/>
    <n v="40"/>
    <n v="0"/>
    <n v="19"/>
    <n v="2"/>
    <n v="1"/>
    <n v="3"/>
    <x v="1"/>
    <n v="49389"/>
    <n v="1"/>
    <n v="1"/>
  </r>
  <r>
    <x v="1935"/>
    <n v="532"/>
    <n v="21"/>
    <n v="127"/>
    <n v="26"/>
    <n v="20"/>
    <n v="20"/>
    <x v="0"/>
    <n v="86580"/>
    <n v="0"/>
    <n v="0"/>
  </r>
  <r>
    <x v="1936"/>
    <n v="73"/>
    <n v="18"/>
    <n v="66"/>
    <n v="7"/>
    <n v="12"/>
    <n v="2"/>
    <x v="1"/>
    <n v="8028"/>
    <n v="0"/>
    <n v="0"/>
  </r>
  <r>
    <x v="1937"/>
    <n v="6"/>
    <n v="3"/>
    <n v="14"/>
    <n v="15"/>
    <n v="7"/>
    <n v="36"/>
    <x v="0"/>
    <n v="23718"/>
    <n v="1"/>
    <n v="0"/>
  </r>
  <r>
    <x v="1938"/>
    <n v="4"/>
    <n v="2"/>
    <n v="5"/>
    <n v="2"/>
    <n v="0"/>
    <n v="0"/>
    <x v="1"/>
    <n v="28420"/>
    <n v="1"/>
    <n v="0"/>
  </r>
  <r>
    <x v="1939"/>
    <n v="760"/>
    <n v="40"/>
    <n v="480"/>
    <n v="0"/>
    <n v="40"/>
    <n v="26"/>
    <x v="0"/>
    <n v="77845"/>
    <n v="0"/>
    <n v="0"/>
  </r>
  <r>
    <x v="1940"/>
    <n v="247"/>
    <n v="161"/>
    <n v="295"/>
    <n v="210"/>
    <n v="85"/>
    <n v="47"/>
    <x v="0"/>
    <n v="65492"/>
    <n v="0"/>
    <n v="0"/>
  </r>
  <r>
    <x v="1941"/>
    <n v="15"/>
    <n v="5"/>
    <n v="14"/>
    <n v="0"/>
    <n v="4"/>
    <n v="11"/>
    <x v="1"/>
    <n v="22148"/>
    <n v="0"/>
    <n v="0"/>
  </r>
  <r>
    <x v="1942"/>
    <n v="24"/>
    <n v="1"/>
    <n v="10"/>
    <n v="2"/>
    <n v="0"/>
    <n v="4"/>
    <x v="0"/>
    <n v="44078"/>
    <n v="1"/>
    <n v="1"/>
  </r>
  <r>
    <x v="1943"/>
    <n v="9"/>
    <n v="0"/>
    <n v="5"/>
    <n v="0"/>
    <n v="0"/>
    <n v="7"/>
    <x v="0"/>
    <n v="18169"/>
    <n v="1"/>
    <n v="0"/>
  </r>
  <r>
    <x v="1944"/>
    <n v="47"/>
    <n v="1"/>
    <n v="6"/>
    <n v="0"/>
    <n v="0"/>
    <n v="12"/>
    <x v="0"/>
    <n v="30477"/>
    <n v="1"/>
    <n v="0"/>
  </r>
  <r>
    <x v="1945"/>
    <n v="37"/>
    <n v="0"/>
    <n v="46"/>
    <n v="4"/>
    <n v="3"/>
    <n v="0"/>
    <x v="0"/>
    <n v="46377"/>
    <n v="1"/>
    <n v="0"/>
  </r>
  <r>
    <x v="1946"/>
    <n v="303"/>
    <n v="23"/>
    <n v="751"/>
    <n v="82"/>
    <n v="26"/>
    <n v="191"/>
    <x v="0"/>
    <n v="70321"/>
    <n v="0"/>
    <n v="0"/>
  </r>
  <r>
    <x v="1947"/>
    <n v="182"/>
    <n v="4"/>
    <n v="33"/>
    <n v="0"/>
    <n v="2"/>
    <n v="42"/>
    <x v="0"/>
    <n v="57113"/>
    <n v="1"/>
    <n v="1"/>
  </r>
  <r>
    <x v="1948"/>
    <n v="88"/>
    <n v="3"/>
    <n v="21"/>
    <n v="4"/>
    <n v="1"/>
    <n v="29"/>
    <x v="0"/>
    <n v="36947"/>
    <n v="1"/>
    <n v="1"/>
  </r>
  <r>
    <x v="1949"/>
    <n v="288"/>
    <n v="10"/>
    <n v="30"/>
    <n v="4"/>
    <n v="10"/>
    <n v="125"/>
    <x v="0"/>
    <n v="46610"/>
    <n v="0"/>
    <n v="0"/>
  </r>
  <r>
    <x v="1950"/>
    <n v="790"/>
    <n v="19"/>
    <n v="133"/>
    <n v="12"/>
    <n v="0"/>
    <n v="19"/>
    <x v="0"/>
    <n v="65106"/>
    <n v="0"/>
    <n v="1"/>
  </r>
  <r>
    <x v="1951"/>
    <n v="2"/>
    <n v="1"/>
    <n v="18"/>
    <n v="20"/>
    <n v="11"/>
    <n v="16"/>
    <x v="0"/>
    <n v="23957"/>
    <n v="1"/>
    <n v="0"/>
  </r>
  <r>
    <x v="1952"/>
    <n v="6"/>
    <n v="5"/>
    <n v="5"/>
    <n v="8"/>
    <n v="0"/>
    <n v="5"/>
    <x v="0"/>
    <n v="36283"/>
    <n v="1"/>
    <n v="1"/>
  </r>
  <r>
    <x v="1953"/>
    <n v="226"/>
    <n v="22"/>
    <n v="133"/>
    <n v="41"/>
    <n v="31"/>
    <n v="31"/>
    <x v="0"/>
    <n v="56559"/>
    <n v="0"/>
    <n v="1"/>
  </r>
  <r>
    <x v="1954"/>
    <n v="327"/>
    <n v="9"/>
    <n v="125"/>
    <n v="25"/>
    <n v="4"/>
    <n v="139"/>
    <x v="0"/>
    <n v="43783"/>
    <n v="1"/>
    <n v="0"/>
  </r>
  <r>
    <x v="1955"/>
    <n v="29"/>
    <n v="0"/>
    <n v="14"/>
    <n v="0"/>
    <n v="0"/>
    <n v="2"/>
    <x v="0"/>
    <n v="38853"/>
    <n v="1"/>
    <n v="1"/>
  </r>
  <r>
    <x v="1956"/>
    <n v="234"/>
    <n v="14"/>
    <n v="77"/>
    <n v="19"/>
    <n v="10"/>
    <n v="42"/>
    <x v="1"/>
    <n v="50014"/>
    <n v="1"/>
    <n v="0"/>
  </r>
  <r>
    <x v="1957"/>
    <n v="31"/>
    <n v="0"/>
    <n v="6"/>
    <n v="0"/>
    <n v="1"/>
    <n v="8"/>
    <x v="1"/>
    <n v="45889"/>
    <n v="0"/>
    <n v="1"/>
  </r>
  <r>
    <x v="1958"/>
    <n v="355"/>
    <n v="30"/>
    <n v="177"/>
    <n v="90"/>
    <n v="138"/>
    <n v="30"/>
    <x v="0"/>
    <n v="76532"/>
    <n v="1"/>
    <n v="1"/>
  </r>
  <r>
    <x v="1959"/>
    <n v="179"/>
    <n v="8"/>
    <n v="83"/>
    <n v="19"/>
    <n v="11"/>
    <n v="26"/>
    <x v="0"/>
    <n v="30522"/>
    <n v="0"/>
    <n v="1"/>
  </r>
  <r>
    <x v="1960"/>
    <n v="344"/>
    <n v="45"/>
    <n v="654"/>
    <n v="104"/>
    <n v="11"/>
    <n v="114"/>
    <x v="1"/>
    <n v="70792"/>
    <n v="0"/>
    <n v="0"/>
  </r>
  <r>
    <x v="1961"/>
    <n v="709"/>
    <n v="43"/>
    <n v="182"/>
    <n v="42"/>
    <n v="118"/>
    <n v="247"/>
    <x v="0"/>
    <n v="61223"/>
    <n v="0"/>
    <n v="1"/>
  </r>
  <r>
    <x v="1962"/>
    <n v="407"/>
    <n v="53"/>
    <n v="221"/>
    <n v="58"/>
    <n v="150"/>
    <n v="26"/>
    <x v="0"/>
    <n v="53858"/>
    <n v="0"/>
    <n v="1"/>
  </r>
  <r>
    <x v="1963"/>
    <n v="273"/>
    <n v="11"/>
    <n v="178"/>
    <n v="62"/>
    <n v="83"/>
    <n v="29"/>
    <x v="1"/>
    <n v="45938"/>
    <n v="0"/>
    <n v="0"/>
  </r>
  <r>
    <x v="1964"/>
    <n v="992"/>
    <n v="24"/>
    <n v="694"/>
    <n v="51"/>
    <n v="19"/>
    <n v="119"/>
    <x v="0"/>
    <n v="92344"/>
    <n v="0"/>
    <n v="0"/>
  </r>
  <r>
    <x v="1965"/>
    <n v="3"/>
    <n v="2"/>
    <n v="12"/>
    <n v="0"/>
    <n v="1"/>
    <n v="9"/>
    <x v="1"/>
    <n v="31385"/>
    <n v="1"/>
    <n v="0"/>
  </r>
  <r>
    <x v="1966"/>
    <n v="4"/>
    <n v="1"/>
    <n v="7"/>
    <n v="2"/>
    <n v="1"/>
    <n v="2"/>
    <x v="1"/>
    <n v="24163"/>
    <n v="1"/>
    <n v="1"/>
  </r>
  <r>
    <x v="1967"/>
    <n v="255"/>
    <n v="31"/>
    <n v="446"/>
    <n v="40"/>
    <n v="56"/>
    <n v="175"/>
    <x v="0"/>
    <n v="76630"/>
    <n v="0"/>
    <n v="0"/>
  </r>
  <r>
    <x v="1968"/>
    <n v="315"/>
    <n v="4"/>
    <n v="62"/>
    <n v="41"/>
    <n v="31"/>
    <n v="146"/>
    <x v="0"/>
    <n v="66886"/>
    <n v="0"/>
    <n v="1"/>
  </r>
  <r>
    <x v="1969"/>
    <n v="597"/>
    <n v="166"/>
    <n v="597"/>
    <n v="172"/>
    <n v="166"/>
    <n v="249"/>
    <x v="0"/>
    <n v="72190"/>
    <n v="0"/>
    <n v="0"/>
  </r>
  <r>
    <x v="1970"/>
    <n v="1092"/>
    <n v="37"/>
    <n v="592"/>
    <n v="145"/>
    <n v="37"/>
    <n v="55"/>
    <x v="1"/>
    <n v="72968"/>
    <n v="0"/>
    <n v="0"/>
  </r>
  <r>
    <x v="1971"/>
    <n v="279"/>
    <n v="0"/>
    <n v="18"/>
    <n v="0"/>
    <n v="0"/>
    <n v="9"/>
    <x v="0"/>
    <n v="45688"/>
    <n v="0"/>
    <n v="1"/>
  </r>
  <r>
    <x v="1972"/>
    <n v="416"/>
    <n v="46"/>
    <n v="925"/>
    <n v="60"/>
    <n v="107"/>
    <n v="46"/>
    <x v="1"/>
    <n v="85620"/>
    <n v="0"/>
    <n v="0"/>
  </r>
  <r>
    <x v="1973"/>
    <n v="983"/>
    <n v="20"/>
    <n v="389"/>
    <n v="240"/>
    <n v="50"/>
    <n v="40"/>
    <x v="0"/>
    <n v="76005"/>
    <n v="0"/>
    <n v="0"/>
  </r>
  <r>
    <x v="1974"/>
    <n v="33"/>
    <n v="6"/>
    <n v="40"/>
    <n v="3"/>
    <n v="7"/>
    <n v="10"/>
    <x v="1"/>
    <n v="33378"/>
    <n v="1"/>
    <n v="1"/>
  </r>
  <r>
    <x v="1975"/>
    <n v="266"/>
    <n v="21"/>
    <n v="300"/>
    <n v="65"/>
    <n v="8"/>
    <n v="44"/>
    <x v="1"/>
    <n v="57731"/>
    <n v="0"/>
    <n v="1"/>
  </r>
  <r>
    <x v="1976"/>
    <n v="173"/>
    <n v="8"/>
    <n v="107"/>
    <n v="7"/>
    <n v="2"/>
    <n v="176"/>
    <x v="1"/>
    <n v="37774"/>
    <n v="2"/>
    <n v="0"/>
  </r>
  <r>
    <x v="1977"/>
    <n v="625"/>
    <n v="35"/>
    <n v="169"/>
    <n v="58"/>
    <n v="17"/>
    <n v="35"/>
    <x v="1"/>
    <n v="72298"/>
    <n v="0"/>
    <n v="0"/>
  </r>
  <r>
    <x v="1978"/>
    <n v="304"/>
    <n v="98"/>
    <n v="230"/>
    <n v="150"/>
    <n v="74"/>
    <n v="74"/>
    <x v="0"/>
    <n v="75278"/>
    <n v="0"/>
    <n v="0"/>
  </r>
  <r>
    <x v="1979"/>
    <n v="454"/>
    <n v="194"/>
    <n v="106"/>
    <n v="31"/>
    <n v="22"/>
    <n v="43"/>
    <x v="0"/>
    <n v="89058"/>
    <n v="0"/>
    <n v="0"/>
  </r>
  <r>
    <x v="1980"/>
    <n v="650"/>
    <n v="28"/>
    <n v="353"/>
    <n v="45"/>
    <n v="42"/>
    <n v="30"/>
    <x v="0"/>
    <n v="75702"/>
    <n v="1"/>
    <n v="1"/>
  </r>
  <r>
    <x v="1981"/>
    <n v="16"/>
    <n v="5"/>
    <n v="30"/>
    <n v="8"/>
    <n v="7"/>
    <n v="26"/>
    <x v="0"/>
    <n v="15716"/>
    <n v="1"/>
    <n v="0"/>
  </r>
  <r>
    <x v="1982"/>
    <n v="2"/>
    <n v="5"/>
    <n v="7"/>
    <n v="0"/>
    <n v="18"/>
    <n v="18"/>
    <x v="0"/>
    <n v="25130"/>
    <n v="1"/>
    <n v="0"/>
  </r>
  <r>
    <x v="1983"/>
    <n v="8"/>
    <n v="0"/>
    <n v="5"/>
    <n v="7"/>
    <n v="0"/>
    <n v="2"/>
    <x v="1"/>
    <n v="60182"/>
    <n v="0"/>
    <n v="1"/>
  </r>
  <r>
    <x v="1984"/>
    <n v="26"/>
    <n v="0"/>
    <n v="6"/>
    <n v="0"/>
    <n v="0"/>
    <n v="2"/>
    <x v="0"/>
    <n v="29187"/>
    <n v="1"/>
    <n v="0"/>
  </r>
  <r>
    <x v="1985"/>
    <n v="19"/>
    <n v="3"/>
    <n v="18"/>
    <n v="3"/>
    <n v="1"/>
    <n v="0"/>
    <x v="1"/>
    <n v="16269"/>
    <n v="1"/>
    <n v="0"/>
  </r>
  <r>
    <x v="1986"/>
    <n v="336"/>
    <n v="28"/>
    <n v="282"/>
    <n v="184"/>
    <n v="54"/>
    <n v="54"/>
    <x v="0"/>
    <n v="67605"/>
    <n v="0"/>
    <n v="0"/>
  </r>
  <r>
    <x v="1987"/>
    <n v="65"/>
    <n v="0"/>
    <n v="46"/>
    <n v="4"/>
    <n v="3"/>
    <n v="20"/>
    <x v="0"/>
    <n v="36443"/>
    <n v="1"/>
    <n v="1"/>
  </r>
  <r>
    <x v="1988"/>
    <n v="9"/>
    <n v="0"/>
    <n v="3"/>
    <n v="0"/>
    <n v="0"/>
    <n v="4"/>
    <x v="0"/>
    <n v="33181"/>
    <n v="1"/>
    <n v="0"/>
  </r>
  <r>
    <x v="1989"/>
    <n v="26"/>
    <n v="1"/>
    <n v="10"/>
    <n v="2"/>
    <n v="0"/>
    <n v="1"/>
    <x v="0"/>
    <n v="48699"/>
    <n v="1"/>
    <n v="1"/>
  </r>
  <r>
    <x v="1990"/>
    <n v="82"/>
    <n v="33"/>
    <n v="54"/>
    <n v="71"/>
    <n v="30"/>
    <n v="41"/>
    <x v="0"/>
    <n v="51948"/>
    <n v="0"/>
    <n v="1"/>
  </r>
  <r>
    <x v="1991"/>
    <n v="492"/>
    <n v="19"/>
    <n v="110"/>
    <n v="16"/>
    <n v="12"/>
    <n v="12"/>
    <x v="0"/>
    <n v="77376"/>
    <n v="1"/>
    <n v="1"/>
  </r>
  <r>
    <x v="1992"/>
    <n v="546"/>
    <n v="91"/>
    <n v="410"/>
    <n v="119"/>
    <n v="0"/>
    <n v="22"/>
    <x v="0"/>
    <n v="72099"/>
    <n v="0"/>
    <n v="0"/>
  </r>
  <r>
    <x v="1993"/>
    <n v="450"/>
    <n v="133"/>
    <n v="951"/>
    <n v="173"/>
    <n v="0"/>
    <n v="216"/>
    <x v="1"/>
    <n v="79607"/>
    <n v="0"/>
    <n v="0"/>
  </r>
  <r>
    <x v="1994"/>
    <n v="494"/>
    <n v="92"/>
    <n v="391"/>
    <n v="194"/>
    <n v="11"/>
    <n v="241"/>
    <x v="1"/>
    <n v="85072"/>
    <n v="0"/>
    <n v="0"/>
  </r>
  <r>
    <x v="1995"/>
    <n v="183"/>
    <n v="2"/>
    <n v="64"/>
    <n v="7"/>
    <n v="2"/>
    <n v="12"/>
    <x v="0"/>
    <n v="51267"/>
    <n v="1"/>
    <n v="1"/>
  </r>
  <r>
    <x v="1996"/>
    <n v="1"/>
    <n v="6"/>
    <n v="2"/>
    <n v="3"/>
    <n v="6"/>
    <n v="3"/>
    <x v="1"/>
    <n v="25707"/>
    <n v="1"/>
    <n v="0"/>
  </r>
  <r>
    <x v="1997"/>
    <n v="1396"/>
    <n v="0"/>
    <n v="322"/>
    <n v="46"/>
    <n v="35"/>
    <n v="17"/>
    <x v="0"/>
    <n v="78642"/>
    <n v="0"/>
    <n v="1"/>
  </r>
  <r>
    <x v="1998"/>
    <n v="7"/>
    <n v="2"/>
    <n v="9"/>
    <n v="2"/>
    <n v="0"/>
    <n v="2"/>
    <x v="0"/>
    <n v="34587"/>
    <n v="1"/>
    <n v="1"/>
  </r>
  <r>
    <x v="1999"/>
    <n v="12"/>
    <n v="1"/>
    <n v="21"/>
    <n v="2"/>
    <n v="2"/>
    <n v="3"/>
    <x v="0"/>
    <n v="27116"/>
    <n v="1"/>
    <n v="1"/>
  </r>
  <r>
    <x v="2000"/>
    <n v="99"/>
    <n v="4"/>
    <n v="32"/>
    <n v="37"/>
    <n v="54"/>
    <n v="6"/>
    <x v="0"/>
    <n v="57247"/>
    <n v="0"/>
    <n v="1"/>
  </r>
  <r>
    <x v="2001"/>
    <n v="51"/>
    <n v="2"/>
    <n v="7"/>
    <n v="0"/>
    <n v="1"/>
    <n v="2"/>
    <x v="1"/>
    <n v="51813"/>
    <n v="1"/>
    <n v="1"/>
  </r>
  <r>
    <x v="2002"/>
    <n v="412"/>
    <n v="22"/>
    <n v="132"/>
    <n v="59"/>
    <n v="28"/>
    <n v="183"/>
    <x v="0"/>
    <n v="89891"/>
    <n v="0"/>
    <n v="0"/>
  </r>
  <r>
    <x v="2003"/>
    <n v="2"/>
    <n v="1"/>
    <n v="1"/>
    <n v="0"/>
    <n v="0"/>
    <n v="1"/>
    <x v="1"/>
    <n v="3502"/>
    <n v="1"/>
    <n v="0"/>
  </r>
  <r>
    <x v="2004"/>
    <n v="736"/>
    <n v="114"/>
    <n v="279"/>
    <n v="82"/>
    <n v="76"/>
    <n v="190"/>
    <x v="0"/>
    <n v="70713"/>
    <n v="0"/>
    <n v="1"/>
  </r>
  <r>
    <x v="2005"/>
    <n v="25"/>
    <n v="4"/>
    <n v="9"/>
    <n v="6"/>
    <n v="8"/>
    <n v="32"/>
    <x v="0"/>
    <n v="19656"/>
    <n v="1"/>
    <n v="0"/>
  </r>
  <r>
    <x v="2006"/>
    <n v="2"/>
    <n v="14"/>
    <n v="28"/>
    <n v="16"/>
    <n v="3"/>
    <n v="7"/>
    <x v="0"/>
    <n v="19419"/>
    <n v="1"/>
    <n v="0"/>
  </r>
  <r>
    <x v="2007"/>
    <n v="2"/>
    <n v="1"/>
    <n v="4"/>
    <n v="3"/>
    <n v="1"/>
    <n v="2"/>
    <x v="0"/>
    <n v="22280"/>
    <n v="1"/>
    <n v="0"/>
  </r>
  <r>
    <x v="2008"/>
    <n v="229"/>
    <n v="5"/>
    <n v="56"/>
    <n v="3"/>
    <n v="2"/>
    <n v="20"/>
    <x v="0"/>
    <n v="49678"/>
    <n v="0"/>
    <n v="1"/>
  </r>
  <r>
    <x v="2009"/>
    <n v="376"/>
    <n v="9"/>
    <n v="83"/>
    <n v="19"/>
    <n v="4"/>
    <n v="4"/>
    <x v="0"/>
    <n v="65968"/>
    <n v="0"/>
    <n v="1"/>
  </r>
  <r>
    <x v="2010"/>
    <n v="15"/>
    <n v="2"/>
    <n v="10"/>
    <n v="0"/>
    <n v="1"/>
    <n v="4"/>
    <x v="1"/>
    <n v="42394"/>
    <n v="1"/>
    <n v="0"/>
  </r>
  <r>
    <x v="2011"/>
    <n v="2"/>
    <n v="1"/>
    <n v="2"/>
    <n v="1"/>
    <n v="1"/>
    <n v="1"/>
    <x v="0"/>
    <n v="156924"/>
    <n v="0"/>
    <n v="0"/>
  </r>
  <r>
    <x v="2012"/>
    <n v="2"/>
    <n v="8"/>
    <n v="10"/>
    <n v="12"/>
    <n v="14"/>
    <n v="23"/>
    <x v="1"/>
    <n v="26487"/>
    <n v="1"/>
    <n v="0"/>
  </r>
  <r>
    <x v="2013"/>
    <n v="37"/>
    <n v="32"/>
    <n v="38"/>
    <n v="11"/>
    <n v="3"/>
    <n v="18"/>
    <x v="1"/>
    <n v="41411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4">
  <r>
    <n v="0"/>
    <n v="239"/>
    <n v="10"/>
    <n v="554"/>
    <n v="254"/>
    <n v="87"/>
    <n v="54"/>
    <s v="Together"/>
    <n v="70951"/>
    <n v="0"/>
    <n v="0"/>
    <n v="0"/>
    <n v="1"/>
    <n v="0.87418208290582056"/>
    <x v="0"/>
  </r>
  <r>
    <n v="1"/>
    <n v="464"/>
    <n v="5"/>
    <n v="64"/>
    <n v="7"/>
    <n v="0"/>
    <n v="37"/>
    <s v="Single"/>
    <n v="57091"/>
    <n v="0"/>
    <n v="0"/>
    <n v="1"/>
    <n v="0"/>
    <n v="0.2329116610434141"/>
    <x v="1"/>
  </r>
  <r>
    <n v="9"/>
    <n v="57"/>
    <n v="0"/>
    <n v="27"/>
    <n v="0"/>
    <n v="0"/>
    <n v="36"/>
    <s v="Single"/>
    <n v="46098"/>
    <n v="1"/>
    <n v="1"/>
    <n v="1"/>
    <n v="0"/>
    <n v="-0.27570924426202847"/>
    <x v="2"/>
  </r>
  <r>
    <n v="13"/>
    <n v="19"/>
    <n v="0"/>
    <n v="5"/>
    <n v="0"/>
    <n v="0"/>
    <n v="8"/>
    <s v="Single"/>
    <n v="25358"/>
    <n v="0"/>
    <n v="1"/>
    <n v="1"/>
    <n v="0"/>
    <n v="-1.2353014916953842"/>
    <x v="3"/>
  </r>
  <r>
    <n v="17"/>
    <n v="637"/>
    <n v="47"/>
    <n v="237"/>
    <n v="12"/>
    <n v="19"/>
    <n v="76"/>
    <s v="Together"/>
    <n v="60491"/>
    <n v="0"/>
    <n v="1"/>
    <n v="0"/>
    <n v="1"/>
    <n v="0.3902218655406855"/>
    <x v="4"/>
  </r>
  <r>
    <n v="20"/>
    <n v="43"/>
    <n v="12"/>
    <n v="23"/>
    <n v="29"/>
    <n v="15"/>
    <n v="61"/>
    <s v="Together"/>
    <n v="46891"/>
    <n v="0"/>
    <n v="1"/>
    <n v="0"/>
    <n v="1"/>
    <n v="-0.23901895244840018"/>
    <x v="5"/>
  </r>
  <r>
    <n v="22"/>
    <n v="185"/>
    <n v="2"/>
    <n v="88"/>
    <n v="15"/>
    <n v="5"/>
    <n v="14"/>
    <s v="Single"/>
    <n v="46310"/>
    <n v="1"/>
    <n v="0"/>
    <n v="1"/>
    <n v="0"/>
    <n v="-0.26590049033455154"/>
    <x v="6"/>
  </r>
  <r>
    <n v="24"/>
    <n v="18"/>
    <n v="2"/>
    <n v="19"/>
    <n v="0"/>
    <n v="2"/>
    <n v="6"/>
    <s v="Together"/>
    <n v="17144"/>
    <n v="1"/>
    <n v="1"/>
    <n v="0"/>
    <n v="1"/>
    <n v="-1.6153444386779099"/>
    <x v="7"/>
  </r>
  <r>
    <n v="25"/>
    <n v="460"/>
    <n v="35"/>
    <n v="422"/>
    <n v="33"/>
    <n v="12"/>
    <n v="153"/>
    <s v="Together"/>
    <n v="65148"/>
    <n v="0"/>
    <n v="1"/>
    <n v="0"/>
    <n v="1"/>
    <n v="0.60569057799474235"/>
    <x v="8"/>
  </r>
  <r>
    <n v="35"/>
    <n v="32"/>
    <n v="1"/>
    <n v="64"/>
    <n v="16"/>
    <n v="12"/>
    <n v="85"/>
    <s v="Together"/>
    <n v="25545"/>
    <n v="1"/>
    <n v="0"/>
    <n v="0"/>
    <n v="1"/>
    <n v="-1.2266494304480342"/>
    <x v="9"/>
  </r>
  <r>
    <n v="48"/>
    <n v="136"/>
    <n v="1"/>
    <n v="12"/>
    <n v="0"/>
    <n v="3"/>
    <n v="32"/>
    <s v="Together"/>
    <n v="55761"/>
    <n v="0"/>
    <n v="1"/>
    <n v="0"/>
    <n v="1"/>
    <n v="0.17137561046065791"/>
    <x v="10"/>
  </r>
  <r>
    <n v="49"/>
    <n v="2"/>
    <n v="3"/>
    <n v="6"/>
    <n v="4"/>
    <n v="1"/>
    <n v="9"/>
    <s v="Single"/>
    <n v="20587"/>
    <n v="1"/>
    <n v="0"/>
    <n v="1"/>
    <n v="0"/>
    <n v="-1.45604472277082"/>
    <x v="11"/>
  </r>
  <r>
    <n v="55"/>
    <n v="509"/>
    <n v="0"/>
    <n v="65"/>
    <n v="7"/>
    <n v="11"/>
    <n v="5"/>
    <s v="Together"/>
    <n v="56253"/>
    <n v="0"/>
    <n v="1"/>
    <n v="0"/>
    <n v="1"/>
    <n v="0.1941393224055572"/>
    <x v="12"/>
  </r>
  <r>
    <n v="67"/>
    <n v="68"/>
    <n v="0"/>
    <n v="16"/>
    <n v="0"/>
    <n v="0"/>
    <n v="8"/>
    <s v="Single"/>
    <n v="46423"/>
    <n v="1"/>
    <n v="1"/>
    <n v="1"/>
    <n v="0"/>
    <n v="-0.26067223942037754"/>
    <x v="13"/>
  </r>
  <r>
    <n v="73"/>
    <n v="14"/>
    <n v="0"/>
    <n v="3"/>
    <n v="0"/>
    <n v="0"/>
    <n v="1"/>
    <s v="Single"/>
    <n v="51411"/>
    <n v="1"/>
    <n v="2"/>
    <n v="1"/>
    <n v="0"/>
    <n v="-2.9888915881439347E-2"/>
    <x v="14"/>
  </r>
  <r>
    <n v="75"/>
    <n v="34"/>
    <n v="11"/>
    <n v="137"/>
    <n v="179"/>
    <n v="61"/>
    <n v="45"/>
    <s v="Together"/>
    <n v="41039"/>
    <n v="0"/>
    <n v="0"/>
    <n v="0"/>
    <n v="1"/>
    <n v="-0.50977757501252741"/>
    <x v="15"/>
  </r>
  <r>
    <n v="78"/>
    <n v="15"/>
    <n v="0"/>
    <n v="11"/>
    <n v="0"/>
    <n v="2"/>
    <n v="9"/>
    <s v="Together"/>
    <n v="25293"/>
    <n v="1"/>
    <n v="0"/>
    <n v="0"/>
    <n v="1"/>
    <n v="-1.2383088926637145"/>
    <x v="16"/>
  </r>
  <r>
    <n v="87"/>
    <n v="0"/>
    <n v="7"/>
    <n v="5"/>
    <n v="26"/>
    <n v="2"/>
    <n v="17"/>
    <s v="Together"/>
    <n v="27733"/>
    <n v="1"/>
    <n v="0"/>
    <n v="0"/>
    <n v="1"/>
    <n v="-1.1254156870833196"/>
    <x v="17"/>
  </r>
  <r>
    <n v="89"/>
    <n v="5"/>
    <n v="9"/>
    <n v="20"/>
    <n v="6"/>
    <n v="8"/>
    <n v="21"/>
    <s v="Together"/>
    <n v="22212"/>
    <n v="1"/>
    <n v="0"/>
    <n v="0"/>
    <n v="1"/>
    <n v="-1.3808596985625654"/>
    <x v="18"/>
  </r>
  <r>
    <n v="92"/>
    <n v="5"/>
    <n v="7"/>
    <n v="24"/>
    <n v="19"/>
    <n v="14"/>
    <n v="20"/>
    <s v="Single"/>
    <n v="34176"/>
    <n v="1"/>
    <n v="0"/>
    <n v="1"/>
    <n v="0"/>
    <n v="-0.82731284956099027"/>
    <x v="19"/>
  </r>
  <r>
    <n v="113"/>
    <n v="11"/>
    <n v="0"/>
    <n v="7"/>
    <n v="3"/>
    <n v="1"/>
    <n v="6"/>
    <s v="Together"/>
    <n v="30833"/>
    <n v="1"/>
    <n v="1"/>
    <n v="0"/>
    <n v="1"/>
    <n v="-0.98198579474757208"/>
    <x v="20"/>
  </r>
  <r>
    <n v="115"/>
    <n v="275"/>
    <n v="11"/>
    <n v="68"/>
    <n v="25"/>
    <n v="7"/>
    <n v="7"/>
    <s v="Single"/>
    <n v="43456"/>
    <n v="0"/>
    <n v="1"/>
    <n v="1"/>
    <n v="0"/>
    <n v="-0.39794852669784941"/>
    <x v="21"/>
  </r>
  <r>
    <n v="123"/>
    <n v="544"/>
    <n v="35"/>
    <n v="133"/>
    <n v="23"/>
    <n v="151"/>
    <n v="107"/>
    <s v="Single"/>
    <n v="67046"/>
    <n v="0"/>
    <n v="1"/>
    <n v="1"/>
    <n v="0"/>
    <n v="0.6935066862699838"/>
    <x v="22"/>
  </r>
  <r>
    <n v="125"/>
    <n v="215"/>
    <n v="7"/>
    <n v="33"/>
    <n v="3"/>
    <n v="0"/>
    <n v="13"/>
    <s v="Together"/>
    <n v="53083"/>
    <n v="1"/>
    <n v="1"/>
    <n v="0"/>
    <n v="1"/>
    <n v="4.7470690565454131E-2"/>
    <x v="23"/>
  </r>
  <r>
    <n v="143"/>
    <n v="466"/>
    <n v="0"/>
    <n v="224"/>
    <n v="119"/>
    <n v="49"/>
    <n v="99"/>
    <s v="Single"/>
    <n v="61209"/>
    <n v="0"/>
    <n v="0"/>
    <n v="1"/>
    <n v="0"/>
    <n v="0.42344207931393285"/>
    <x v="24"/>
  </r>
  <r>
    <n v="146"/>
    <n v="760"/>
    <n v="53"/>
    <n v="400"/>
    <n v="17"/>
    <n v="93"/>
    <n v="0"/>
    <s v="Single"/>
    <n v="76045"/>
    <n v="0"/>
    <n v="0"/>
    <n v="1"/>
    <n v="0"/>
    <n v="1.1098697834084972"/>
    <x v="25"/>
  </r>
  <r>
    <n v="153"/>
    <n v="19"/>
    <n v="3"/>
    <n v="6"/>
    <n v="4"/>
    <n v="2"/>
    <n v="12"/>
    <s v="Single"/>
    <n v="23272"/>
    <n v="0"/>
    <n v="0"/>
    <n v="1"/>
    <n v="0"/>
    <n v="-1.3318159289251807"/>
    <x v="26"/>
  </r>
  <r>
    <n v="158"/>
    <n v="345"/>
    <n v="53"/>
    <n v="528"/>
    <n v="98"/>
    <n v="75"/>
    <n v="97"/>
    <s v="Together"/>
    <n v="71604"/>
    <n v="0"/>
    <n v="0"/>
    <n v="0"/>
    <n v="1"/>
    <n v="0.90439489571073772"/>
    <x v="27"/>
  </r>
  <r>
    <n v="164"/>
    <n v="206"/>
    <n v="0"/>
    <n v="46"/>
    <n v="3"/>
    <n v="2"/>
    <n v="12"/>
    <s v="Together"/>
    <n v="28973"/>
    <n v="0"/>
    <n v="0"/>
    <n v="0"/>
    <n v="1"/>
    <n v="-1.0680437301490207"/>
    <x v="28"/>
  </r>
  <r>
    <n v="175"/>
    <n v="656"/>
    <n v="80"/>
    <n v="455"/>
    <n v="52"/>
    <n v="107"/>
    <n v="93"/>
    <s v="Together"/>
    <n v="71952"/>
    <n v="1"/>
    <n v="0"/>
    <n v="0"/>
    <n v="1"/>
    <n v="0.92049605781810551"/>
    <x v="29"/>
  </r>
  <r>
    <n v="176"/>
    <n v="90"/>
    <n v="38"/>
    <n v="67"/>
    <n v="33"/>
    <n v="36"/>
    <n v="67"/>
    <s v="Single"/>
    <n v="67506"/>
    <n v="0"/>
    <n v="1"/>
    <n v="1"/>
    <n v="0"/>
    <n v="0.71478983158432052"/>
    <x v="30"/>
  </r>
  <r>
    <n v="178"/>
    <n v="478"/>
    <n v="0"/>
    <n v="193"/>
    <n v="110"/>
    <n v="75"/>
    <n v="117"/>
    <s v="Together"/>
    <n v="62503"/>
    <n v="0"/>
    <n v="1"/>
    <n v="0"/>
    <n v="1"/>
    <n v="0.48331249243730612"/>
    <x v="31"/>
  </r>
  <r>
    <n v="182"/>
    <n v="284"/>
    <n v="0"/>
    <n v="55"/>
    <n v="0"/>
    <n v="6"/>
    <n v="52"/>
    <s v="Together"/>
    <n v="44124"/>
    <n v="0"/>
    <n v="1"/>
    <n v="0"/>
    <n v="1"/>
    <n v="-0.36704169828485605"/>
    <x v="32"/>
  </r>
  <r>
    <n v="193"/>
    <n v="0"/>
    <n v="0"/>
    <n v="2"/>
    <n v="3"/>
    <n v="3"/>
    <n v="8"/>
    <s v="Together"/>
    <n v="14421"/>
    <n v="0"/>
    <n v="0"/>
    <n v="0"/>
    <n v="1"/>
    <n v="-1.7413314053973423"/>
    <x v="33"/>
  </r>
  <r>
    <n v="194"/>
    <n v="23"/>
    <n v="0"/>
    <n v="11"/>
    <n v="3"/>
    <n v="2"/>
    <n v="2"/>
    <s v="Together"/>
    <n v="48006"/>
    <n v="1"/>
    <n v="1"/>
    <n v="0"/>
    <n v="1"/>
    <n v="-0.18743045891473617"/>
    <x v="34"/>
  </r>
  <r>
    <n v="195"/>
    <n v="125"/>
    <n v="17"/>
    <n v="52"/>
    <n v="3"/>
    <n v="19"/>
    <n v="30"/>
    <s v="Single"/>
    <n v="38808"/>
    <n v="1"/>
    <n v="0"/>
    <n v="1"/>
    <n v="0"/>
    <n v="-0.6130008297870605"/>
    <x v="35"/>
  </r>
  <r>
    <n v="199"/>
    <n v="219"/>
    <n v="3"/>
    <n v="60"/>
    <n v="12"/>
    <n v="9"/>
    <n v="12"/>
    <s v="Single"/>
    <n v="45183"/>
    <n v="0"/>
    <n v="0"/>
    <n v="1"/>
    <n v="0"/>
    <n v="-0.31804419635467651"/>
    <x v="36"/>
  </r>
  <r>
    <n v="202"/>
    <n v="332"/>
    <n v="194"/>
    <n v="377"/>
    <n v="149"/>
    <n v="125"/>
    <n v="57"/>
    <s v="Single"/>
    <n v="82032"/>
    <n v="0"/>
    <n v="0"/>
    <n v="1"/>
    <n v="0"/>
    <n v="1.3868745464453103"/>
    <x v="37"/>
  </r>
  <r>
    <n v="203"/>
    <n v="1288"/>
    <n v="20"/>
    <n v="613"/>
    <n v="80"/>
    <n v="61"/>
    <n v="27"/>
    <s v="Single"/>
    <n v="81169"/>
    <n v="0"/>
    <n v="0"/>
    <n v="1"/>
    <n v="0"/>
    <n v="1.3469455151273262"/>
    <x v="38"/>
  </r>
  <r>
    <n v="213"/>
    <n v="35"/>
    <n v="0"/>
    <n v="11"/>
    <n v="0"/>
    <n v="0"/>
    <n v="2"/>
    <s v="Single"/>
    <n v="23091"/>
    <n v="1"/>
    <n v="1"/>
    <n v="1"/>
    <n v="0"/>
    <n v="-1.3401903839293001"/>
    <x v="39"/>
  </r>
  <r>
    <n v="217"/>
    <n v="556"/>
    <n v="14"/>
    <n v="717"/>
    <n v="210"/>
    <n v="0"/>
    <n v="43"/>
    <s v="Single"/>
    <n v="64857"/>
    <n v="0"/>
    <n v="0"/>
    <n v="1"/>
    <n v="0"/>
    <n v="0.59222667519806405"/>
    <x v="40"/>
  </r>
  <r>
    <n v="221"/>
    <n v="138"/>
    <n v="3"/>
    <n v="38"/>
    <n v="4"/>
    <n v="0"/>
    <n v="59"/>
    <s v="Together"/>
    <n v="48726"/>
    <n v="0"/>
    <n v="1"/>
    <n v="0"/>
    <n v="1"/>
    <n v="-0.15411770972707869"/>
    <x v="41"/>
  </r>
  <r>
    <n v="231"/>
    <n v="24"/>
    <n v="0"/>
    <n v="7"/>
    <n v="0"/>
    <n v="0"/>
    <n v="1"/>
    <s v="Together"/>
    <n v="28839"/>
    <n v="1"/>
    <n v="1"/>
    <n v="0"/>
    <n v="1"/>
    <n v="-1.0742436029145013"/>
    <x v="42"/>
  </r>
  <r>
    <n v="232"/>
    <n v="279"/>
    <n v="83"/>
    <n v="88"/>
    <n v="32"/>
    <n v="14"/>
    <n v="34"/>
    <s v="Single"/>
    <n v="61559"/>
    <n v="0"/>
    <n v="1"/>
    <n v="1"/>
    <n v="0"/>
    <n v="0.43963577683571076"/>
    <x v="43"/>
  </r>
  <r>
    <n v="234"/>
    <n v="1"/>
    <n v="2"/>
    <n v="8"/>
    <n v="4"/>
    <n v="3"/>
    <n v="13"/>
    <s v="Single"/>
    <n v="15287"/>
    <n v="1"/>
    <n v="0"/>
    <n v="1"/>
    <n v="0"/>
    <n v="-1.7012635709577433"/>
    <x v="44"/>
  </r>
  <r>
    <n v="236"/>
    <n v="28"/>
    <n v="23"/>
    <n v="29"/>
    <n v="29"/>
    <n v="14"/>
    <n v="47"/>
    <s v="Together"/>
    <n v="34838"/>
    <n v="1"/>
    <n v="1"/>
    <n v="0"/>
    <n v="1"/>
    <n v="-0.79668362739122744"/>
    <x v="45"/>
  </r>
  <r>
    <n v="238"/>
    <n v="515"/>
    <n v="47"/>
    <n v="181"/>
    <n v="149"/>
    <n v="95"/>
    <n v="95"/>
    <s v="Together"/>
    <n v="67309"/>
    <n v="1"/>
    <n v="1"/>
    <n v="0"/>
    <n v="1"/>
    <n v="0.70567509326491984"/>
    <x v="46"/>
  </r>
  <r>
    <n v="241"/>
    <n v="901"/>
    <n v="31"/>
    <n v="345"/>
    <n v="75"/>
    <n v="31"/>
    <n v="191"/>
    <s v="Together"/>
    <n v="83844"/>
    <n v="0"/>
    <n v="0"/>
    <n v="0"/>
    <n v="1"/>
    <n v="1.4707116319009148"/>
    <x v="47"/>
  </r>
  <r>
    <n v="246"/>
    <n v="199"/>
    <n v="9"/>
    <n v="57"/>
    <n v="20"/>
    <n v="21"/>
    <n v="6"/>
    <s v="Together"/>
    <n v="66480"/>
    <n v="1"/>
    <n v="1"/>
    <n v="0"/>
    <n v="1"/>
    <n v="0.6673191639919086"/>
    <x v="48"/>
  </r>
  <r>
    <n v="247"/>
    <n v="172"/>
    <n v="10"/>
    <n v="125"/>
    <n v="21"/>
    <n v="13"/>
    <n v="16"/>
    <s v="Together"/>
    <n v="36715"/>
    <n v="1"/>
    <n v="0"/>
    <n v="0"/>
    <n v="1"/>
    <n v="-0.7098391409672925"/>
    <x v="49"/>
  </r>
  <r>
    <n v="252"/>
    <n v="123"/>
    <n v="133"/>
    <n v="142"/>
    <n v="71"/>
    <n v="44"/>
    <n v="88"/>
    <s v="Single"/>
    <n v="41003"/>
    <n v="0"/>
    <n v="0"/>
    <n v="1"/>
    <n v="0"/>
    <n v="-0.51144321247191027"/>
    <x v="50"/>
  </r>
  <r>
    <n v="254"/>
    <n v="399"/>
    <n v="4"/>
    <n v="30"/>
    <n v="6"/>
    <n v="4"/>
    <n v="30"/>
    <s v="Together"/>
    <n v="53863"/>
    <n v="0"/>
    <n v="1"/>
    <n v="0"/>
    <n v="1"/>
    <n v="8.3559502185416398E-2"/>
    <x v="51"/>
  </r>
  <r>
    <n v="255"/>
    <n v="17"/>
    <n v="0"/>
    <n v="2"/>
    <n v="0"/>
    <n v="0"/>
    <n v="2"/>
    <s v="Single"/>
    <n v="22263"/>
    <n v="1"/>
    <n v="1"/>
    <n v="1"/>
    <n v="0"/>
    <n v="-1.3785000454951062"/>
    <x v="52"/>
  </r>
  <r>
    <n v="257"/>
    <n v="952"/>
    <n v="12"/>
    <n v="180"/>
    <n v="47"/>
    <n v="12"/>
    <n v="12"/>
    <s v="Together"/>
    <n v="75032"/>
    <n v="0"/>
    <n v="1"/>
    <n v="0"/>
    <n v="1"/>
    <n v="1.0630005960097513"/>
    <x v="53"/>
  </r>
  <r>
    <n v="263"/>
    <n v="56"/>
    <n v="19"/>
    <n v="29"/>
    <n v="2"/>
    <n v="14"/>
    <n v="25"/>
    <s v="Single"/>
    <n v="45576"/>
    <n v="0"/>
    <n v="0"/>
    <n v="1"/>
    <n v="0"/>
    <n v="-0.29986098742308015"/>
    <x v="54"/>
  </r>
  <r>
    <n v="269"/>
    <n v="777"/>
    <n v="30"/>
    <n v="163"/>
    <n v="0"/>
    <n v="51"/>
    <n v="122"/>
    <s v="Single"/>
    <n v="46757"/>
    <n v="0"/>
    <n v="1"/>
    <n v="1"/>
    <n v="0"/>
    <n v="-0.24521882521388089"/>
    <x v="55"/>
  </r>
  <r>
    <n v="271"/>
    <n v="154"/>
    <n v="0"/>
    <n v="50"/>
    <n v="6"/>
    <n v="11"/>
    <n v="37"/>
    <s v="Single"/>
    <n v="40590"/>
    <n v="1"/>
    <n v="1"/>
    <n v="1"/>
    <n v="0"/>
    <n v="-0.53055177554760824"/>
    <x v="56"/>
  </r>
  <r>
    <n v="273"/>
    <n v="130"/>
    <n v="0"/>
    <n v="16"/>
    <n v="0"/>
    <n v="0"/>
    <n v="5"/>
    <s v="Together"/>
    <n v="36138"/>
    <n v="1"/>
    <n v="1"/>
    <n v="0"/>
    <n v="1"/>
    <n v="-0.73653560802462359"/>
    <x v="57"/>
  </r>
  <r>
    <n v="274"/>
    <n v="9"/>
    <n v="3"/>
    <n v="15"/>
    <n v="2"/>
    <n v="3"/>
    <n v="2"/>
    <s v="Single"/>
    <n v="34853"/>
    <n v="1"/>
    <n v="1"/>
    <n v="1"/>
    <n v="0"/>
    <n v="-0.7959896117831512"/>
    <x v="58"/>
  </r>
  <r>
    <n v="286"/>
    <n v="95"/>
    <n v="11"/>
    <n v="35"/>
    <n v="0"/>
    <n v="4"/>
    <n v="7"/>
    <s v="Single"/>
    <n v="44213"/>
    <n v="1"/>
    <n v="1"/>
    <n v="1"/>
    <n v="0"/>
    <n v="-0.36292387234360396"/>
    <x v="59"/>
  </r>
  <r>
    <n v="291"/>
    <n v="182"/>
    <n v="74"/>
    <n v="298"/>
    <n v="162"/>
    <n v="149"/>
    <n v="116"/>
    <s v="Together"/>
    <n v="72940"/>
    <n v="0"/>
    <n v="0"/>
    <n v="0"/>
    <n v="1"/>
    <n v="0.96620855253672433"/>
    <x v="60"/>
  </r>
  <r>
    <n v="295"/>
    <n v="493"/>
    <n v="70"/>
    <n v="324"/>
    <n v="146"/>
    <n v="40"/>
    <n v="84"/>
    <s v="Single"/>
    <n v="81217"/>
    <n v="0"/>
    <n v="0"/>
    <n v="1"/>
    <n v="0"/>
    <n v="1.34916636507317"/>
    <x v="61"/>
  </r>
  <r>
    <n v="304"/>
    <n v="19"/>
    <n v="3"/>
    <n v="19"/>
    <n v="4"/>
    <n v="5"/>
    <n v="26"/>
    <s v="Single"/>
    <n v="22944"/>
    <n v="1"/>
    <n v="0"/>
    <n v="1"/>
    <n v="0"/>
    <n v="-1.346991736888447"/>
    <x v="62"/>
  </r>
  <r>
    <n v="309"/>
    <n v="918"/>
    <n v="21"/>
    <n v="118"/>
    <n v="13"/>
    <n v="10"/>
    <n v="21"/>
    <s v="Together"/>
    <n v="63342"/>
    <n v="0"/>
    <n v="1"/>
    <n v="0"/>
    <n v="1"/>
    <n v="0.52213109878236807"/>
    <x v="63"/>
  </r>
  <r>
    <n v="310"/>
    <n v="330"/>
    <n v="5"/>
    <n v="159"/>
    <n v="36"/>
    <n v="27"/>
    <n v="16"/>
    <s v="Together"/>
    <n v="61872"/>
    <n v="0"/>
    <n v="1"/>
    <n v="0"/>
    <n v="1"/>
    <n v="0.45411756919090079"/>
    <x v="64"/>
  </r>
  <r>
    <n v="313"/>
    <n v="901"/>
    <n v="61"/>
    <n v="757"/>
    <n v="186"/>
    <n v="163"/>
    <n v="20"/>
    <s v="Single"/>
    <n v="73455"/>
    <n v="0"/>
    <n v="0"/>
    <n v="1"/>
    <n v="0"/>
    <n v="0.99003642174734041"/>
    <x v="65"/>
  </r>
  <r>
    <n v="322"/>
    <n v="29"/>
    <n v="1"/>
    <n v="11"/>
    <n v="0"/>
    <n v="0"/>
    <n v="0"/>
    <s v="Together"/>
    <n v="42554"/>
    <n v="1"/>
    <n v="1"/>
    <n v="0"/>
    <n v="1"/>
    <n v="-0.43968199859683144"/>
    <x v="66"/>
  </r>
  <r>
    <n v="326"/>
    <n v="235"/>
    <n v="6"/>
    <n v="45"/>
    <n v="8"/>
    <n v="9"/>
    <n v="12"/>
    <s v="Together"/>
    <n v="51148"/>
    <n v="1"/>
    <n v="1"/>
    <n v="0"/>
    <n v="1"/>
    <n v="-4.2057322876375342E-2"/>
    <x v="67"/>
  </r>
  <r>
    <n v="332"/>
    <n v="198"/>
    <n v="2"/>
    <n v="43"/>
    <n v="0"/>
    <n v="12"/>
    <n v="20"/>
    <s v="Together"/>
    <n v="47743"/>
    <n v="0"/>
    <n v="1"/>
    <n v="0"/>
    <n v="1"/>
    <n v="-0.19959886590967216"/>
    <x v="68"/>
  </r>
  <r>
    <n v="339"/>
    <n v="462"/>
    <n v="0"/>
    <n v="24"/>
    <n v="6"/>
    <n v="0"/>
    <n v="4"/>
    <s v="Together"/>
    <n v="57091"/>
    <n v="0"/>
    <n v="1"/>
    <n v="0"/>
    <n v="1"/>
    <n v="0.2329116610434141"/>
    <x v="69"/>
  </r>
  <r>
    <n v="340"/>
    <n v="158"/>
    <n v="35"/>
    <n v="179"/>
    <n v="0"/>
    <n v="0"/>
    <n v="125"/>
    <s v="Single"/>
    <n v="72967"/>
    <n v="0"/>
    <n v="1"/>
    <n v="1"/>
    <n v="0"/>
    <n v="0.96745778063126153"/>
    <x v="70"/>
  </r>
  <r>
    <n v="347"/>
    <n v="229"/>
    <n v="27"/>
    <n v="71"/>
    <n v="13"/>
    <n v="3"/>
    <n v="34"/>
    <s v="Single"/>
    <n v="40780"/>
    <n v="0"/>
    <n v="1"/>
    <n v="1"/>
    <n v="0"/>
    <n v="-0.52176091117864298"/>
    <x v="71"/>
  </r>
  <r>
    <n v="359"/>
    <n v="373"/>
    <n v="14"/>
    <n v="83"/>
    <n v="6"/>
    <n v="9"/>
    <n v="19"/>
    <s v="Together"/>
    <n v="48070"/>
    <n v="0"/>
    <n v="1"/>
    <n v="0"/>
    <n v="1"/>
    <n v="-0.18446932565361107"/>
    <x v="72"/>
  </r>
  <r>
    <n v="361"/>
    <n v="5"/>
    <n v="1"/>
    <n v="7"/>
    <n v="2"/>
    <n v="1"/>
    <n v="4"/>
    <s v="Together"/>
    <n v="43142"/>
    <n v="1"/>
    <n v="1"/>
    <n v="0"/>
    <n v="1"/>
    <n v="-0.41247658676024446"/>
    <x v="73"/>
  </r>
  <r>
    <n v="367"/>
    <n v="47"/>
    <n v="90"/>
    <n v="94"/>
    <n v="123"/>
    <n v="103"/>
    <n v="120"/>
    <s v="Together"/>
    <n v="36550"/>
    <n v="1"/>
    <n v="0"/>
    <n v="0"/>
    <n v="1"/>
    <n v="-0.71747331265613068"/>
    <x v="74"/>
  </r>
  <r>
    <n v="368"/>
    <n v="91"/>
    <n v="65"/>
    <n v="52"/>
    <n v="10"/>
    <n v="44"/>
    <n v="28"/>
    <s v="Together"/>
    <n v="40049"/>
    <n v="0"/>
    <n v="1"/>
    <n v="0"/>
    <n v="1"/>
    <n v="-0.55558260514555635"/>
    <x v="75"/>
  </r>
  <r>
    <n v="375"/>
    <n v="516"/>
    <n v="56"/>
    <n v="449"/>
    <n v="86"/>
    <n v="33"/>
    <n v="16"/>
    <s v="Single"/>
    <n v="76773"/>
    <n v="0"/>
    <n v="0"/>
    <n v="1"/>
    <n v="0"/>
    <n v="1.1435526742537954"/>
    <x v="76"/>
  </r>
  <r>
    <n v="378"/>
    <n v="283"/>
    <n v="112"/>
    <n v="151"/>
    <n v="51"/>
    <n v="72"/>
    <n v="125"/>
    <s v="Together"/>
    <n v="52531"/>
    <n v="0"/>
    <n v="0"/>
    <n v="0"/>
    <n v="1"/>
    <n v="2.1930916188250063E-2"/>
    <x v="77"/>
  </r>
  <r>
    <n v="380"/>
    <n v="1170"/>
    <n v="48"/>
    <n v="320"/>
    <n v="42"/>
    <n v="32"/>
    <n v="192"/>
    <s v="Single"/>
    <n v="64497"/>
    <n v="0"/>
    <n v="1"/>
    <n v="1"/>
    <n v="0"/>
    <n v="0.57557030060423531"/>
    <x v="78"/>
  </r>
  <r>
    <n v="387"/>
    <n v="6"/>
    <n v="16"/>
    <n v="11"/>
    <n v="11"/>
    <n v="1"/>
    <n v="16"/>
    <s v="Together"/>
    <n v="7500"/>
    <n v="0"/>
    <n v="0"/>
    <n v="0"/>
    <n v="1"/>
    <n v="-2.0615502069636999"/>
    <x v="79"/>
  </r>
  <r>
    <n v="405"/>
    <n v="315"/>
    <n v="0"/>
    <n v="31"/>
    <n v="4"/>
    <n v="0"/>
    <n v="91"/>
    <s v="Single"/>
    <n v="41638"/>
    <n v="0"/>
    <n v="1"/>
    <n v="1"/>
    <n v="0"/>
    <n v="-0.48206321839668453"/>
    <x v="80"/>
  </r>
  <r>
    <n v="425"/>
    <n v="374"/>
    <n v="64"/>
    <n v="116"/>
    <n v="84"/>
    <n v="25"/>
    <n v="64"/>
    <s v="Together"/>
    <n v="55357"/>
    <n v="2"/>
    <n v="0"/>
    <n v="0"/>
    <n v="1"/>
    <n v="0.15268345674980566"/>
    <x v="81"/>
  </r>
  <r>
    <n v="433"/>
    <n v="534"/>
    <n v="5"/>
    <n v="47"/>
    <n v="0"/>
    <n v="5"/>
    <n v="41"/>
    <s v="Single"/>
    <n v="61331"/>
    <n v="1"/>
    <n v="1"/>
    <n v="1"/>
    <n v="0"/>
    <n v="0.42908673959295257"/>
    <x v="82"/>
  </r>
  <r>
    <n v="437"/>
    <n v="294"/>
    <n v="142"/>
    <n v="218"/>
    <n v="164"/>
    <n v="58"/>
    <n v="151"/>
    <s v="Single"/>
    <n v="75012"/>
    <n v="0"/>
    <n v="0"/>
    <n v="1"/>
    <n v="0"/>
    <n v="1.0620752418656498"/>
    <x v="83"/>
  </r>
  <r>
    <n v="448"/>
    <n v="308"/>
    <n v="85"/>
    <n v="137"/>
    <n v="102"/>
    <n v="45"/>
    <n v="118"/>
    <s v="Single"/>
    <n v="54880"/>
    <n v="1"/>
    <n v="0"/>
    <n v="1"/>
    <n v="0"/>
    <n v="0.13061376041298259"/>
    <x v="84"/>
  </r>
  <r>
    <n v="450"/>
    <n v="67"/>
    <n v="15"/>
    <n v="80"/>
    <n v="17"/>
    <n v="11"/>
    <n v="80"/>
    <s v="Together"/>
    <n v="42315"/>
    <n v="0"/>
    <n v="1"/>
    <n v="0"/>
    <n v="1"/>
    <n v="-0.45073998061884551"/>
    <x v="85"/>
  </r>
  <r>
    <n v="451"/>
    <n v="9"/>
    <n v="0"/>
    <n v="7"/>
    <n v="2"/>
    <n v="0"/>
    <n v="4"/>
    <s v="Single"/>
    <n v="9255"/>
    <n v="1"/>
    <n v="0"/>
    <n v="1"/>
    <n v="0"/>
    <n v="-1.9803503808187848"/>
    <x v="86"/>
  </r>
  <r>
    <n v="453"/>
    <n v="27"/>
    <n v="0"/>
    <n v="12"/>
    <n v="0"/>
    <n v="1"/>
    <n v="5"/>
    <s v="Single"/>
    <n v="35340"/>
    <n v="1"/>
    <n v="1"/>
    <n v="1"/>
    <n v="0"/>
    <n v="-0.77345723837427727"/>
    <x v="87"/>
  </r>
  <r>
    <n v="454"/>
    <n v="824"/>
    <n v="32"/>
    <n v="162"/>
    <n v="42"/>
    <n v="32"/>
    <n v="43"/>
    <s v="Together"/>
    <n v="69508"/>
    <n v="1"/>
    <n v="0"/>
    <n v="0"/>
    <n v="1"/>
    <n v="0.80741778140889031"/>
    <x v="88"/>
  </r>
  <r>
    <n v="455"/>
    <n v="102"/>
    <n v="9"/>
    <n v="63"/>
    <n v="2"/>
    <n v="9"/>
    <n v="24"/>
    <s v="Together"/>
    <n v="51012"/>
    <n v="0"/>
    <n v="0"/>
    <n v="0"/>
    <n v="1"/>
    <n v="-4.83497310562662E-2"/>
    <x v="89"/>
  </r>
  <r>
    <n v="456"/>
    <n v="1"/>
    <n v="11"/>
    <n v="5"/>
    <n v="4"/>
    <n v="6"/>
    <n v="9"/>
    <s v="Together"/>
    <n v="7500"/>
    <n v="1"/>
    <n v="0"/>
    <n v="0"/>
    <n v="1"/>
    <n v="-2.0615502069636999"/>
    <x v="90"/>
  </r>
  <r>
    <n v="460"/>
    <n v="792"/>
    <n v="86"/>
    <n v="740"/>
    <n v="67"/>
    <n v="51"/>
    <n v="17"/>
    <s v="Together"/>
    <n v="79930"/>
    <n v="0"/>
    <n v="0"/>
    <n v="0"/>
    <n v="1"/>
    <n v="1.2896198259002323"/>
    <x v="91"/>
  </r>
  <r>
    <n v="466"/>
    <n v="388"/>
    <n v="14"/>
    <n v="218"/>
    <n v="91"/>
    <n v="14"/>
    <n v="21"/>
    <s v="Together"/>
    <n v="65275"/>
    <n v="0"/>
    <n v="0"/>
    <n v="0"/>
    <n v="1"/>
    <n v="0.61156657680978743"/>
    <x v="92"/>
  </r>
  <r>
    <n v="477"/>
    <n v="1060"/>
    <n v="61"/>
    <n v="835"/>
    <n v="80"/>
    <n v="20"/>
    <n v="101"/>
    <s v="Together"/>
    <n v="83512"/>
    <n v="0"/>
    <n v="0"/>
    <n v="0"/>
    <n v="1"/>
    <n v="1.4553507531088283"/>
    <x v="93"/>
  </r>
  <r>
    <n v="486"/>
    <n v="434"/>
    <n v="137"/>
    <n v="400"/>
    <n v="45"/>
    <n v="137"/>
    <n v="45"/>
    <s v="Together"/>
    <n v="84219"/>
    <n v="0"/>
    <n v="0"/>
    <n v="0"/>
    <n v="1"/>
    <n v="1.4880620221028198"/>
    <x v="94"/>
  </r>
  <r>
    <n v="492"/>
    <n v="322"/>
    <n v="3"/>
    <n v="50"/>
    <n v="4"/>
    <n v="3"/>
    <n v="42"/>
    <s v="Single"/>
    <n v="48432"/>
    <n v="0"/>
    <n v="1"/>
    <n v="1"/>
    <n v="0"/>
    <n v="-0.16772041564537216"/>
    <x v="95"/>
  </r>
  <r>
    <n v="498"/>
    <n v="25"/>
    <n v="0"/>
    <n v="22"/>
    <n v="2"/>
    <n v="3"/>
    <n v="5"/>
    <s v="Single"/>
    <n v="30015"/>
    <n v="1"/>
    <n v="0"/>
    <n v="1"/>
    <n v="0"/>
    <n v="-1.0198327792413273"/>
    <x v="96"/>
  </r>
  <r>
    <n v="500"/>
    <n v="908"/>
    <n v="43"/>
    <n v="735"/>
    <n v="40"/>
    <n v="194"/>
    <n v="21"/>
    <s v="Together"/>
    <n v="96876"/>
    <n v="0"/>
    <n v="0"/>
    <n v="0"/>
    <n v="1"/>
    <n v="2.0736723921975151"/>
    <x v="97"/>
  </r>
  <r>
    <n v="503"/>
    <n v="13"/>
    <n v="1"/>
    <n v="29"/>
    <n v="3"/>
    <n v="0"/>
    <n v="7"/>
    <s v="Together"/>
    <n v="20559"/>
    <n v="1"/>
    <n v="0"/>
    <n v="0"/>
    <n v="1"/>
    <n v="-1.4573402185725624"/>
    <x v="98"/>
  </r>
  <r>
    <n v="520"/>
    <n v="3"/>
    <n v="3"/>
    <n v="7"/>
    <n v="6"/>
    <n v="2"/>
    <n v="9"/>
    <s v="Together"/>
    <n v="34421"/>
    <n v="1"/>
    <n v="0"/>
    <n v="0"/>
    <n v="1"/>
    <n v="-0.81597726129574566"/>
    <x v="99"/>
  </r>
  <r>
    <n v="521"/>
    <n v="174"/>
    <n v="77"/>
    <n v="203"/>
    <n v="6"/>
    <n v="24"/>
    <n v="97"/>
    <s v="Together"/>
    <n v="54006"/>
    <n v="1"/>
    <n v="0"/>
    <n v="0"/>
    <n v="1"/>
    <n v="9.0175784315742816E-2"/>
    <x v="100"/>
  </r>
  <r>
    <n v="523"/>
    <n v="23"/>
    <n v="0"/>
    <n v="26"/>
    <n v="7"/>
    <n v="15"/>
    <n v="3"/>
    <s v="Together"/>
    <n v="37155"/>
    <n v="1"/>
    <n v="0"/>
    <n v="0"/>
    <n v="1"/>
    <n v="-0.68948134979705744"/>
    <x v="101"/>
  </r>
  <r>
    <n v="524"/>
    <n v="2"/>
    <n v="23"/>
    <n v="11"/>
    <n v="8"/>
    <n v="6"/>
    <n v="46"/>
    <s v="Together"/>
    <n v="22634"/>
    <n v="0"/>
    <n v="0"/>
    <n v="0"/>
    <n v="1"/>
    <n v="-1.3613347261220217"/>
    <x v="102"/>
  </r>
  <r>
    <n v="528"/>
    <n v="267"/>
    <n v="38"/>
    <n v="701"/>
    <n v="149"/>
    <n v="165"/>
    <n v="63"/>
    <s v="Together"/>
    <n v="65819"/>
    <n v="0"/>
    <n v="0"/>
    <n v="0"/>
    <n v="1"/>
    <n v="0.63673620952935084"/>
    <x v="103"/>
  </r>
  <r>
    <n v="531"/>
    <n v="941"/>
    <n v="14"/>
    <n v="397"/>
    <n v="76"/>
    <n v="58"/>
    <n v="176"/>
    <s v="Single"/>
    <n v="57333"/>
    <n v="0"/>
    <n v="1"/>
    <n v="1"/>
    <n v="0"/>
    <n v="0.24410844618704342"/>
    <x v="104"/>
  </r>
  <r>
    <n v="535"/>
    <n v="163"/>
    <n v="23"/>
    <n v="424"/>
    <n v="27"/>
    <n v="65"/>
    <n v="76"/>
    <s v="Single"/>
    <n v="81361"/>
    <n v="0"/>
    <n v="0"/>
    <n v="1"/>
    <n v="0"/>
    <n v="1.3558289149107017"/>
    <x v="105"/>
  </r>
  <r>
    <n v="538"/>
    <n v="31"/>
    <n v="9"/>
    <n v="27"/>
    <n v="16"/>
    <n v="9"/>
    <n v="33"/>
    <s v="Single"/>
    <n v="46107"/>
    <n v="1"/>
    <n v="0"/>
    <n v="1"/>
    <n v="0"/>
    <n v="-0.27529283489718276"/>
    <x v="106"/>
  </r>
  <r>
    <n v="544"/>
    <n v="398"/>
    <n v="61"/>
    <n v="265"/>
    <n v="138"/>
    <n v="61"/>
    <n v="53"/>
    <s v="Together"/>
    <n v="62820"/>
    <n v="0"/>
    <n v="0"/>
    <n v="0"/>
    <n v="1"/>
    <n v="0.49797935562131646"/>
    <x v="107"/>
  </r>
  <r>
    <n v="550"/>
    <n v="243"/>
    <n v="131"/>
    <n v="217"/>
    <n v="85"/>
    <n v="6"/>
    <n v="26"/>
    <s v="Single"/>
    <n v="62335"/>
    <n v="0"/>
    <n v="1"/>
    <n v="1"/>
    <n v="0"/>
    <n v="0.47553951762685276"/>
    <x v="108"/>
  </r>
  <r>
    <n v="564"/>
    <n v="746"/>
    <n v="8"/>
    <n v="125"/>
    <n v="11"/>
    <n v="8"/>
    <n v="8"/>
    <s v="Together"/>
    <n v="56937"/>
    <n v="1"/>
    <n v="0"/>
    <n v="0"/>
    <n v="1"/>
    <n v="0.22578643413383181"/>
    <x v="109"/>
  </r>
  <r>
    <n v="569"/>
    <n v="704"/>
    <n v="129"/>
    <n v="853"/>
    <n v="120"/>
    <n v="74"/>
    <n v="111"/>
    <s v="Single"/>
    <n v="90273"/>
    <n v="0"/>
    <n v="0"/>
    <n v="1"/>
    <n v="0"/>
    <n v="1.7681667215223731"/>
    <x v="110"/>
  </r>
  <r>
    <n v="574"/>
    <n v="14"/>
    <n v="36"/>
    <n v="11"/>
    <n v="3"/>
    <n v="26"/>
    <n v="35"/>
    <s v="Together"/>
    <n v="42523"/>
    <n v="0"/>
    <n v="0"/>
    <n v="0"/>
    <n v="1"/>
    <n v="-0.44111629752018888"/>
    <x v="111"/>
  </r>
  <r>
    <n v="577"/>
    <n v="9"/>
    <n v="1"/>
    <n v="7"/>
    <n v="0"/>
    <n v="3"/>
    <n v="2"/>
    <s v="Together"/>
    <n v="26907"/>
    <n v="1"/>
    <n v="1"/>
    <n v="0"/>
    <n v="1"/>
    <n v="-1.1636328132347156"/>
    <x v="112"/>
  </r>
  <r>
    <n v="590"/>
    <n v="816"/>
    <n v="66"/>
    <n v="549"/>
    <n v="216"/>
    <n v="66"/>
    <n v="99"/>
    <s v="Single"/>
    <n v="78579"/>
    <n v="0"/>
    <n v="0"/>
    <n v="1"/>
    <n v="0"/>
    <n v="1.2271121534661695"/>
    <x v="113"/>
  </r>
  <r>
    <n v="591"/>
    <n v="293"/>
    <n v="35"/>
    <n v="179"/>
    <n v="46"/>
    <n v="59"/>
    <n v="65"/>
    <s v="Single"/>
    <n v="66033"/>
    <n v="0"/>
    <n v="1"/>
    <n v="1"/>
    <n v="0"/>
    <n v="0.646637498871238"/>
    <x v="114"/>
  </r>
  <r>
    <n v="606"/>
    <n v="6"/>
    <n v="1"/>
    <n v="2"/>
    <n v="2"/>
    <n v="0"/>
    <n v="4"/>
    <s v="Single"/>
    <n v="25930"/>
    <n v="1"/>
    <n v="1"/>
    <n v="1"/>
    <n v="0"/>
    <n v="-1.2088363631740786"/>
    <x v="115"/>
  </r>
  <r>
    <n v="607"/>
    <n v="302"/>
    <n v="29"/>
    <n v="131"/>
    <n v="32"/>
    <n v="0"/>
    <n v="27"/>
    <s v="Single"/>
    <n v="41769"/>
    <n v="0"/>
    <n v="1"/>
    <n v="1"/>
    <n v="0"/>
    <n v="-0.4760021487528191"/>
    <x v="116"/>
  </r>
  <r>
    <n v="610"/>
    <n v="349"/>
    <n v="4"/>
    <n v="78"/>
    <n v="6"/>
    <n v="0"/>
    <n v="43"/>
    <s v="Together"/>
    <n v="53593"/>
    <n v="1"/>
    <n v="1"/>
    <n v="0"/>
    <n v="1"/>
    <n v="7.1067221240044845E-2"/>
    <x v="117"/>
  </r>
  <r>
    <n v="615"/>
    <n v="65"/>
    <n v="36"/>
    <n v="74"/>
    <n v="38"/>
    <n v="20"/>
    <n v="110"/>
    <s v="Together"/>
    <n v="30507"/>
    <n v="0"/>
    <n v="0"/>
    <n v="0"/>
    <n v="1"/>
    <n v="-0.99706906729642819"/>
    <x v="118"/>
  </r>
  <r>
    <n v="618"/>
    <n v="422"/>
    <n v="7"/>
    <n v="238"/>
    <n v="69"/>
    <n v="46"/>
    <n v="15"/>
    <s v="Together"/>
    <n v="69389"/>
    <n v="0"/>
    <n v="1"/>
    <n v="0"/>
    <n v="1"/>
    <n v="0.80191192425148583"/>
    <x v="119"/>
  </r>
  <r>
    <n v="624"/>
    <n v="6"/>
    <n v="4"/>
    <n v="1"/>
    <n v="7"/>
    <n v="2"/>
    <n v="15"/>
    <s v="Single"/>
    <n v="18890"/>
    <n v="0"/>
    <n v="0"/>
    <n v="1"/>
    <n v="0"/>
    <n v="-1.5345610218978405"/>
    <x v="120"/>
  </r>
  <r>
    <n v="626"/>
    <n v="22"/>
    <n v="2"/>
    <n v="12"/>
    <n v="0"/>
    <n v="2"/>
    <n v="5"/>
    <s v="Together"/>
    <n v="32871"/>
    <n v="1"/>
    <n v="1"/>
    <n v="0"/>
    <n v="1"/>
    <n v="-0.88769220746361943"/>
    <x v="121"/>
  </r>
  <r>
    <n v="635"/>
    <n v="464"/>
    <n v="5"/>
    <n v="64"/>
    <n v="7"/>
    <n v="0"/>
    <n v="70"/>
    <s v="Together"/>
    <n v="57183"/>
    <n v="1"/>
    <n v="1"/>
    <n v="0"/>
    <n v="1"/>
    <n v="0.23716829010628143"/>
    <x v="122"/>
  </r>
  <r>
    <n v="640"/>
    <n v="356"/>
    <n v="80"/>
    <n v="329"/>
    <n v="138"/>
    <n v="17"/>
    <n v="106"/>
    <s v="Together"/>
    <n v="57304"/>
    <n v="0"/>
    <n v="1"/>
    <n v="0"/>
    <n v="1"/>
    <n v="0.24276668267809609"/>
    <x v="123"/>
  </r>
  <r>
    <n v="641"/>
    <n v="59"/>
    <n v="0"/>
    <n v="12"/>
    <n v="0"/>
    <n v="0"/>
    <n v="48"/>
    <s v="Single"/>
    <n v="52074"/>
    <n v="0"/>
    <n v="1"/>
    <n v="1"/>
    <n v="0"/>
    <n v="7.8657399552858063E-4"/>
    <x v="124"/>
  </r>
  <r>
    <n v="642"/>
    <n v="1"/>
    <n v="3"/>
    <n v="2"/>
    <n v="20"/>
    <n v="30"/>
    <n v="47"/>
    <s v="Together"/>
    <n v="16005"/>
    <n v="1"/>
    <n v="0"/>
    <n v="0"/>
    <n v="1"/>
    <n v="-1.6680433571844959"/>
    <x v="125"/>
  </r>
  <r>
    <n v="663"/>
    <n v="40"/>
    <n v="2"/>
    <n v="15"/>
    <n v="8"/>
    <n v="0"/>
    <n v="6"/>
    <s v="Single"/>
    <n v="33996"/>
    <n v="0"/>
    <n v="0"/>
    <n v="1"/>
    <n v="0"/>
    <n v="-0.83564103685790458"/>
    <x v="126"/>
  </r>
  <r>
    <n v="675"/>
    <n v="146"/>
    <n v="0"/>
    <n v="93"/>
    <n v="7"/>
    <n v="13"/>
    <n v="73"/>
    <s v="Single"/>
    <n v="52034"/>
    <n v="1"/>
    <n v="1"/>
    <n v="1"/>
    <n v="0"/>
    <n v="-1.0641342926746126E-3"/>
    <x v="127"/>
  </r>
  <r>
    <n v="679"/>
    <n v="13"/>
    <n v="4"/>
    <n v="20"/>
    <n v="0"/>
    <n v="0"/>
    <n v="1"/>
    <s v="Together"/>
    <n v="37633"/>
    <n v="1"/>
    <n v="1"/>
    <n v="0"/>
    <n v="1"/>
    <n v="-0.66736538575302928"/>
    <x v="128"/>
  </r>
  <r>
    <n v="692"/>
    <n v="4"/>
    <n v="2"/>
    <n v="5"/>
    <n v="0"/>
    <n v="0"/>
    <n v="5"/>
    <s v="Together"/>
    <n v="36807"/>
    <n v="1"/>
    <n v="1"/>
    <n v="0"/>
    <n v="1"/>
    <n v="-0.70558251190442522"/>
    <x v="129"/>
  </r>
  <r>
    <n v="697"/>
    <n v="972"/>
    <n v="59"/>
    <n v="913"/>
    <n v="25"/>
    <n v="19"/>
    <n v="59"/>
    <s v="Together"/>
    <n v="74918"/>
    <n v="0"/>
    <n v="0"/>
    <n v="0"/>
    <n v="1"/>
    <n v="1.0577260773883723"/>
    <x v="130"/>
  </r>
  <r>
    <n v="701"/>
    <n v="707"/>
    <n v="21"/>
    <n v="250"/>
    <n v="85"/>
    <n v="43"/>
    <n v="73"/>
    <s v="Together"/>
    <n v="73691"/>
    <n v="0"/>
    <n v="1"/>
    <n v="0"/>
    <n v="1"/>
    <n v="1.0009556006477394"/>
    <x v="131"/>
  </r>
  <r>
    <n v="702"/>
    <n v="162"/>
    <n v="61"/>
    <n v="83"/>
    <n v="97"/>
    <n v="57"/>
    <n v="61"/>
    <s v="Single"/>
    <n v="47682"/>
    <n v="0"/>
    <n v="1"/>
    <n v="1"/>
    <n v="0"/>
    <n v="-0.20242119604918205"/>
    <x v="132"/>
  </r>
  <r>
    <n v="709"/>
    <n v="787"/>
    <n v="20"/>
    <n v="204"/>
    <n v="0"/>
    <n v="0"/>
    <n v="92"/>
    <s v="Single"/>
    <n v="51537"/>
    <n v="0"/>
    <n v="1"/>
    <n v="1"/>
    <n v="0"/>
    <n v="-2.405918477359929E-2"/>
    <x v="133"/>
  </r>
  <r>
    <n v="713"/>
    <n v="141"/>
    <n v="15"/>
    <n v="153"/>
    <n v="67"/>
    <n v="31"/>
    <n v="35"/>
    <s v="Together"/>
    <n v="50353"/>
    <n v="0"/>
    <n v="0"/>
    <n v="0"/>
    <n v="1"/>
    <n v="-7.8840150104413809E-2"/>
    <x v="134"/>
  </r>
  <r>
    <n v="716"/>
    <n v="529"/>
    <n v="0"/>
    <n v="356"/>
    <n v="63"/>
    <n v="28"/>
    <n v="0"/>
    <s v="Together"/>
    <n v="67911"/>
    <n v="0"/>
    <n v="1"/>
    <n v="0"/>
    <n v="1"/>
    <n v="0.73352825300237789"/>
    <x v="135"/>
  </r>
  <r>
    <n v="736"/>
    <n v="18"/>
    <n v="3"/>
    <n v="19"/>
    <n v="3"/>
    <n v="3"/>
    <n v="6"/>
    <s v="Together"/>
    <n v="28427"/>
    <n v="1"/>
    <n v="0"/>
    <n v="0"/>
    <n v="1"/>
    <n v="-1.0933058982829942"/>
    <x v="136"/>
  </r>
  <r>
    <n v="737"/>
    <n v="1493"/>
    <n v="86"/>
    <n v="454"/>
    <n v="112"/>
    <n v="43"/>
    <n v="43"/>
    <s v="Together"/>
    <n v="80360"/>
    <n v="0"/>
    <n v="0"/>
    <n v="0"/>
    <n v="1"/>
    <n v="1.3095149399984167"/>
    <x v="137"/>
  </r>
  <r>
    <n v="738"/>
    <n v="48"/>
    <n v="13"/>
    <n v="57"/>
    <n v="24"/>
    <n v="15"/>
    <n v="25"/>
    <s v="Single"/>
    <n v="42395"/>
    <n v="1"/>
    <n v="1"/>
    <n v="1"/>
    <n v="0"/>
    <n v="-0.44703856404243913"/>
    <x v="138"/>
  </r>
  <r>
    <n v="749"/>
    <n v="46"/>
    <n v="7"/>
    <n v="59"/>
    <n v="2"/>
    <n v="4"/>
    <n v="27"/>
    <s v="Together"/>
    <n v="42162"/>
    <n v="1"/>
    <n v="0"/>
    <n v="0"/>
    <n v="1"/>
    <n v="-0.45781893982122274"/>
    <x v="139"/>
  </r>
  <r>
    <n v="760"/>
    <n v="588"/>
    <n v="7"/>
    <n v="76"/>
    <n v="110"/>
    <n v="15"/>
    <n v="15"/>
    <s v="Single"/>
    <n v="60554"/>
    <n v="1"/>
    <n v="0"/>
    <n v="1"/>
    <n v="0"/>
    <n v="0.39313673109460556"/>
    <x v="140"/>
  </r>
  <r>
    <n v="762"/>
    <n v="340"/>
    <n v="21"/>
    <n v="134"/>
    <n v="258"/>
    <n v="14"/>
    <n v="56"/>
    <s v="Together"/>
    <n v="75774"/>
    <n v="1"/>
    <n v="0"/>
    <n v="0"/>
    <n v="1"/>
    <n v="1.0973312347559205"/>
    <x v="141"/>
  </r>
  <r>
    <n v="771"/>
    <n v="135"/>
    <n v="9"/>
    <n v="39"/>
    <n v="4"/>
    <n v="0"/>
    <n v="7"/>
    <s v="Together"/>
    <n v="54178"/>
    <n v="0"/>
    <n v="1"/>
    <n v="0"/>
    <n v="1"/>
    <n v="9.8133829955016544E-2"/>
    <x v="142"/>
  </r>
  <r>
    <n v="773"/>
    <n v="379"/>
    <n v="4"/>
    <n v="93"/>
    <n v="12"/>
    <n v="9"/>
    <n v="98"/>
    <s v="Single"/>
    <n v="42835"/>
    <n v="1"/>
    <n v="1"/>
    <n v="1"/>
    <n v="0"/>
    <n v="-0.42668077287220396"/>
    <x v="143"/>
  </r>
  <r>
    <n v="793"/>
    <n v="18"/>
    <n v="3"/>
    <n v="17"/>
    <n v="3"/>
    <n v="0"/>
    <n v="4"/>
    <s v="Together"/>
    <n v="20895"/>
    <n v="1"/>
    <n v="0"/>
    <n v="0"/>
    <n v="1"/>
    <n v="-1.4417942689516554"/>
    <x v="144"/>
  </r>
  <r>
    <n v="796"/>
    <n v="584"/>
    <n v="44"/>
    <n v="212"/>
    <n v="46"/>
    <n v="8"/>
    <n v="177"/>
    <s v="Single"/>
    <n v="60161"/>
    <n v="0"/>
    <n v="1"/>
    <n v="1"/>
    <n v="0"/>
    <n v="0.3749535221630092"/>
    <x v="145"/>
  </r>
  <r>
    <n v="798"/>
    <n v="2"/>
    <n v="0"/>
    <n v="6"/>
    <n v="8"/>
    <n v="6"/>
    <n v="5"/>
    <s v="Single"/>
    <n v="23442"/>
    <n v="1"/>
    <n v="0"/>
    <n v="1"/>
    <n v="0"/>
    <n v="-1.3239504187003173"/>
    <x v="146"/>
  </r>
  <r>
    <n v="800"/>
    <n v="23"/>
    <n v="1"/>
    <n v="6"/>
    <n v="0"/>
    <n v="0"/>
    <n v="2"/>
    <s v="Together"/>
    <n v="44512"/>
    <n v="1"/>
    <n v="1"/>
    <n v="0"/>
    <n v="1"/>
    <n v="-0.34908982788928511"/>
    <x v="147"/>
  </r>
  <r>
    <n v="803"/>
    <n v="12"/>
    <n v="0"/>
    <n v="5"/>
    <n v="0"/>
    <n v="0"/>
    <n v="4"/>
    <s v="Together"/>
    <n v="40521"/>
    <n v="1"/>
    <n v="1"/>
    <n v="0"/>
    <n v="1"/>
    <n v="-0.53374424734475867"/>
    <x v="148"/>
  </r>
  <r>
    <n v="807"/>
    <n v="167"/>
    <n v="2"/>
    <n v="89"/>
    <n v="0"/>
    <n v="0"/>
    <n v="34"/>
    <s v="Together"/>
    <n v="44602"/>
    <n v="1"/>
    <n v="1"/>
    <n v="0"/>
    <n v="1"/>
    <n v="-0.3449257342408279"/>
    <x v="149"/>
  </r>
  <r>
    <n v="810"/>
    <n v="151"/>
    <n v="81"/>
    <n v="86"/>
    <n v="168"/>
    <n v="91"/>
    <n v="64"/>
    <s v="Together"/>
    <n v="74190"/>
    <n v="0"/>
    <n v="1"/>
    <n v="0"/>
    <n v="1"/>
    <n v="1.0240431865430741"/>
    <x v="150"/>
  </r>
  <r>
    <n v="819"/>
    <n v="508"/>
    <n v="124"/>
    <n v="249"/>
    <n v="50"/>
    <n v="38"/>
    <n v="134"/>
    <s v="Single"/>
    <n v="63285"/>
    <n v="0"/>
    <n v="0"/>
    <n v="1"/>
    <n v="0"/>
    <n v="0.5194938394716786"/>
    <x v="151"/>
  </r>
  <r>
    <n v="821"/>
    <n v="962"/>
    <n v="61"/>
    <n v="921"/>
    <n v="52"/>
    <n v="61"/>
    <n v="20"/>
    <s v="Single"/>
    <n v="92859"/>
    <n v="0"/>
    <n v="0"/>
    <n v="1"/>
    <n v="0"/>
    <n v="1.8878150123547095"/>
    <x v="152"/>
  </r>
  <r>
    <n v="830"/>
    <n v="784"/>
    <n v="48"/>
    <n v="560"/>
    <n v="42"/>
    <n v="176"/>
    <n v="48"/>
    <s v="Single"/>
    <n v="74004"/>
    <n v="0"/>
    <n v="0"/>
    <n v="1"/>
    <n v="0"/>
    <n v="1.0154373930029292"/>
    <x v="153"/>
  </r>
  <r>
    <n v="832"/>
    <n v="561"/>
    <n v="14"/>
    <n v="113"/>
    <n v="10"/>
    <n v="14"/>
    <n v="35"/>
    <s v="Together"/>
    <n v="65814"/>
    <n v="0"/>
    <n v="1"/>
    <n v="0"/>
    <n v="1"/>
    <n v="0.63650487099332542"/>
    <x v="154"/>
  </r>
  <r>
    <n v="833"/>
    <n v="56"/>
    <n v="0"/>
    <n v="14"/>
    <n v="0"/>
    <n v="0"/>
    <n v="2"/>
    <s v="Together"/>
    <n v="38452"/>
    <n v="1"/>
    <n v="1"/>
    <n v="0"/>
    <n v="1"/>
    <n v="-0.62947213355206888"/>
    <x v="155"/>
  </r>
  <r>
    <n v="837"/>
    <n v="63"/>
    <n v="6"/>
    <n v="57"/>
    <n v="13"/>
    <n v="13"/>
    <n v="22"/>
    <s v="Together"/>
    <n v="54809"/>
    <n v="1"/>
    <n v="1"/>
    <n v="0"/>
    <n v="1"/>
    <n v="0.12732875320142192"/>
    <x v="156"/>
  </r>
  <r>
    <n v="839"/>
    <n v="97"/>
    <n v="4"/>
    <n v="44"/>
    <n v="6"/>
    <n v="1"/>
    <n v="18"/>
    <s v="Together"/>
    <n v="45503"/>
    <n v="1"/>
    <n v="0"/>
    <n v="0"/>
    <n v="1"/>
    <n v="-0.30323853004905099"/>
    <x v="157"/>
  </r>
  <r>
    <n v="843"/>
    <n v="303"/>
    <n v="0"/>
    <n v="280"/>
    <n v="60"/>
    <n v="147"/>
    <n v="15"/>
    <s v="Together"/>
    <n v="64722"/>
    <n v="1"/>
    <n v="0"/>
    <n v="0"/>
    <n v="1"/>
    <n v="0.58598053472537825"/>
    <x v="158"/>
  </r>
  <r>
    <n v="849"/>
    <n v="320"/>
    <n v="48"/>
    <n v="133"/>
    <n v="39"/>
    <n v="72"/>
    <n v="48"/>
    <s v="Together"/>
    <n v="56129"/>
    <n v="0"/>
    <n v="1"/>
    <n v="0"/>
    <n v="1"/>
    <n v="0.1884021267121273"/>
    <x v="159"/>
  </r>
  <r>
    <n v="850"/>
    <n v="381"/>
    <n v="28"/>
    <n v="215"/>
    <n v="84"/>
    <n v="28"/>
    <n v="21"/>
    <s v="Single"/>
    <n v="70566"/>
    <n v="0"/>
    <n v="1"/>
    <n v="1"/>
    <n v="0"/>
    <n v="0.85636901563186485"/>
    <x v="160"/>
  </r>
  <r>
    <n v="851"/>
    <n v="306"/>
    <n v="5"/>
    <n v="109"/>
    <n v="21"/>
    <n v="109"/>
    <n v="92"/>
    <s v="Together"/>
    <n v="57136"/>
    <n v="1"/>
    <n v="1"/>
    <n v="0"/>
    <n v="1"/>
    <n v="0.23499370786764268"/>
    <x v="161"/>
  </r>
  <r>
    <n v="868"/>
    <n v="54"/>
    <n v="0"/>
    <n v="7"/>
    <n v="0"/>
    <n v="0"/>
    <n v="4"/>
    <s v="Together"/>
    <n v="44794"/>
    <n v="0"/>
    <n v="1"/>
    <n v="0"/>
    <n v="1"/>
    <n v="-0.33604233445745257"/>
    <x v="162"/>
  </r>
  <r>
    <n v="873"/>
    <n v="1099"/>
    <n v="0"/>
    <n v="45"/>
    <n v="0"/>
    <n v="0"/>
    <n v="34"/>
    <s v="Together"/>
    <n v="62845"/>
    <n v="1"/>
    <n v="1"/>
    <n v="0"/>
    <n v="1"/>
    <n v="0.49913604830144342"/>
    <x v="163"/>
  </r>
  <r>
    <n v="879"/>
    <n v="411"/>
    <n v="0"/>
    <n v="26"/>
    <n v="0"/>
    <n v="0"/>
    <n v="21"/>
    <s v="Together"/>
    <n v="49681"/>
    <n v="0"/>
    <n v="2"/>
    <n v="0"/>
    <n v="1"/>
    <n v="-0.10993204934622745"/>
    <x v="164"/>
  </r>
  <r>
    <n v="891"/>
    <n v="6"/>
    <n v="0"/>
    <n v="2"/>
    <n v="2"/>
    <n v="0"/>
    <n v="1"/>
    <s v="Together"/>
    <n v="29298"/>
    <n v="1"/>
    <n v="1"/>
    <n v="0"/>
    <n v="1"/>
    <n v="-1.0530067253073696"/>
    <x v="165"/>
  </r>
  <r>
    <n v="895"/>
    <n v="410"/>
    <n v="16"/>
    <n v="114"/>
    <n v="0"/>
    <n v="5"/>
    <n v="49"/>
    <s v="Together"/>
    <n v="61467"/>
    <n v="0"/>
    <n v="2"/>
    <n v="0"/>
    <n v="1"/>
    <n v="0.43537914777284342"/>
    <x v="166"/>
  </r>
  <r>
    <n v="898"/>
    <n v="38"/>
    <n v="15"/>
    <n v="54"/>
    <n v="3"/>
    <n v="8"/>
    <n v="29"/>
    <s v="Together"/>
    <n v="23477"/>
    <n v="1"/>
    <n v="0"/>
    <n v="0"/>
    <n v="1"/>
    <n v="-1.3223310489481395"/>
    <x v="167"/>
  </r>
  <r>
    <n v="902"/>
    <n v="224"/>
    <n v="12"/>
    <n v="48"/>
    <n v="4"/>
    <n v="12"/>
    <n v="12"/>
    <s v="Together"/>
    <n v="62994"/>
    <n v="1"/>
    <n v="0"/>
    <n v="0"/>
    <n v="1"/>
    <n v="0.50602993667500029"/>
    <x v="168"/>
  </r>
  <r>
    <n v="905"/>
    <n v="7"/>
    <n v="17"/>
    <n v="18"/>
    <n v="6"/>
    <n v="10"/>
    <n v="26"/>
    <s v="Single"/>
    <n v="21846"/>
    <n v="1"/>
    <n v="0"/>
    <n v="1"/>
    <n v="0"/>
    <n v="-1.3977936793996246"/>
    <x v="169"/>
  </r>
  <r>
    <n v="907"/>
    <n v="254"/>
    <n v="6"/>
    <n v="71"/>
    <n v="4"/>
    <n v="0"/>
    <n v="27"/>
    <s v="Together"/>
    <n v="46149"/>
    <n v="0"/>
    <n v="1"/>
    <n v="0"/>
    <n v="1"/>
    <n v="-0.27334959119456942"/>
    <x v="170"/>
  </r>
  <r>
    <n v="916"/>
    <n v="20"/>
    <n v="3"/>
    <n v="4"/>
    <n v="2"/>
    <n v="0"/>
    <n v="2"/>
    <s v="Single"/>
    <n v="41644"/>
    <n v="1"/>
    <n v="1"/>
    <n v="1"/>
    <n v="0"/>
    <n v="-0.48178561215345406"/>
    <x v="171"/>
  </r>
  <r>
    <n v="922"/>
    <n v="16"/>
    <n v="2"/>
    <n v="11"/>
    <n v="3"/>
    <n v="0"/>
    <n v="16"/>
    <s v="Together"/>
    <n v="31086"/>
    <n v="1"/>
    <n v="1"/>
    <n v="0"/>
    <n v="1"/>
    <n v="-0.97028006482468687"/>
    <x v="172"/>
  </r>
  <r>
    <n v="933"/>
    <n v="9"/>
    <n v="0"/>
    <n v="6"/>
    <n v="4"/>
    <n v="1"/>
    <n v="5"/>
    <s v="Together"/>
    <n v="37717"/>
    <n v="1"/>
    <n v="0"/>
    <n v="0"/>
    <n v="1"/>
    <n v="-0.6634788983478026"/>
    <x v="173"/>
  </r>
  <r>
    <n v="938"/>
    <n v="51"/>
    <n v="1"/>
    <n v="7"/>
    <n v="2"/>
    <n v="1"/>
    <n v="25"/>
    <s v="Together"/>
    <n v="40211"/>
    <n v="1"/>
    <n v="1"/>
    <n v="0"/>
    <n v="1"/>
    <n v="-0.54808723657833347"/>
    <x v="174"/>
  </r>
  <r>
    <n v="940"/>
    <n v="158"/>
    <n v="11"/>
    <n v="99"/>
    <n v="15"/>
    <n v="11"/>
    <n v="17"/>
    <s v="Single"/>
    <n v="57100"/>
    <n v="1"/>
    <n v="0"/>
    <n v="1"/>
    <n v="0"/>
    <n v="0.23332807040825981"/>
    <x v="175"/>
  </r>
  <r>
    <n v="942"/>
    <n v="139"/>
    <n v="13"/>
    <n v="78"/>
    <n v="20"/>
    <n v="13"/>
    <n v="36"/>
    <s v="Single"/>
    <n v="39660"/>
    <n v="1"/>
    <n v="0"/>
    <n v="1"/>
    <n v="0"/>
    <n v="-0.57358074324833241"/>
    <x v="176"/>
  </r>
  <r>
    <n v="944"/>
    <n v="121"/>
    <n v="103"/>
    <n v="69"/>
    <n v="8"/>
    <n v="44"/>
    <n v="48"/>
    <s v="Together"/>
    <n v="56181"/>
    <n v="0"/>
    <n v="1"/>
    <n v="0"/>
    <n v="1"/>
    <n v="0.19080804748679145"/>
    <x v="177"/>
  </r>
  <r>
    <n v="945"/>
    <n v="87"/>
    <n v="3"/>
    <n v="25"/>
    <n v="3"/>
    <n v="2"/>
    <n v="13"/>
    <s v="Together"/>
    <n v="36317"/>
    <n v="0"/>
    <n v="1"/>
    <n v="0"/>
    <n v="1"/>
    <n v="-0.72825368843491434"/>
    <x v="178"/>
  </r>
  <r>
    <n v="946"/>
    <n v="45"/>
    <n v="47"/>
    <n v="52"/>
    <n v="21"/>
    <n v="20"/>
    <n v="25"/>
    <s v="Together"/>
    <n v="26490"/>
    <n v="0"/>
    <n v="0"/>
    <n v="0"/>
    <n v="1"/>
    <n v="-1.1829264471392338"/>
    <x v="179"/>
  </r>
  <r>
    <n v="948"/>
    <n v="4"/>
    <n v="7"/>
    <n v="7"/>
    <n v="6"/>
    <n v="4"/>
    <n v="13"/>
    <s v="Single"/>
    <n v="10245"/>
    <n v="1"/>
    <n v="0"/>
    <n v="1"/>
    <n v="0"/>
    <n v="-1.9345453506857557"/>
    <x v="180"/>
  </r>
  <r>
    <n v="954"/>
    <n v="3"/>
    <n v="3"/>
    <n v="24"/>
    <n v="34"/>
    <n v="7"/>
    <n v="31"/>
    <s v="Single"/>
    <n v="22123"/>
    <n v="0"/>
    <n v="0"/>
    <n v="1"/>
    <n v="0"/>
    <n v="-1.3849775245038174"/>
    <x v="181"/>
  </r>
  <r>
    <n v="955"/>
    <n v="167"/>
    <n v="2"/>
    <n v="44"/>
    <n v="6"/>
    <n v="2"/>
    <n v="19"/>
    <s v="Together"/>
    <n v="47175"/>
    <n v="1"/>
    <n v="1"/>
    <n v="0"/>
    <n v="1"/>
    <n v="-0.22587892360215753"/>
    <x v="182"/>
  </r>
  <r>
    <n v="961"/>
    <n v="133"/>
    <n v="27"/>
    <n v="421"/>
    <n v="13"/>
    <n v="195"/>
    <n v="71"/>
    <s v="Together"/>
    <n v="74716"/>
    <n v="0"/>
    <n v="1"/>
    <n v="0"/>
    <n v="1"/>
    <n v="1.0483800005329462"/>
    <x v="183"/>
  </r>
  <r>
    <n v="965"/>
    <n v="235"/>
    <n v="65"/>
    <n v="164"/>
    <n v="50"/>
    <n v="49"/>
    <n v="27"/>
    <s v="Single"/>
    <n v="55635"/>
    <n v="0"/>
    <n v="1"/>
    <n v="1"/>
    <n v="0"/>
    <n v="0.16554587935281787"/>
    <x v="184"/>
  </r>
  <r>
    <n v="966"/>
    <n v="538"/>
    <n v="13"/>
    <n v="91"/>
    <n v="17"/>
    <n v="6"/>
    <n v="26"/>
    <s v="Together"/>
    <n v="44529"/>
    <n v="0"/>
    <n v="1"/>
    <n v="0"/>
    <n v="1"/>
    <n v="-0.34830327686679874"/>
    <x v="185"/>
  </r>
  <r>
    <n v="967"/>
    <n v="342"/>
    <n v="9"/>
    <n v="112"/>
    <n v="19"/>
    <n v="14"/>
    <n v="19"/>
    <s v="Together"/>
    <n v="46049"/>
    <n v="1"/>
    <n v="1"/>
    <n v="0"/>
    <n v="1"/>
    <n v="-0.27797636191507741"/>
    <x v="186"/>
  </r>
  <r>
    <n v="968"/>
    <n v="112"/>
    <n v="19"/>
    <n v="21"/>
    <n v="16"/>
    <n v="14"/>
    <n v="5"/>
    <s v="Single"/>
    <n v="41335"/>
    <n v="1"/>
    <n v="0"/>
    <n v="1"/>
    <n v="0"/>
    <n v="-0.49608233367982374"/>
    <x v="187"/>
  </r>
  <r>
    <n v="975"/>
    <n v="178"/>
    <n v="4"/>
    <n v="26"/>
    <n v="8"/>
    <n v="4"/>
    <n v="44"/>
    <s v="Single"/>
    <n v="54252"/>
    <n v="1"/>
    <n v="1"/>
    <n v="1"/>
    <n v="0"/>
    <n v="0.10155764028819246"/>
    <x v="188"/>
  </r>
  <r>
    <n v="977"/>
    <n v="200"/>
    <n v="19"/>
    <n v="111"/>
    <n v="50"/>
    <n v="15"/>
    <n v="19"/>
    <s v="Together"/>
    <n v="47320"/>
    <n v="0"/>
    <n v="1"/>
    <n v="0"/>
    <n v="1"/>
    <n v="-0.21917010605742093"/>
    <x v="189"/>
  </r>
  <r>
    <n v="979"/>
    <n v="6"/>
    <n v="10"/>
    <n v="21"/>
    <n v="19"/>
    <n v="14"/>
    <n v="42"/>
    <s v="Single"/>
    <n v="33249"/>
    <n v="1"/>
    <n v="0"/>
    <n v="1"/>
    <n v="0"/>
    <n v="-0.87020301414009926"/>
    <x v="190"/>
  </r>
  <r>
    <n v="983"/>
    <n v="110"/>
    <n v="29"/>
    <n v="92"/>
    <n v="28"/>
    <n v="10"/>
    <n v="145"/>
    <s v="Together"/>
    <n v="40059"/>
    <n v="1"/>
    <n v="0"/>
    <n v="0"/>
    <n v="1"/>
    <n v="-0.55511992807350563"/>
    <x v="191"/>
  </r>
  <r>
    <n v="988"/>
    <n v="410"/>
    <n v="0"/>
    <n v="592"/>
    <n v="147"/>
    <n v="22"/>
    <n v="22"/>
    <s v="Together"/>
    <n v="81168"/>
    <n v="0"/>
    <n v="0"/>
    <n v="0"/>
    <n v="1"/>
    <n v="1.3468992474201211"/>
    <x v="192"/>
  </r>
  <r>
    <n v="999"/>
    <n v="490"/>
    <n v="44"/>
    <n v="125"/>
    <n v="29"/>
    <n v="20"/>
    <n v="22"/>
    <s v="Single"/>
    <n v="86037"/>
    <n v="0"/>
    <n v="0"/>
    <n v="1"/>
    <n v="0"/>
    <n v="1.5721767138016549"/>
    <x v="193"/>
  </r>
  <r>
    <n v="1000"/>
    <n v="505"/>
    <n v="72"/>
    <n v="270"/>
    <n v="36"/>
    <n v="27"/>
    <n v="54"/>
    <s v="Together"/>
    <n v="74881"/>
    <n v="1"/>
    <n v="1"/>
    <n v="0"/>
    <n v="1"/>
    <n v="1.0560141722217844"/>
    <x v="194"/>
  </r>
  <r>
    <n v="1008"/>
    <n v="728"/>
    <n v="17"/>
    <n v="133"/>
    <n v="11"/>
    <n v="8"/>
    <n v="124"/>
    <s v="Together"/>
    <n v="44953"/>
    <n v="0"/>
    <n v="0"/>
    <n v="0"/>
    <n v="1"/>
    <n v="-0.32868576901184487"/>
    <x v="195"/>
  </r>
  <r>
    <n v="1010"/>
    <n v="41"/>
    <n v="0"/>
    <n v="17"/>
    <n v="3"/>
    <n v="1"/>
    <n v="16"/>
    <s v="Together"/>
    <n v="46931"/>
    <n v="2"/>
    <n v="1"/>
    <n v="0"/>
    <n v="1"/>
    <n v="-0.23716824416019699"/>
    <x v="196"/>
  </r>
  <r>
    <n v="1012"/>
    <n v="523"/>
    <n v="7"/>
    <n v="134"/>
    <n v="37"/>
    <n v="14"/>
    <n v="169"/>
    <s v="Single"/>
    <n v="61823"/>
    <n v="0"/>
    <n v="1"/>
    <n v="1"/>
    <n v="0"/>
    <n v="0.45185045153785186"/>
    <x v="197"/>
  </r>
  <r>
    <n v="1016"/>
    <n v="41"/>
    <n v="1"/>
    <n v="6"/>
    <n v="2"/>
    <n v="0"/>
    <n v="5"/>
    <s v="Single"/>
    <n v="34554"/>
    <n v="0"/>
    <n v="1"/>
    <n v="1"/>
    <n v="0"/>
    <n v="-0.8098236562374701"/>
    <x v="198"/>
  </r>
  <r>
    <n v="1020"/>
    <n v="350"/>
    <n v="60"/>
    <n v="568"/>
    <n v="110"/>
    <n v="133"/>
    <n v="145"/>
    <s v="Together"/>
    <n v="79593"/>
    <n v="0"/>
    <n v="0"/>
    <n v="0"/>
    <n v="1"/>
    <n v="1.2740276085721205"/>
    <x v="199"/>
  </r>
  <r>
    <n v="1029"/>
    <n v="200"/>
    <n v="5"/>
    <n v="44"/>
    <n v="0"/>
    <n v="10"/>
    <n v="20"/>
    <s v="Together"/>
    <n v="64413"/>
    <n v="0"/>
    <n v="1"/>
    <n v="0"/>
    <n v="1"/>
    <n v="0.57168381319900863"/>
    <x v="200"/>
  </r>
  <r>
    <n v="1030"/>
    <n v="22"/>
    <n v="0"/>
    <n v="13"/>
    <n v="0"/>
    <n v="0"/>
    <n v="3"/>
    <s v="Single"/>
    <n v="40637"/>
    <n v="1"/>
    <n v="1"/>
    <n v="1"/>
    <n v="0"/>
    <n v="-0.52837719330896948"/>
    <x v="201"/>
  </r>
  <r>
    <n v="1031"/>
    <n v="600"/>
    <n v="20"/>
    <n v="350"/>
    <n v="29"/>
    <n v="30"/>
    <n v="33"/>
    <s v="Together"/>
    <n v="85710"/>
    <n v="0"/>
    <n v="0"/>
    <n v="0"/>
    <n v="1"/>
    <n v="1.5570471735455937"/>
    <x v="202"/>
  </r>
  <r>
    <n v="1041"/>
    <n v="322"/>
    <n v="3"/>
    <n v="50"/>
    <n v="4"/>
    <n v="3"/>
    <n v="42"/>
    <s v="Single"/>
    <n v="48432"/>
    <n v="0"/>
    <n v="1"/>
    <n v="1"/>
    <n v="0"/>
    <n v="-0.16772041564537216"/>
    <x v="95"/>
  </r>
  <r>
    <n v="1044"/>
    <n v="299"/>
    <n v="5"/>
    <n v="201"/>
    <n v="21"/>
    <n v="21"/>
    <n v="49"/>
    <s v="Together"/>
    <n v="58398"/>
    <n v="0"/>
    <n v="0"/>
    <n v="0"/>
    <n v="1"/>
    <n v="0.29338355436045344"/>
    <x v="203"/>
  </r>
  <r>
    <n v="1045"/>
    <n v="112"/>
    <n v="10"/>
    <n v="107"/>
    <n v="30"/>
    <n v="0"/>
    <n v="20"/>
    <s v="Together"/>
    <n v="52117"/>
    <n v="0"/>
    <n v="1"/>
    <n v="0"/>
    <n v="1"/>
    <n v="2.7760854053470135E-3"/>
    <x v="204"/>
  </r>
  <r>
    <n v="1048"/>
    <n v="63"/>
    <n v="3"/>
    <n v="67"/>
    <n v="8"/>
    <n v="9"/>
    <n v="28"/>
    <s v="Together"/>
    <n v="35641"/>
    <n v="1"/>
    <n v="0"/>
    <n v="0"/>
    <n v="1"/>
    <n v="-0.75953065850554824"/>
    <x v="205"/>
  </r>
  <r>
    <n v="1050"/>
    <n v="14"/>
    <n v="10"/>
    <n v="13"/>
    <n v="4"/>
    <n v="15"/>
    <n v="9"/>
    <s v="Together"/>
    <n v="28332"/>
    <n v="0"/>
    <n v="0"/>
    <n v="0"/>
    <n v="1"/>
    <n v="-1.0977013304674768"/>
    <x v="206"/>
  </r>
  <r>
    <n v="1052"/>
    <n v="656"/>
    <n v="38"/>
    <n v="161"/>
    <n v="62"/>
    <n v="47"/>
    <n v="37"/>
    <s v="Together"/>
    <n v="56796"/>
    <n v="0"/>
    <n v="1"/>
    <n v="0"/>
    <n v="1"/>
    <n v="0.21926268741791555"/>
    <x v="207"/>
  </r>
  <r>
    <n v="1055"/>
    <n v="29"/>
    <n v="0"/>
    <n v="8"/>
    <n v="2"/>
    <n v="0"/>
    <n v="6"/>
    <s v="Together"/>
    <n v="53204"/>
    <n v="1"/>
    <n v="1"/>
    <n v="0"/>
    <n v="1"/>
    <n v="5.306908313726879E-2"/>
    <x v="208"/>
  </r>
  <r>
    <n v="1064"/>
    <n v="22"/>
    <n v="1"/>
    <n v="11"/>
    <n v="0"/>
    <n v="5"/>
    <n v="3"/>
    <s v="Together"/>
    <n v="42403"/>
    <n v="1"/>
    <n v="0"/>
    <n v="0"/>
    <n v="1"/>
    <n v="-0.44666842238479848"/>
    <x v="209"/>
  </r>
  <r>
    <n v="1065"/>
    <n v="557"/>
    <n v="129"/>
    <n v="984"/>
    <n v="193"/>
    <n v="37"/>
    <n v="18"/>
    <s v="Single"/>
    <n v="80695"/>
    <n v="0"/>
    <n v="0"/>
    <n v="1"/>
    <n v="0"/>
    <n v="1.3250146219121184"/>
    <x v="210"/>
  </r>
  <r>
    <n v="1071"/>
    <n v="532"/>
    <n v="88"/>
    <n v="168"/>
    <n v="69"/>
    <n v="44"/>
    <n v="133"/>
    <s v="Single"/>
    <n v="70179"/>
    <n v="0"/>
    <n v="1"/>
    <n v="1"/>
    <n v="0"/>
    <n v="0.83846341294349891"/>
    <x v="211"/>
  </r>
  <r>
    <n v="1072"/>
    <n v="70"/>
    <n v="0"/>
    <n v="17"/>
    <n v="0"/>
    <n v="0"/>
    <n v="6"/>
    <s v="Single"/>
    <n v="40760"/>
    <n v="0"/>
    <n v="1"/>
    <n v="1"/>
    <n v="0"/>
    <n v="-0.52268626532274465"/>
    <x v="212"/>
  </r>
  <r>
    <n v="1077"/>
    <n v="258"/>
    <n v="105"/>
    <n v="239"/>
    <n v="237"/>
    <n v="172"/>
    <n v="9"/>
    <s v="Together"/>
    <n v="56715"/>
    <n v="0"/>
    <n v="0"/>
    <n v="0"/>
    <n v="1"/>
    <n v="0.21551500313430408"/>
    <x v="213"/>
  </r>
  <r>
    <n v="1079"/>
    <n v="1000"/>
    <n v="0"/>
    <n v="76"/>
    <n v="0"/>
    <n v="0"/>
    <n v="10"/>
    <s v="Together"/>
    <n v="71969"/>
    <n v="0"/>
    <n v="1"/>
    <n v="0"/>
    <n v="1"/>
    <n v="0.92128260884059188"/>
    <x v="214"/>
  </r>
  <r>
    <n v="1081"/>
    <n v="733"/>
    <n v="9"/>
    <n v="180"/>
    <n v="12"/>
    <n v="19"/>
    <n v="66"/>
    <s v="Together"/>
    <n v="75283"/>
    <n v="1"/>
    <n v="2"/>
    <n v="0"/>
    <n v="1"/>
    <n v="1.0746137905182265"/>
    <x v="215"/>
  </r>
  <r>
    <n v="1087"/>
    <n v="16"/>
    <n v="14"/>
    <n v="36"/>
    <n v="37"/>
    <n v="22"/>
    <n v="48"/>
    <s v="Together"/>
    <n v="22669"/>
    <n v="1"/>
    <n v="0"/>
    <n v="0"/>
    <n v="1"/>
    <n v="-1.3597153563698439"/>
    <x v="216"/>
  </r>
  <r>
    <n v="1092"/>
    <n v="269"/>
    <n v="129"/>
    <n v="495"/>
    <n v="182"/>
    <n v="43"/>
    <n v="29"/>
    <s v="Together"/>
    <n v="61014"/>
    <n v="0"/>
    <n v="1"/>
    <n v="0"/>
    <n v="1"/>
    <n v="0.41441987640894229"/>
    <x v="217"/>
  </r>
  <r>
    <n v="1100"/>
    <n v="24"/>
    <n v="4"/>
    <n v="22"/>
    <n v="0"/>
    <n v="2"/>
    <n v="9"/>
    <s v="Together"/>
    <n v="41275"/>
    <n v="1"/>
    <n v="2"/>
    <n v="0"/>
    <n v="1"/>
    <n v="-0.49885839611212851"/>
    <x v="218"/>
  </r>
  <r>
    <n v="1103"/>
    <n v="1486"/>
    <n v="55"/>
    <n v="278"/>
    <n v="49"/>
    <n v="0"/>
    <n v="185"/>
    <s v="Together"/>
    <n v="81929"/>
    <n v="1"/>
    <n v="0"/>
    <n v="0"/>
    <n v="1"/>
    <n v="1.382108972603187"/>
    <x v="219"/>
  </r>
  <r>
    <n v="1109"/>
    <n v="6"/>
    <n v="0"/>
    <n v="5"/>
    <n v="0"/>
    <n v="0"/>
    <n v="1"/>
    <s v="Together"/>
    <n v="27590"/>
    <n v="1"/>
    <n v="0"/>
    <n v="0"/>
    <n v="1"/>
    <n v="-1.132031969213646"/>
    <x v="220"/>
  </r>
  <r>
    <n v="1118"/>
    <n v="544"/>
    <n v="13"/>
    <n v="85"/>
    <n v="8"/>
    <n v="6"/>
    <n v="29"/>
    <s v="Together"/>
    <n v="50965"/>
    <n v="0"/>
    <n v="1"/>
    <n v="0"/>
    <n v="1"/>
    <n v="-5.0524313294904956E-2"/>
    <x v="221"/>
  </r>
  <r>
    <n v="1127"/>
    <n v="938"/>
    <n v="19"/>
    <n v="843"/>
    <n v="25"/>
    <n v="95"/>
    <n v="38"/>
    <s v="Together"/>
    <n v="85844"/>
    <n v="0"/>
    <n v="0"/>
    <n v="0"/>
    <n v="1"/>
    <n v="1.5632470463110746"/>
    <x v="222"/>
  </r>
  <r>
    <n v="1131"/>
    <n v="85"/>
    <n v="0"/>
    <n v="3"/>
    <n v="0"/>
    <n v="0"/>
    <n v="7"/>
    <s v="Single"/>
    <n v="52569"/>
    <n v="0"/>
    <n v="1"/>
    <n v="1"/>
    <n v="0"/>
    <n v="2.3689089062043096E-2"/>
    <x v="223"/>
  </r>
  <r>
    <n v="1137"/>
    <n v="398"/>
    <n v="190"/>
    <n v="537"/>
    <n v="61"/>
    <n v="156"/>
    <n v="37"/>
    <s v="Single"/>
    <n v="81246"/>
    <n v="0"/>
    <n v="0"/>
    <n v="1"/>
    <n v="0"/>
    <n v="1.3505081285821174"/>
    <x v="224"/>
  </r>
  <r>
    <n v="1139"/>
    <n v="1050"/>
    <n v="14"/>
    <n v="322"/>
    <n v="0"/>
    <n v="14"/>
    <n v="112"/>
    <s v="Together"/>
    <n v="73356"/>
    <n v="0"/>
    <n v="0"/>
    <n v="0"/>
    <n v="1"/>
    <n v="0.98545591873403759"/>
    <x v="225"/>
  </r>
  <r>
    <n v="1142"/>
    <n v="208"/>
    <n v="7"/>
    <n v="82"/>
    <n v="30"/>
    <n v="66"/>
    <n v="35"/>
    <s v="Together"/>
    <n v="55707"/>
    <n v="0"/>
    <n v="1"/>
    <n v="0"/>
    <n v="1"/>
    <n v="0.16887715427158362"/>
    <x v="226"/>
  </r>
  <r>
    <n v="1143"/>
    <n v="7"/>
    <n v="10"/>
    <n v="13"/>
    <n v="3"/>
    <n v="11"/>
    <n v="11"/>
    <s v="Together"/>
    <n v="22063"/>
    <n v="1"/>
    <n v="0"/>
    <n v="0"/>
    <n v="1"/>
    <n v="-1.3877535869361222"/>
    <x v="227"/>
  </r>
  <r>
    <n v="1146"/>
    <n v="520"/>
    <n v="8"/>
    <n v="223"/>
    <n v="32"/>
    <n v="49"/>
    <n v="42"/>
    <s v="Together"/>
    <n v="49912"/>
    <n v="0"/>
    <n v="1"/>
    <n v="0"/>
    <n v="1"/>
    <n v="-9.9244208981854015E-2"/>
    <x v="228"/>
  </r>
  <r>
    <n v="1150"/>
    <n v="755"/>
    <n v="144"/>
    <n v="562"/>
    <n v="104"/>
    <n v="64"/>
    <n v="224"/>
    <s v="Together"/>
    <n v="83532"/>
    <n v="0"/>
    <n v="0"/>
    <n v="0"/>
    <n v="1"/>
    <n v="1.45627610725293"/>
    <x v="229"/>
  </r>
  <r>
    <n v="1158"/>
    <n v="102"/>
    <n v="1"/>
    <n v="15"/>
    <n v="2"/>
    <n v="0"/>
    <n v="24"/>
    <s v="Single"/>
    <n v="48877"/>
    <n v="0"/>
    <n v="1"/>
    <n v="1"/>
    <n v="0"/>
    <n v="-0.14713128593911165"/>
    <x v="230"/>
  </r>
  <r>
    <n v="1160"/>
    <n v="9"/>
    <n v="4"/>
    <n v="17"/>
    <n v="10"/>
    <n v="2"/>
    <n v="7"/>
    <s v="Together"/>
    <n v="13260"/>
    <n v="1"/>
    <n v="1"/>
    <n v="0"/>
    <n v="1"/>
    <n v="-1.7950482134624399"/>
    <x v="231"/>
  </r>
  <r>
    <n v="1162"/>
    <n v="124"/>
    <n v="83"/>
    <n v="267"/>
    <n v="85"/>
    <n v="59"/>
    <n v="35"/>
    <s v="Single"/>
    <n v="42000"/>
    <n v="0"/>
    <n v="0"/>
    <n v="1"/>
    <n v="0"/>
    <n v="-0.46531430838844562"/>
    <x v="232"/>
  </r>
  <r>
    <n v="1165"/>
    <n v="239"/>
    <n v="13"/>
    <n v="143"/>
    <n v="45"/>
    <n v="4"/>
    <n v="52"/>
    <s v="Single"/>
    <n v="50729"/>
    <n v="1"/>
    <n v="1"/>
    <n v="1"/>
    <n v="0"/>
    <n v="-6.1443492195303789E-2"/>
    <x v="233"/>
  </r>
  <r>
    <n v="1168"/>
    <n v="322"/>
    <n v="53"/>
    <n v="899"/>
    <n v="34"/>
    <n v="40"/>
    <n v="53"/>
    <s v="Together"/>
    <n v="72159"/>
    <n v="0"/>
    <n v="0"/>
    <n v="0"/>
    <n v="1"/>
    <n v="0.93007347320955702"/>
    <x v="234"/>
  </r>
  <r>
    <n v="1170"/>
    <n v="50"/>
    <n v="15"/>
    <n v="110"/>
    <n v="39"/>
    <n v="15"/>
    <n v="15"/>
    <s v="Together"/>
    <n v="27573"/>
    <n v="1"/>
    <n v="0"/>
    <n v="0"/>
    <n v="1"/>
    <n v="-1.1328185202361323"/>
    <x v="235"/>
  </r>
  <r>
    <n v="1172"/>
    <n v="979"/>
    <n v="44"/>
    <n v="935"/>
    <n v="29"/>
    <n v="25"/>
    <n v="22"/>
    <s v="Together"/>
    <n v="92491"/>
    <n v="0"/>
    <n v="0"/>
    <n v="0"/>
    <n v="1"/>
    <n v="1.8707884961032402"/>
    <x v="236"/>
  </r>
  <r>
    <n v="1173"/>
    <n v="1200"/>
    <n v="105"/>
    <n v="758"/>
    <n v="0"/>
    <n v="42"/>
    <n v="147"/>
    <s v="Together"/>
    <n v="77632"/>
    <n v="0"/>
    <n v="0"/>
    <n v="0"/>
    <n v="1"/>
    <n v="1.183296634742959"/>
    <x v="237"/>
  </r>
  <r>
    <n v="1175"/>
    <n v="88"/>
    <n v="39"/>
    <n v="54"/>
    <n v="64"/>
    <n v="28"/>
    <n v="153"/>
    <s v="Together"/>
    <n v="36262"/>
    <n v="0"/>
    <n v="0"/>
    <n v="0"/>
    <n v="1"/>
    <n v="-0.73079841233119369"/>
    <x v="238"/>
  </r>
  <r>
    <n v="1176"/>
    <n v="2"/>
    <n v="6"/>
    <n v="4"/>
    <n v="3"/>
    <n v="1"/>
    <n v="9"/>
    <s v="Together"/>
    <n v="26228"/>
    <n v="1"/>
    <n v="0"/>
    <n v="0"/>
    <n v="1"/>
    <n v="-1.1950485864269647"/>
    <x v="239"/>
  </r>
  <r>
    <n v="1177"/>
    <n v="80"/>
    <n v="3"/>
    <n v="26"/>
    <n v="4"/>
    <n v="2"/>
    <n v="14"/>
    <s v="Together"/>
    <n v="49618"/>
    <n v="1"/>
    <n v="1"/>
    <n v="0"/>
    <n v="1"/>
    <n v="-0.11284691490014749"/>
    <x v="240"/>
  </r>
  <r>
    <n v="1183"/>
    <n v="9"/>
    <n v="1"/>
    <n v="4"/>
    <n v="3"/>
    <n v="2"/>
    <n v="3"/>
    <s v="Together"/>
    <n v="36408"/>
    <n v="1"/>
    <n v="1"/>
    <n v="0"/>
    <n v="1"/>
    <n v="-0.72404332707925201"/>
    <x v="241"/>
  </r>
  <r>
    <n v="1184"/>
    <n v="554"/>
    <n v="41"/>
    <n v="215"/>
    <n v="11"/>
    <n v="0"/>
    <n v="24"/>
    <s v="Single"/>
    <n v="69674"/>
    <n v="0"/>
    <n v="2"/>
    <n v="1"/>
    <n v="0"/>
    <n v="0.81509822080493366"/>
    <x v="242"/>
  </r>
  <r>
    <n v="1204"/>
    <n v="1253"/>
    <n v="0"/>
    <n v="447"/>
    <n v="23"/>
    <n v="71"/>
    <n v="35"/>
    <s v="Together"/>
    <n v="67536"/>
    <n v="0"/>
    <n v="1"/>
    <n v="0"/>
    <n v="1"/>
    <n v="0.71617786280047291"/>
    <x v="243"/>
  </r>
  <r>
    <n v="1212"/>
    <n v="384"/>
    <n v="25"/>
    <n v="292"/>
    <n v="130"/>
    <n v="41"/>
    <n v="64"/>
    <s v="Together"/>
    <n v="52845"/>
    <n v="1"/>
    <n v="0"/>
    <n v="0"/>
    <n v="1"/>
    <n v="3.6458976250645134E-2"/>
    <x v="244"/>
  </r>
  <r>
    <n v="1215"/>
    <n v="690"/>
    <n v="117"/>
    <n v="499"/>
    <n v="76"/>
    <n v="102"/>
    <n v="88"/>
    <s v="Together"/>
    <n v="70440"/>
    <n v="0"/>
    <n v="0"/>
    <n v="0"/>
    <n v="1"/>
    <n v="0.85053928452402472"/>
    <x v="245"/>
  </r>
  <r>
    <n v="1225"/>
    <n v="483"/>
    <n v="84"/>
    <n v="398"/>
    <n v="205"/>
    <n v="84"/>
    <n v="241"/>
    <s v="Together"/>
    <n v="80124"/>
    <n v="0"/>
    <n v="0"/>
    <n v="0"/>
    <n v="1"/>
    <n v="1.2985957610980179"/>
    <x v="246"/>
  </r>
  <r>
    <n v="1232"/>
    <n v="587"/>
    <n v="54"/>
    <n v="348"/>
    <n v="71"/>
    <n v="54"/>
    <n v="130"/>
    <s v="Together"/>
    <n v="70038"/>
    <n v="0"/>
    <n v="0"/>
    <n v="0"/>
    <n v="1"/>
    <n v="0.83193966622758264"/>
    <x v="247"/>
  </r>
  <r>
    <n v="1241"/>
    <n v="13"/>
    <n v="3"/>
    <n v="8"/>
    <n v="7"/>
    <n v="4"/>
    <n v="16"/>
    <s v="Together"/>
    <n v="14796"/>
    <n v="1"/>
    <n v="0"/>
    <n v="0"/>
    <n v="1"/>
    <n v="-1.7239810151954373"/>
    <x v="248"/>
  </r>
  <r>
    <n v="1245"/>
    <n v="977"/>
    <n v="12"/>
    <n v="253"/>
    <n v="16"/>
    <n v="12"/>
    <n v="101"/>
    <s v="Single"/>
    <n v="63810"/>
    <n v="0"/>
    <n v="1"/>
    <n v="1"/>
    <n v="0"/>
    <n v="0.54378438575434551"/>
    <x v="249"/>
  </r>
  <r>
    <n v="1250"/>
    <n v="34"/>
    <n v="6"/>
    <n v="21"/>
    <n v="11"/>
    <n v="4"/>
    <n v="8"/>
    <s v="Single"/>
    <n v="37697"/>
    <n v="1"/>
    <n v="0"/>
    <n v="1"/>
    <n v="0"/>
    <n v="-0.66440425249190416"/>
    <x v="250"/>
  </r>
  <r>
    <n v="1272"/>
    <n v="664"/>
    <n v="58"/>
    <n v="83"/>
    <n v="32"/>
    <n v="0"/>
    <n v="66"/>
    <s v="Single"/>
    <n v="55250"/>
    <n v="0"/>
    <n v="1"/>
    <n v="1"/>
    <n v="0"/>
    <n v="0.14773281207886213"/>
    <x v="251"/>
  </r>
  <r>
    <n v="1277"/>
    <n v="434"/>
    <n v="22"/>
    <n v="388"/>
    <n v="104"/>
    <n v="22"/>
    <n v="34"/>
    <s v="Together"/>
    <n v="78468"/>
    <n v="0"/>
    <n v="0"/>
    <n v="0"/>
    <n v="1"/>
    <n v="1.2219764379664058"/>
    <x v="252"/>
  </r>
  <r>
    <n v="1291"/>
    <n v="152"/>
    <n v="9"/>
    <n v="121"/>
    <n v="12"/>
    <n v="12"/>
    <n v="45"/>
    <s v="Together"/>
    <n v="27683"/>
    <n v="1"/>
    <n v="0"/>
    <n v="0"/>
    <n v="1"/>
    <n v="-1.1277290724435736"/>
    <x v="253"/>
  </r>
  <r>
    <n v="1307"/>
    <n v="27"/>
    <n v="5"/>
    <n v="8"/>
    <n v="8"/>
    <n v="3"/>
    <n v="12"/>
    <s v="Single"/>
    <n v="41986"/>
    <n v="0"/>
    <n v="1"/>
    <n v="1"/>
    <n v="0"/>
    <n v="-0.46596205628931675"/>
    <x v="254"/>
  </r>
  <r>
    <n v="1321"/>
    <n v="22"/>
    <n v="2"/>
    <n v="18"/>
    <n v="0"/>
    <n v="2"/>
    <n v="12"/>
    <s v="Together"/>
    <n v="26067"/>
    <n v="1"/>
    <n v="0"/>
    <n v="0"/>
    <n v="1"/>
    <n v="-1.2024976872869826"/>
    <x v="255"/>
  </r>
  <r>
    <n v="1324"/>
    <n v="23"/>
    <n v="3"/>
    <n v="21"/>
    <n v="3"/>
    <n v="19"/>
    <n v="22"/>
    <s v="Together"/>
    <n v="38872"/>
    <n v="1"/>
    <n v="0"/>
    <n v="0"/>
    <n v="1"/>
    <n v="-0.61003969652593537"/>
    <x v="256"/>
  </r>
  <r>
    <n v="1328"/>
    <n v="261"/>
    <n v="42"/>
    <n v="144"/>
    <n v="55"/>
    <n v="48"/>
    <n v="133"/>
    <s v="Together"/>
    <n v="57937"/>
    <n v="0"/>
    <n v="1"/>
    <n v="0"/>
    <n v="1"/>
    <n v="0.27205414133891165"/>
    <x v="257"/>
  </r>
  <r>
    <n v="1331"/>
    <n v="12"/>
    <n v="6"/>
    <n v="20"/>
    <n v="30"/>
    <n v="1"/>
    <n v="3"/>
    <s v="Single"/>
    <n v="35790"/>
    <n v="1"/>
    <n v="0"/>
    <n v="1"/>
    <n v="0"/>
    <n v="-0.75263677013199137"/>
    <x v="258"/>
  </r>
  <r>
    <n v="1340"/>
    <n v="551"/>
    <n v="137"/>
    <n v="792"/>
    <n v="179"/>
    <n v="103"/>
    <n v="33"/>
    <s v="Together"/>
    <n v="92910"/>
    <n v="0"/>
    <n v="0"/>
    <n v="0"/>
    <n v="1"/>
    <n v="1.8901746654221685"/>
    <x v="259"/>
  </r>
  <r>
    <n v="1343"/>
    <n v="368"/>
    <n v="24"/>
    <n v="68"/>
    <n v="38"/>
    <n v="0"/>
    <n v="88"/>
    <s v="Together"/>
    <n v="58554"/>
    <n v="1"/>
    <n v="1"/>
    <n v="0"/>
    <n v="1"/>
    <n v="0.3006013166844459"/>
    <x v="260"/>
  </r>
  <r>
    <n v="1349"/>
    <n v="85"/>
    <n v="7"/>
    <n v="24"/>
    <n v="2"/>
    <n v="3"/>
    <n v="27"/>
    <s v="Together"/>
    <n v="50447"/>
    <n v="2"/>
    <n v="0"/>
    <n v="0"/>
    <n v="1"/>
    <n v="-7.4490985627136311E-2"/>
    <x v="261"/>
  </r>
  <r>
    <n v="1351"/>
    <n v="962"/>
    <n v="12"/>
    <n v="194"/>
    <n v="16"/>
    <n v="24"/>
    <n v="12"/>
    <s v="Together"/>
    <n v="58656"/>
    <n v="0"/>
    <n v="1"/>
    <n v="0"/>
    <n v="1"/>
    <n v="0.30532062281936401"/>
    <x v="262"/>
  </r>
  <r>
    <n v="1357"/>
    <n v="856"/>
    <n v="59"/>
    <n v="487"/>
    <n v="58"/>
    <n v="29"/>
    <n v="73"/>
    <s v="Together"/>
    <n v="74854"/>
    <n v="1"/>
    <n v="2"/>
    <n v="0"/>
    <n v="1"/>
    <n v="1.0547649441272471"/>
    <x v="263"/>
  </r>
  <r>
    <n v="1361"/>
    <n v="1076"/>
    <n v="68"/>
    <n v="103"/>
    <n v="29"/>
    <n v="91"/>
    <n v="68"/>
    <s v="Together"/>
    <n v="82584"/>
    <n v="0"/>
    <n v="0"/>
    <n v="0"/>
    <n v="1"/>
    <n v="1.4124143208225142"/>
    <x v="264"/>
  </r>
  <r>
    <n v="1362"/>
    <n v="33"/>
    <n v="87"/>
    <n v="64"/>
    <n v="175"/>
    <n v="16"/>
    <n v="74"/>
    <s v="Single"/>
    <n v="31907"/>
    <n v="0"/>
    <n v="0"/>
    <n v="1"/>
    <n v="0"/>
    <n v="-0.93229427720931635"/>
    <x v="265"/>
  </r>
  <r>
    <n v="1371"/>
    <n v="123"/>
    <n v="164"/>
    <n v="266"/>
    <n v="227"/>
    <n v="30"/>
    <n v="174"/>
    <s v="Single"/>
    <n v="79941"/>
    <n v="0"/>
    <n v="0"/>
    <n v="1"/>
    <n v="0"/>
    <n v="1.2901287706794882"/>
    <x v="266"/>
  </r>
  <r>
    <n v="1377"/>
    <n v="182"/>
    <n v="4"/>
    <n v="33"/>
    <n v="0"/>
    <n v="0"/>
    <n v="66"/>
    <s v="Single"/>
    <n v="44551"/>
    <n v="0"/>
    <n v="1"/>
    <n v="1"/>
    <n v="0"/>
    <n v="-0.34728538730828701"/>
    <x v="267"/>
  </r>
  <r>
    <n v="1378"/>
    <n v="284"/>
    <n v="16"/>
    <n v="160"/>
    <n v="84"/>
    <n v="16"/>
    <n v="134"/>
    <s v="Together"/>
    <n v="50334"/>
    <n v="0"/>
    <n v="1"/>
    <n v="0"/>
    <n v="1"/>
    <n v="-7.9719236541310329E-2"/>
    <x v="268"/>
  </r>
  <r>
    <n v="1379"/>
    <n v="154"/>
    <n v="2"/>
    <n v="46"/>
    <n v="20"/>
    <n v="4"/>
    <n v="15"/>
    <s v="Together"/>
    <n v="42670"/>
    <n v="0"/>
    <n v="0"/>
    <n v="0"/>
    <n v="1"/>
    <n v="-0.43431494456104214"/>
    <x v="269"/>
  </r>
  <r>
    <n v="1381"/>
    <n v="172"/>
    <n v="3"/>
    <n v="115"/>
    <n v="16"/>
    <n v="0"/>
    <n v="18"/>
    <s v="Single"/>
    <n v="38513"/>
    <n v="1"/>
    <n v="0"/>
    <n v="1"/>
    <n v="0"/>
    <n v="-0.62664980341255905"/>
    <x v="270"/>
  </r>
  <r>
    <n v="1384"/>
    <n v="6"/>
    <n v="4"/>
    <n v="14"/>
    <n v="8"/>
    <n v="8"/>
    <n v="22"/>
    <s v="Together"/>
    <n v="17256"/>
    <n v="1"/>
    <n v="0"/>
    <n v="0"/>
    <n v="1"/>
    <n v="-1.6101624554709411"/>
    <x v="271"/>
  </r>
  <r>
    <n v="1386"/>
    <n v="10"/>
    <n v="0"/>
    <n v="1"/>
    <n v="0"/>
    <n v="0"/>
    <n v="0"/>
    <s v="Together"/>
    <n v="32474"/>
    <n v="1"/>
    <n v="1"/>
    <n v="0"/>
    <n v="1"/>
    <n v="-0.90606048722403609"/>
    <x v="272"/>
  </r>
  <r>
    <n v="1399"/>
    <n v="407"/>
    <n v="114"/>
    <n v="445"/>
    <n v="181"/>
    <n v="165"/>
    <n v="203"/>
    <s v="Together"/>
    <n v="72905"/>
    <n v="0"/>
    <n v="0"/>
    <n v="0"/>
    <n v="1"/>
    <n v="0.96458918278454653"/>
    <x v="273"/>
  </r>
  <r>
    <n v="1402"/>
    <n v="496"/>
    <n v="36"/>
    <n v="460"/>
    <n v="189"/>
    <n v="60"/>
    <n v="12"/>
    <s v="Together"/>
    <n v="66991"/>
    <n v="0"/>
    <n v="0"/>
    <n v="0"/>
    <n v="1"/>
    <n v="0.69096196237370444"/>
    <x v="274"/>
  </r>
  <r>
    <n v="1403"/>
    <n v="8"/>
    <n v="4"/>
    <n v="15"/>
    <n v="3"/>
    <n v="5"/>
    <n v="3"/>
    <s v="Together"/>
    <n v="34984"/>
    <n v="1"/>
    <n v="1"/>
    <n v="0"/>
    <n v="1"/>
    <n v="-0.78992854213928576"/>
    <x v="275"/>
  </r>
  <r>
    <n v="1404"/>
    <n v="51"/>
    <n v="23"/>
    <n v="82"/>
    <n v="33"/>
    <n v="0"/>
    <n v="42"/>
    <s v="Together"/>
    <n v="34916"/>
    <n v="2"/>
    <n v="0"/>
    <n v="0"/>
    <n v="1"/>
    <n v="-0.79307474622923113"/>
    <x v="276"/>
  </r>
  <r>
    <n v="1406"/>
    <n v="280"/>
    <n v="7"/>
    <n v="81"/>
    <n v="20"/>
    <n v="0"/>
    <n v="27"/>
    <s v="Single"/>
    <n v="53201"/>
    <n v="1"/>
    <n v="1"/>
    <n v="1"/>
    <n v="0"/>
    <n v="5.2930280015653551E-2"/>
    <x v="277"/>
  </r>
  <r>
    <n v="1407"/>
    <n v="4"/>
    <n v="12"/>
    <n v="5"/>
    <n v="3"/>
    <n v="16"/>
    <n v="17"/>
    <s v="Together"/>
    <n v="20425"/>
    <n v="1"/>
    <n v="0"/>
    <n v="0"/>
    <n v="1"/>
    <n v="-1.463540091338043"/>
    <x v="278"/>
  </r>
  <r>
    <n v="1409"/>
    <n v="270"/>
    <n v="3"/>
    <n v="27"/>
    <n v="39"/>
    <n v="6"/>
    <n v="99"/>
    <s v="Together"/>
    <n v="40689"/>
    <n v="0"/>
    <n v="1"/>
    <n v="0"/>
    <n v="1"/>
    <n v="-0.52597127253430531"/>
    <x v="279"/>
  </r>
  <r>
    <n v="1411"/>
    <n v="204"/>
    <n v="34"/>
    <n v="204"/>
    <n v="172"/>
    <n v="153"/>
    <n v="173"/>
    <s v="Single"/>
    <n v="82623"/>
    <n v="0"/>
    <n v="0"/>
    <n v="1"/>
    <n v="0"/>
    <n v="1.4142187614035124"/>
    <x v="280"/>
  </r>
  <r>
    <n v="1419"/>
    <n v="18"/>
    <n v="6"/>
    <n v="15"/>
    <n v="12"/>
    <n v="8"/>
    <n v="17"/>
    <s v="Together"/>
    <n v="34026"/>
    <n v="1"/>
    <n v="1"/>
    <n v="0"/>
    <n v="1"/>
    <n v="-0.8342530056417522"/>
    <x v="281"/>
  </r>
  <r>
    <n v="1440"/>
    <n v="367"/>
    <n v="17"/>
    <n v="241"/>
    <n v="104"/>
    <n v="188"/>
    <n v="232"/>
    <s v="Together"/>
    <n v="52513"/>
    <n v="0"/>
    <n v="0"/>
    <n v="0"/>
    <n v="1"/>
    <n v="2.1098097458558628E-2"/>
    <x v="282"/>
  </r>
  <r>
    <n v="1446"/>
    <n v="387"/>
    <n v="68"/>
    <n v="569"/>
    <n v="89"/>
    <n v="45"/>
    <n v="68"/>
    <s v="Single"/>
    <n v="86424"/>
    <n v="0"/>
    <n v="0"/>
    <n v="1"/>
    <n v="0"/>
    <n v="1.5900823164900209"/>
    <x v="283"/>
  </r>
  <r>
    <n v="1448"/>
    <n v="21"/>
    <n v="12"/>
    <n v="12"/>
    <n v="0"/>
    <n v="3"/>
    <n v="3"/>
    <s v="Together"/>
    <n v="33562"/>
    <n v="1"/>
    <n v="2"/>
    <n v="0"/>
    <n v="1"/>
    <n v="-0.85572122178490928"/>
    <x v="284"/>
  </r>
  <r>
    <n v="1453"/>
    <n v="735"/>
    <n v="40"/>
    <n v="183"/>
    <n v="52"/>
    <n v="20"/>
    <n v="30"/>
    <s v="Single"/>
    <n v="57513"/>
    <n v="0"/>
    <n v="0"/>
    <n v="1"/>
    <n v="0"/>
    <n v="0.25243663348395778"/>
    <x v="285"/>
  </r>
  <r>
    <n v="1456"/>
    <n v="265"/>
    <n v="199"/>
    <n v="303"/>
    <n v="234"/>
    <n v="9"/>
    <n v="170"/>
    <s v="Single"/>
    <n v="60474"/>
    <n v="0"/>
    <n v="1"/>
    <n v="1"/>
    <n v="0"/>
    <n v="0.38943531451819918"/>
    <x v="286"/>
  </r>
  <r>
    <n v="1458"/>
    <n v="8"/>
    <n v="3"/>
    <n v="19"/>
    <n v="3"/>
    <n v="3"/>
    <n v="8"/>
    <s v="Together"/>
    <n v="21059"/>
    <n v="1"/>
    <n v="0"/>
    <n v="0"/>
    <n v="1"/>
    <n v="-1.4342063649700223"/>
    <x v="287"/>
  </r>
  <r>
    <n v="1459"/>
    <n v="666"/>
    <n v="35"/>
    <n v="124"/>
    <n v="69"/>
    <n v="8"/>
    <n v="26"/>
    <s v="Together"/>
    <n v="69063"/>
    <n v="0"/>
    <n v="1"/>
    <n v="0"/>
    <n v="1"/>
    <n v="0.78682865170262983"/>
    <x v="288"/>
  </r>
  <r>
    <n v="1461"/>
    <n v="17"/>
    <n v="1"/>
    <n v="12"/>
    <n v="3"/>
    <n v="1"/>
    <n v="4"/>
    <s v="Single"/>
    <n v="36921"/>
    <n v="1"/>
    <n v="1"/>
    <n v="1"/>
    <n v="0"/>
    <n v="-0.70030799328304616"/>
    <x v="289"/>
  </r>
  <r>
    <n v="1463"/>
    <n v="8"/>
    <n v="2"/>
    <n v="5"/>
    <n v="3"/>
    <n v="0"/>
    <n v="3"/>
    <s v="Single"/>
    <n v="45160"/>
    <n v="1"/>
    <n v="1"/>
    <n v="1"/>
    <n v="0"/>
    <n v="-0.31910835362039336"/>
    <x v="290"/>
  </r>
  <r>
    <n v="1473"/>
    <n v="53"/>
    <n v="1"/>
    <n v="5"/>
    <n v="2"/>
    <n v="1"/>
    <n v="10"/>
    <s v="Single"/>
    <n v="47823"/>
    <n v="0"/>
    <n v="1"/>
    <n v="1"/>
    <n v="0"/>
    <n v="-0.19589744933326578"/>
    <x v="291"/>
  </r>
  <r>
    <n v="1490"/>
    <n v="675"/>
    <n v="0"/>
    <n v="85"/>
    <n v="10"/>
    <n v="7"/>
    <n v="77"/>
    <s v="Together"/>
    <n v="55759"/>
    <n v="0"/>
    <n v="1"/>
    <n v="0"/>
    <n v="1"/>
    <n v="0.17128307504624776"/>
    <x v="292"/>
  </r>
  <r>
    <n v="1491"/>
    <n v="162"/>
    <n v="33"/>
    <n v="124"/>
    <n v="40"/>
    <n v="28"/>
    <n v="172"/>
    <s v="Together"/>
    <n v="71488"/>
    <n v="0"/>
    <n v="0"/>
    <n v="0"/>
    <n v="1"/>
    <n v="0.89902784167494842"/>
    <x v="293"/>
  </r>
  <r>
    <n v="1497"/>
    <n v="268"/>
    <n v="11"/>
    <n v="88"/>
    <n v="15"/>
    <n v="3"/>
    <n v="22"/>
    <s v="Single"/>
    <n v="47958"/>
    <n v="0"/>
    <n v="1"/>
    <n v="1"/>
    <n v="0"/>
    <n v="-0.18965130886058001"/>
    <x v="294"/>
  </r>
  <r>
    <n v="1501"/>
    <n v="55"/>
    <n v="16"/>
    <n v="1622"/>
    <n v="17"/>
    <n v="3"/>
    <n v="4"/>
    <s v="Together"/>
    <n v="160803"/>
    <n v="0"/>
    <n v="0"/>
    <n v="0"/>
    <n v="1"/>
    <n v="5.0314281106966536"/>
    <x v="295"/>
  </r>
  <r>
    <n v="1503"/>
    <n v="85"/>
    <n v="1"/>
    <n v="16"/>
    <n v="2"/>
    <n v="1"/>
    <n v="2"/>
    <s v="Together"/>
    <n v="162397"/>
    <n v="1"/>
    <n v="1"/>
    <n v="0"/>
    <n v="1"/>
    <n v="5.1051788359815511"/>
    <x v="296"/>
  </r>
  <r>
    <n v="1506"/>
    <n v="48"/>
    <n v="9"/>
    <n v="45"/>
    <n v="3"/>
    <n v="15"/>
    <n v="20"/>
    <s v="Single"/>
    <n v="42160"/>
    <n v="1"/>
    <n v="1"/>
    <n v="1"/>
    <n v="0"/>
    <n v="-0.45791147523563286"/>
    <x v="297"/>
  </r>
  <r>
    <n v="1509"/>
    <n v="152"/>
    <n v="27"/>
    <n v="103"/>
    <n v="106"/>
    <n v="54"/>
    <n v="81"/>
    <s v="Together"/>
    <n v="84460"/>
    <n v="0"/>
    <n v="0"/>
    <n v="0"/>
    <n v="1"/>
    <n v="1.4992125395392439"/>
    <x v="298"/>
  </r>
  <r>
    <n v="1513"/>
    <n v="600"/>
    <n v="21"/>
    <n v="128"/>
    <n v="223"/>
    <n v="150"/>
    <n v="128"/>
    <s v="Together"/>
    <n v="60839"/>
    <n v="1"/>
    <n v="1"/>
    <n v="0"/>
    <n v="1"/>
    <n v="0.40632302764805328"/>
    <x v="299"/>
  </r>
  <r>
    <n v="1515"/>
    <n v="11"/>
    <n v="2"/>
    <n v="7"/>
    <n v="4"/>
    <n v="2"/>
    <n v="2"/>
    <s v="Together"/>
    <n v="34176"/>
    <n v="0"/>
    <n v="1"/>
    <n v="0"/>
    <n v="1"/>
    <n v="-0.82731284956099027"/>
    <x v="300"/>
  </r>
  <r>
    <n v="1517"/>
    <n v="3"/>
    <n v="9"/>
    <n v="13"/>
    <n v="2"/>
    <n v="12"/>
    <n v="12"/>
    <s v="Single"/>
    <n v="30822"/>
    <n v="1"/>
    <n v="0"/>
    <n v="1"/>
    <n v="0"/>
    <n v="-0.98249473952682798"/>
    <x v="301"/>
  </r>
  <r>
    <n v="1518"/>
    <n v="379"/>
    <n v="6"/>
    <n v="157"/>
    <n v="25"/>
    <n v="91"/>
    <n v="91"/>
    <s v="Together"/>
    <n v="62694"/>
    <n v="1"/>
    <n v="1"/>
    <n v="0"/>
    <n v="1"/>
    <n v="0.49214962451347638"/>
    <x v="302"/>
  </r>
  <r>
    <n v="1519"/>
    <n v="38"/>
    <n v="4"/>
    <n v="22"/>
    <n v="3"/>
    <n v="3"/>
    <n v="3"/>
    <s v="Single"/>
    <n v="38578"/>
    <n v="1"/>
    <n v="1"/>
    <n v="1"/>
    <n v="0"/>
    <n v="-0.62364240244422886"/>
    <x v="303"/>
  </r>
  <r>
    <n v="1523"/>
    <n v="69"/>
    <n v="2"/>
    <n v="15"/>
    <n v="2"/>
    <n v="2"/>
    <n v="6"/>
    <s v="Together"/>
    <n v="59041"/>
    <n v="1"/>
    <n v="1"/>
    <n v="0"/>
    <n v="1"/>
    <n v="0.32313369009331977"/>
    <x v="304"/>
  </r>
  <r>
    <n v="1524"/>
    <n v="709"/>
    <n v="45"/>
    <n v="115"/>
    <n v="30"/>
    <n v="160"/>
    <n v="45"/>
    <s v="Single"/>
    <n v="81698"/>
    <n v="0"/>
    <n v="0"/>
    <n v="1"/>
    <n v="0"/>
    <n v="1.3714211322388135"/>
    <x v="305"/>
  </r>
  <r>
    <n v="1542"/>
    <n v="347"/>
    <n v="0"/>
    <n v="35"/>
    <n v="4"/>
    <n v="3"/>
    <n v="7"/>
    <s v="Single"/>
    <n v="56243"/>
    <n v="1"/>
    <n v="2"/>
    <n v="1"/>
    <n v="0"/>
    <n v="0.1936766453335064"/>
    <x v="306"/>
  </r>
  <r>
    <n v="1544"/>
    <n v="741"/>
    <n v="68"/>
    <n v="689"/>
    <n v="224"/>
    <n v="68"/>
    <n v="103"/>
    <s v="Single"/>
    <n v="81380"/>
    <n v="0"/>
    <n v="0"/>
    <n v="1"/>
    <n v="0"/>
    <n v="1.3567080013475981"/>
    <x v="307"/>
  </r>
  <r>
    <n v="1545"/>
    <n v="120"/>
    <n v="19"/>
    <n v="206"/>
    <n v="25"/>
    <n v="19"/>
    <n v="54"/>
    <s v="Together"/>
    <n v="38508"/>
    <n v="1"/>
    <n v="0"/>
    <n v="0"/>
    <n v="1"/>
    <n v="-0.62688114194858446"/>
    <x v="308"/>
  </r>
  <r>
    <n v="1553"/>
    <n v="966"/>
    <n v="168"/>
    <n v="672"/>
    <n v="246"/>
    <n v="105"/>
    <n v="126"/>
    <s v="Together"/>
    <n v="82657"/>
    <n v="0"/>
    <n v="0"/>
    <n v="0"/>
    <n v="1"/>
    <n v="1.4157918634484852"/>
    <x v="309"/>
  </r>
  <r>
    <n v="1570"/>
    <n v="664"/>
    <n v="9"/>
    <n v="240"/>
    <n v="50"/>
    <n v="19"/>
    <n v="57"/>
    <s v="Together"/>
    <n v="69702"/>
    <n v="0"/>
    <n v="1"/>
    <n v="0"/>
    <n v="1"/>
    <n v="0.81639371660667581"/>
    <x v="310"/>
  </r>
  <r>
    <n v="1577"/>
    <n v="558"/>
    <n v="79"/>
    <n v="622"/>
    <n v="207"/>
    <n v="175"/>
    <n v="95"/>
    <s v="Together"/>
    <n v="78569"/>
    <n v="0"/>
    <n v="0"/>
    <n v="0"/>
    <n v="1"/>
    <n v="1.2266494763941187"/>
    <x v="311"/>
  </r>
  <r>
    <n v="1581"/>
    <n v="2"/>
    <n v="0"/>
    <n v="8"/>
    <n v="2"/>
    <n v="2"/>
    <n v="3"/>
    <s v="Together"/>
    <n v="37406"/>
    <n v="1"/>
    <n v="0"/>
    <n v="0"/>
    <n v="1"/>
    <n v="-0.67786815528858235"/>
    <x v="312"/>
  </r>
  <r>
    <n v="1584"/>
    <n v="171"/>
    <n v="7"/>
    <n v="171"/>
    <n v="25"/>
    <n v="19"/>
    <n v="89"/>
    <s v="Together"/>
    <n v="41443"/>
    <n v="1"/>
    <n v="0"/>
    <n v="0"/>
    <n v="1"/>
    <n v="-0.4910854213016751"/>
    <x v="313"/>
  </r>
  <r>
    <n v="1592"/>
    <n v="547"/>
    <n v="99"/>
    <n v="812"/>
    <n v="151"/>
    <n v="82"/>
    <n v="33"/>
    <s v="Together"/>
    <n v="90765"/>
    <n v="0"/>
    <n v="0"/>
    <n v="0"/>
    <n v="1"/>
    <n v="1.7909304334672724"/>
    <x v="314"/>
  </r>
  <r>
    <n v="1600"/>
    <n v="292"/>
    <n v="3"/>
    <n v="77"/>
    <n v="10"/>
    <n v="3"/>
    <n v="26"/>
    <s v="Together"/>
    <n v="56962"/>
    <n v="2"/>
    <n v="1"/>
    <n v="0"/>
    <n v="1"/>
    <n v="0.22694312681395878"/>
    <x v="315"/>
  </r>
  <r>
    <n v="1604"/>
    <n v="184"/>
    <n v="2"/>
    <n v="19"/>
    <n v="8"/>
    <n v="8"/>
    <n v="4"/>
    <s v="Together"/>
    <n v="47353"/>
    <n v="0"/>
    <n v="1"/>
    <n v="0"/>
    <n v="1"/>
    <n v="-0.21764327171965331"/>
    <x v="316"/>
  </r>
  <r>
    <n v="1606"/>
    <n v="3"/>
    <n v="1"/>
    <n v="8"/>
    <n v="4"/>
    <n v="3"/>
    <n v="3"/>
    <s v="Together"/>
    <n v="38590"/>
    <n v="1"/>
    <n v="0"/>
    <n v="0"/>
    <n v="1"/>
    <n v="-0.62308718995776791"/>
    <x v="317"/>
  </r>
  <r>
    <n v="1618"/>
    <n v="577"/>
    <n v="0"/>
    <n v="64"/>
    <n v="0"/>
    <n v="0"/>
    <n v="51"/>
    <s v="Together"/>
    <n v="56046"/>
    <n v="0"/>
    <n v="0"/>
    <n v="0"/>
    <n v="1"/>
    <n v="0.18456190701410566"/>
    <x v="318"/>
  </r>
  <r>
    <n v="1619"/>
    <n v="292"/>
    <n v="51"/>
    <n v="981"/>
    <n v="224"/>
    <n v="23"/>
    <n v="17"/>
    <s v="Together"/>
    <n v="90369"/>
    <n v="0"/>
    <n v="0"/>
    <n v="0"/>
    <n v="1"/>
    <n v="1.7726084214140607"/>
    <x v="319"/>
  </r>
  <r>
    <n v="1626"/>
    <n v="15"/>
    <n v="0"/>
    <n v="8"/>
    <n v="4"/>
    <n v="2"/>
    <n v="20"/>
    <s v="Single"/>
    <n v="35860"/>
    <n v="1"/>
    <n v="1"/>
    <n v="1"/>
    <n v="0"/>
    <n v="-0.74939803062763577"/>
    <x v="320"/>
  </r>
  <r>
    <n v="1627"/>
    <n v="408"/>
    <n v="61"/>
    <n v="109"/>
    <n v="48"/>
    <n v="122"/>
    <n v="41"/>
    <s v="Single"/>
    <n v="77297"/>
    <n v="0"/>
    <n v="0"/>
    <n v="1"/>
    <n v="0"/>
    <n v="1.1677969528292571"/>
    <x v="321"/>
  </r>
  <r>
    <n v="1628"/>
    <n v="354"/>
    <n v="21"/>
    <n v="311"/>
    <n v="167"/>
    <n v="75"/>
    <n v="32"/>
    <s v="Together"/>
    <n v="71796"/>
    <n v="0"/>
    <n v="0"/>
    <n v="0"/>
    <n v="1"/>
    <n v="0.91327829549411299"/>
    <x v="322"/>
  </r>
  <r>
    <n v="1630"/>
    <n v="162"/>
    <n v="50"/>
    <n v="100"/>
    <n v="55"/>
    <n v="30"/>
    <n v="27"/>
    <s v="Single"/>
    <n v="61825"/>
    <n v="0"/>
    <n v="1"/>
    <n v="1"/>
    <n v="0"/>
    <n v="0.45194298695226204"/>
    <x v="323"/>
  </r>
  <r>
    <n v="1631"/>
    <n v="890"/>
    <n v="63"/>
    <n v="292"/>
    <n v="0"/>
    <n v="25"/>
    <n v="12"/>
    <s v="Together"/>
    <n v="65220"/>
    <n v="0"/>
    <n v="0"/>
    <n v="0"/>
    <n v="1"/>
    <n v="0.60902185291350808"/>
    <x v="324"/>
  </r>
  <r>
    <n v="1640"/>
    <n v="66"/>
    <n v="0"/>
    <n v="16"/>
    <n v="0"/>
    <n v="6"/>
    <n v="20"/>
    <s v="Single"/>
    <n v="64587"/>
    <n v="1"/>
    <n v="1"/>
    <n v="1"/>
    <n v="0"/>
    <n v="0.57973439425269246"/>
    <x v="325"/>
  </r>
  <r>
    <n v="1646"/>
    <n v="4"/>
    <n v="9"/>
    <n v="12"/>
    <n v="11"/>
    <n v="2"/>
    <n v="8"/>
    <s v="Together"/>
    <n v="25224"/>
    <n v="1"/>
    <n v="0"/>
    <n v="0"/>
    <n v="1"/>
    <n v="-1.2415013644608648"/>
    <x v="326"/>
  </r>
  <r>
    <n v="1650"/>
    <n v="779"/>
    <n v="86"/>
    <n v="537"/>
    <n v="34"/>
    <n v="69"/>
    <n v="138"/>
    <s v="Together"/>
    <n v="81843"/>
    <n v="0"/>
    <n v="0"/>
    <n v="0"/>
    <n v="1"/>
    <n v="1.3781299497835502"/>
    <x v="327"/>
  </r>
  <r>
    <n v="1655"/>
    <n v="16"/>
    <n v="3"/>
    <n v="15"/>
    <n v="2"/>
    <n v="1"/>
    <n v="11"/>
    <s v="Together"/>
    <n v="34350"/>
    <n v="1"/>
    <n v="0"/>
    <n v="0"/>
    <n v="1"/>
    <n v="-0.81926226850730632"/>
    <x v="328"/>
  </r>
  <r>
    <n v="1663"/>
    <n v="20"/>
    <n v="2"/>
    <n v="14"/>
    <n v="3"/>
    <n v="0"/>
    <n v="10"/>
    <s v="Together"/>
    <n v="34043"/>
    <n v="1"/>
    <n v="0"/>
    <n v="0"/>
    <n v="1"/>
    <n v="-0.83346645461926583"/>
    <x v="329"/>
  </r>
  <r>
    <n v="1665"/>
    <n v="1459"/>
    <n v="0"/>
    <n v="61"/>
    <n v="0"/>
    <n v="15"/>
    <n v="215"/>
    <s v="Single"/>
    <n v="64140"/>
    <n v="0"/>
    <n v="2"/>
    <n v="1"/>
    <n v="0"/>
    <n v="0.55905272913202186"/>
    <x v="330"/>
  </r>
  <r>
    <n v="1672"/>
    <n v="204"/>
    <n v="7"/>
    <n v="149"/>
    <n v="20"/>
    <n v="15"/>
    <n v="66"/>
    <s v="Together"/>
    <n v="65640"/>
    <n v="0"/>
    <n v="1"/>
    <n v="0"/>
    <n v="1"/>
    <n v="0.62845428993964159"/>
    <x v="331"/>
  </r>
  <r>
    <n v="1676"/>
    <n v="213"/>
    <n v="2"/>
    <n v="44"/>
    <n v="0"/>
    <n v="2"/>
    <n v="5"/>
    <s v="Together"/>
    <n v="43057"/>
    <n v="0"/>
    <n v="1"/>
    <n v="0"/>
    <n v="1"/>
    <n v="-0.41640934187267625"/>
    <x v="332"/>
  </r>
  <r>
    <n v="1685"/>
    <n v="796"/>
    <n v="14"/>
    <n v="590"/>
    <n v="38"/>
    <n v="44"/>
    <n v="0"/>
    <s v="Together"/>
    <n v="62981"/>
    <n v="0"/>
    <n v="0"/>
    <n v="0"/>
    <n v="1"/>
    <n v="0.50542845648133428"/>
    <x v="333"/>
  </r>
  <r>
    <n v="1710"/>
    <n v="154"/>
    <n v="20"/>
    <n v="66"/>
    <n v="0"/>
    <n v="12"/>
    <n v="27"/>
    <s v="Single"/>
    <n v="30168"/>
    <n v="1"/>
    <n v="0"/>
    <n v="1"/>
    <n v="0"/>
    <n v="-1.0127538200389503"/>
    <x v="334"/>
  </r>
  <r>
    <n v="1715"/>
    <n v="9"/>
    <n v="4"/>
    <n v="18"/>
    <n v="7"/>
    <n v="5"/>
    <n v="5"/>
    <s v="Together"/>
    <n v="25851"/>
    <n v="1"/>
    <n v="0"/>
    <n v="0"/>
    <n v="1"/>
    <n v="-1.2124915120432798"/>
    <x v="335"/>
  </r>
  <r>
    <n v="1717"/>
    <n v="80"/>
    <n v="15"/>
    <n v="93"/>
    <n v="20"/>
    <n v="13"/>
    <n v="52"/>
    <s v="Single"/>
    <n v="39747"/>
    <n v="1"/>
    <n v="0"/>
    <n v="1"/>
    <n v="0"/>
    <n v="-0.56955545272149055"/>
    <x v="336"/>
  </r>
  <r>
    <n v="1726"/>
    <n v="3"/>
    <n v="9"/>
    <n v="15"/>
    <n v="13"/>
    <n v="2"/>
    <n v="39"/>
    <s v="Single"/>
    <n v="22585"/>
    <n v="0"/>
    <n v="0"/>
    <n v="1"/>
    <n v="0"/>
    <n v="-1.3636018437750705"/>
    <x v="337"/>
  </r>
  <r>
    <n v="1729"/>
    <n v="1043"/>
    <n v="24"/>
    <n v="97"/>
    <n v="32"/>
    <n v="24"/>
    <n v="157"/>
    <s v="Together"/>
    <n v="66426"/>
    <n v="0"/>
    <n v="1"/>
    <n v="0"/>
    <n v="1"/>
    <n v="0.66482070780283431"/>
    <x v="338"/>
  </r>
  <r>
    <n v="1734"/>
    <n v="59"/>
    <n v="0"/>
    <n v="11"/>
    <n v="4"/>
    <n v="2"/>
    <n v="5"/>
    <s v="Together"/>
    <n v="40706"/>
    <n v="2"/>
    <n v="1"/>
    <n v="0"/>
    <n v="1"/>
    <n v="-0.52518472151181894"/>
    <x v="339"/>
  </r>
  <r>
    <n v="1740"/>
    <n v="760"/>
    <n v="38"/>
    <n v="104"/>
    <n v="50"/>
    <n v="9"/>
    <n v="38"/>
    <s v="Together"/>
    <n v="55956"/>
    <n v="0"/>
    <n v="0"/>
    <n v="0"/>
    <n v="1"/>
    <n v="0.18039781336564847"/>
    <x v="340"/>
  </r>
  <r>
    <n v="1743"/>
    <n v="273"/>
    <n v="86"/>
    <n v="208"/>
    <n v="177"/>
    <n v="14"/>
    <n v="43"/>
    <s v="Single"/>
    <n v="69719"/>
    <n v="0"/>
    <n v="0"/>
    <n v="1"/>
    <n v="0"/>
    <n v="0.81718026762916218"/>
    <x v="341"/>
  </r>
  <r>
    <n v="1744"/>
    <n v="9"/>
    <n v="7"/>
    <n v="13"/>
    <n v="3"/>
    <n v="2"/>
    <n v="20"/>
    <s v="Single"/>
    <n v="23529"/>
    <n v="0"/>
    <n v="1"/>
    <n v="1"/>
    <n v="0"/>
    <n v="-1.3199251281734752"/>
    <x v="342"/>
  </r>
  <r>
    <n v="1745"/>
    <n v="714"/>
    <n v="76"/>
    <n v="395"/>
    <n v="116"/>
    <n v="0"/>
    <n v="12"/>
    <s v="Single"/>
    <n v="85696"/>
    <n v="0"/>
    <n v="0"/>
    <n v="1"/>
    <n v="0"/>
    <n v="1.5563994256447227"/>
    <x v="343"/>
  </r>
  <r>
    <n v="1755"/>
    <n v="30"/>
    <n v="11"/>
    <n v="25"/>
    <n v="29"/>
    <n v="1"/>
    <n v="18"/>
    <s v="Together"/>
    <n v="45204"/>
    <n v="1"/>
    <n v="0"/>
    <n v="0"/>
    <n v="1"/>
    <n v="-0.31707257450336984"/>
    <x v="344"/>
  </r>
  <r>
    <n v="1763"/>
    <n v="1259"/>
    <n v="172"/>
    <n v="815"/>
    <n v="97"/>
    <n v="148"/>
    <n v="33"/>
    <s v="Together"/>
    <n v="87679"/>
    <n v="0"/>
    <n v="0"/>
    <n v="0"/>
    <n v="1"/>
    <n v="1.648148289032396"/>
    <x v="345"/>
  </r>
  <r>
    <n v="1764"/>
    <n v="100"/>
    <n v="2"/>
    <n v="128"/>
    <n v="23"/>
    <n v="7"/>
    <n v="10"/>
    <s v="Single"/>
    <n v="33955"/>
    <n v="1"/>
    <n v="0"/>
    <n v="1"/>
    <n v="0"/>
    <n v="-0.83753801285331286"/>
    <x v="346"/>
  </r>
  <r>
    <n v="1772"/>
    <n v="1074"/>
    <n v="37"/>
    <n v="518"/>
    <n v="193"/>
    <n v="92"/>
    <n v="129"/>
    <s v="Together"/>
    <n v="79174"/>
    <n v="0"/>
    <n v="0"/>
    <n v="0"/>
    <n v="1"/>
    <n v="1.2546414392531919"/>
    <x v="347"/>
  </r>
  <r>
    <n v="1773"/>
    <n v="5"/>
    <n v="6"/>
    <n v="15"/>
    <n v="11"/>
    <n v="7"/>
    <n v="13"/>
    <s v="Together"/>
    <n v="12393"/>
    <n v="0"/>
    <n v="0"/>
    <n v="0"/>
    <n v="1"/>
    <n v="-1.8351623156092443"/>
    <x v="348"/>
  </r>
  <r>
    <n v="1777"/>
    <n v="2"/>
    <n v="2"/>
    <n v="11"/>
    <n v="41"/>
    <n v="7"/>
    <n v="11"/>
    <s v="Together"/>
    <n v="25965"/>
    <n v="0"/>
    <n v="0"/>
    <n v="0"/>
    <n v="1"/>
    <n v="-1.2072169934219008"/>
    <x v="349"/>
  </r>
  <r>
    <n v="1802"/>
    <n v="412"/>
    <n v="5"/>
    <n v="119"/>
    <n v="38"/>
    <n v="29"/>
    <n v="77"/>
    <s v="Together"/>
    <n v="64795"/>
    <n v="0"/>
    <n v="1"/>
    <n v="0"/>
    <n v="1"/>
    <n v="0.58935807735134915"/>
    <x v="350"/>
  </r>
  <r>
    <n v="1818"/>
    <n v="25"/>
    <n v="0"/>
    <n v="8"/>
    <n v="0"/>
    <n v="1"/>
    <n v="4"/>
    <s v="Together"/>
    <n v="29732"/>
    <n v="1"/>
    <n v="0"/>
    <n v="0"/>
    <n v="1"/>
    <n v="-1.0329265403803649"/>
    <x v="351"/>
  </r>
  <r>
    <n v="1826"/>
    <n v="189"/>
    <n v="104"/>
    <n v="379"/>
    <n v="111"/>
    <n v="189"/>
    <n v="218"/>
    <s v="Single"/>
    <n v="84835"/>
    <n v="0"/>
    <n v="0"/>
    <n v="1"/>
    <n v="0"/>
    <n v="1.5165629297411489"/>
    <x v="352"/>
  </r>
  <r>
    <n v="1829"/>
    <n v="1148"/>
    <n v="0"/>
    <n v="60"/>
    <n v="0"/>
    <n v="0"/>
    <n v="24"/>
    <s v="Single"/>
    <n v="54959"/>
    <n v="0"/>
    <n v="1"/>
    <n v="1"/>
    <n v="0"/>
    <n v="0.13426890928218391"/>
    <x v="353"/>
  </r>
  <r>
    <n v="1833"/>
    <n v="68"/>
    <n v="8"/>
    <n v="18"/>
    <n v="19"/>
    <n v="8"/>
    <n v="12"/>
    <s v="Single"/>
    <n v="39190"/>
    <n v="1"/>
    <n v="0"/>
    <n v="1"/>
    <n v="0"/>
    <n v="-0.59532656563471997"/>
    <x v="354"/>
  </r>
  <r>
    <n v="1834"/>
    <n v="30"/>
    <n v="5"/>
    <n v="23"/>
    <n v="4"/>
    <n v="1"/>
    <n v="4"/>
    <s v="Single"/>
    <n v="35544"/>
    <n v="1"/>
    <n v="0"/>
    <n v="1"/>
    <n v="0"/>
    <n v="-0.76401862610444105"/>
    <x v="355"/>
  </r>
  <r>
    <n v="1839"/>
    <n v="56"/>
    <n v="7"/>
    <n v="48"/>
    <n v="10"/>
    <n v="2"/>
    <n v="18"/>
    <s v="Single"/>
    <n v="43322"/>
    <n v="0"/>
    <n v="0"/>
    <n v="1"/>
    <n v="0"/>
    <n v="-0.40414839946333009"/>
    <x v="356"/>
  </r>
  <r>
    <n v="1857"/>
    <n v="46"/>
    <n v="0"/>
    <n v="12"/>
    <n v="0"/>
    <n v="2"/>
    <n v="23"/>
    <s v="Single"/>
    <n v="47139"/>
    <n v="1"/>
    <n v="1"/>
    <n v="1"/>
    <n v="0"/>
    <n v="-0.22754456106154039"/>
    <x v="357"/>
  </r>
  <r>
    <n v="1859"/>
    <n v="721"/>
    <n v="111"/>
    <n v="925"/>
    <n v="97"/>
    <n v="18"/>
    <n v="18"/>
    <s v="Together"/>
    <n v="75251"/>
    <n v="0"/>
    <n v="0"/>
    <n v="0"/>
    <n v="1"/>
    <n v="1.0731332238876639"/>
    <x v="358"/>
  </r>
  <r>
    <n v="1867"/>
    <n v="652"/>
    <n v="48"/>
    <n v="350"/>
    <n v="94"/>
    <n v="84"/>
    <n v="108"/>
    <s v="Single"/>
    <n v="64849"/>
    <n v="0"/>
    <n v="0"/>
    <n v="1"/>
    <n v="0"/>
    <n v="0.59185653354042345"/>
    <x v="359"/>
  </r>
  <r>
    <n v="1876"/>
    <n v="32"/>
    <n v="0"/>
    <n v="8"/>
    <n v="23"/>
    <n v="4"/>
    <n v="18"/>
    <s v="Together"/>
    <n v="18929"/>
    <n v="0"/>
    <n v="0"/>
    <n v="0"/>
    <n v="1"/>
    <n v="-1.5327565813168424"/>
    <x v="360"/>
  </r>
  <r>
    <n v="1878"/>
    <n v="4"/>
    <n v="6"/>
    <n v="8"/>
    <n v="6"/>
    <n v="3"/>
    <n v="10"/>
    <s v="Together"/>
    <n v="23148"/>
    <n v="0"/>
    <n v="0"/>
    <n v="0"/>
    <n v="1"/>
    <n v="-1.3375531246186105"/>
    <x v="361"/>
  </r>
  <r>
    <n v="1880"/>
    <n v="81"/>
    <n v="0"/>
    <n v="6"/>
    <n v="0"/>
    <n v="0"/>
    <n v="6"/>
    <s v="Together"/>
    <n v="53537"/>
    <n v="1"/>
    <n v="1"/>
    <n v="0"/>
    <n v="1"/>
    <n v="6.8476229636560373E-2"/>
    <x v="362"/>
  </r>
  <r>
    <n v="1890"/>
    <n v="11"/>
    <n v="1"/>
    <n v="4"/>
    <n v="2"/>
    <n v="0"/>
    <n v="7"/>
    <s v="Together"/>
    <n v="42033"/>
    <n v="1"/>
    <n v="1"/>
    <n v="0"/>
    <n v="1"/>
    <n v="-0.46378747405067799"/>
    <x v="363"/>
  </r>
  <r>
    <n v="1891"/>
    <n v="667"/>
    <n v="50"/>
    <n v="850"/>
    <n v="21"/>
    <n v="83"/>
    <n v="83"/>
    <s v="Single"/>
    <n v="78789"/>
    <n v="0"/>
    <n v="0"/>
    <n v="1"/>
    <n v="0"/>
    <n v="1.2368283719792363"/>
    <x v="364"/>
  </r>
  <r>
    <n v="1907"/>
    <n v="965"/>
    <n v="69"/>
    <n v="279"/>
    <n v="54"/>
    <n v="41"/>
    <n v="69"/>
    <s v="Single"/>
    <n v="63120"/>
    <n v="0"/>
    <n v="1"/>
    <n v="1"/>
    <n v="0"/>
    <n v="0.51185966778284042"/>
    <x v="365"/>
  </r>
  <r>
    <n v="1911"/>
    <n v="595"/>
    <n v="97"/>
    <n v="291"/>
    <n v="127"/>
    <n v="133"/>
    <n v="121"/>
    <s v="Together"/>
    <n v="67430"/>
    <n v="0"/>
    <n v="0"/>
    <n v="0"/>
    <n v="1"/>
    <n v="0.71127348583673444"/>
    <x v="366"/>
  </r>
  <r>
    <n v="1915"/>
    <n v="794"/>
    <n v="115"/>
    <n v="243"/>
    <n v="150"/>
    <n v="0"/>
    <n v="205"/>
    <s v="Together"/>
    <n v="78939"/>
    <n v="0"/>
    <n v="0"/>
    <n v="0"/>
    <n v="1"/>
    <n v="1.2437685280599982"/>
    <x v="367"/>
  </r>
  <r>
    <n v="1916"/>
    <n v="188"/>
    <n v="3"/>
    <n v="180"/>
    <n v="20"/>
    <n v="3"/>
    <n v="43"/>
    <s v="Together"/>
    <n v="45736"/>
    <n v="0"/>
    <n v="1"/>
    <n v="0"/>
    <n v="1"/>
    <n v="-0.29245815427026739"/>
    <x v="368"/>
  </r>
  <r>
    <n v="1920"/>
    <n v="44"/>
    <n v="4"/>
    <n v="21"/>
    <n v="6"/>
    <n v="0"/>
    <n v="27"/>
    <s v="Together"/>
    <n v="40321"/>
    <n v="1"/>
    <n v="1"/>
    <n v="0"/>
    <n v="1"/>
    <n v="-0.54299778878577465"/>
    <x v="369"/>
  </r>
  <r>
    <n v="1921"/>
    <n v="46"/>
    <n v="1"/>
    <n v="12"/>
    <n v="3"/>
    <n v="0"/>
    <n v="9"/>
    <s v="Together"/>
    <n v="59062"/>
    <n v="2"/>
    <n v="1"/>
    <n v="0"/>
    <n v="1"/>
    <n v="0.32410531194462644"/>
    <x v="370"/>
  </r>
  <r>
    <n v="1927"/>
    <n v="399"/>
    <n v="27"/>
    <n v="159"/>
    <n v="58"/>
    <n v="8"/>
    <n v="39"/>
    <s v="Together"/>
    <n v="69401"/>
    <n v="0"/>
    <n v="1"/>
    <n v="0"/>
    <n v="1"/>
    <n v="0.80246713673794678"/>
    <x v="371"/>
  </r>
  <r>
    <n v="1928"/>
    <n v="35"/>
    <n v="3"/>
    <n v="20"/>
    <n v="4"/>
    <n v="1"/>
    <n v="20"/>
    <s v="Together"/>
    <n v="31814"/>
    <n v="1"/>
    <n v="0"/>
    <n v="0"/>
    <n v="1"/>
    <n v="-0.9365971739793888"/>
    <x v="372"/>
  </r>
  <r>
    <n v="1940"/>
    <n v="1"/>
    <n v="3"/>
    <n v="4"/>
    <n v="2"/>
    <n v="2"/>
    <n v="6"/>
    <s v="Together"/>
    <n v="25252"/>
    <n v="1"/>
    <n v="0"/>
    <n v="0"/>
    <n v="1"/>
    <n v="-1.2402058686591226"/>
    <x v="373"/>
  </r>
  <r>
    <n v="1945"/>
    <n v="711"/>
    <n v="36"/>
    <n v="217"/>
    <n v="172"/>
    <n v="96"/>
    <n v="168"/>
    <s v="Together"/>
    <n v="71434"/>
    <n v="0"/>
    <n v="1"/>
    <n v="0"/>
    <n v="1"/>
    <n v="0.89652938548587413"/>
    <x v="374"/>
  </r>
  <r>
    <n v="1951"/>
    <n v="228"/>
    <n v="122"/>
    <n v="122"/>
    <n v="208"/>
    <n v="129"/>
    <n v="30"/>
    <s v="Together"/>
    <n v="34445"/>
    <n v="0"/>
    <n v="0"/>
    <n v="0"/>
    <n v="1"/>
    <n v="-0.81486683632282375"/>
    <x v="375"/>
  </r>
  <r>
    <n v="1958"/>
    <n v="582"/>
    <n v="0"/>
    <n v="65"/>
    <n v="0"/>
    <n v="0"/>
    <n v="13"/>
    <s v="Together"/>
    <n v="55012"/>
    <n v="0"/>
    <n v="1"/>
    <n v="0"/>
    <n v="1"/>
    <n v="0.13672109776405311"/>
    <x v="376"/>
  </r>
  <r>
    <n v="1964"/>
    <n v="446"/>
    <n v="107"/>
    <n v="768"/>
    <n v="33"/>
    <n v="196"/>
    <n v="53"/>
    <s v="Together"/>
    <n v="86610"/>
    <n v="0"/>
    <n v="0"/>
    <n v="0"/>
    <n v="1"/>
    <n v="1.5986881100301655"/>
    <x v="377"/>
  </r>
  <r>
    <n v="1966"/>
    <n v="684"/>
    <n v="100"/>
    <n v="801"/>
    <n v="21"/>
    <n v="66"/>
    <n v="0"/>
    <s v="Together"/>
    <n v="84618"/>
    <n v="0"/>
    <n v="0"/>
    <n v="0"/>
    <n v="1"/>
    <n v="1.5065228372776467"/>
    <x v="378"/>
  </r>
  <r>
    <n v="1968"/>
    <n v="5"/>
    <n v="1"/>
    <n v="5"/>
    <n v="10"/>
    <n v="0"/>
    <n v="7"/>
    <s v="Single"/>
    <n v="45684"/>
    <n v="1"/>
    <n v="0"/>
    <n v="1"/>
    <n v="0"/>
    <n v="-0.29486407504493156"/>
    <x v="379"/>
  </r>
  <r>
    <n v="1970"/>
    <n v="63"/>
    <n v="0"/>
    <n v="21"/>
    <n v="7"/>
    <n v="0"/>
    <n v="12"/>
    <s v="Together"/>
    <n v="34053"/>
    <n v="0"/>
    <n v="1"/>
    <n v="0"/>
    <n v="1"/>
    <n v="-0.83300377754721511"/>
    <x v="380"/>
  </r>
  <r>
    <n v="1987"/>
    <n v="1"/>
    <n v="10"/>
    <n v="11"/>
    <n v="19"/>
    <n v="3"/>
    <n v="15"/>
    <s v="Single"/>
    <n v="21063"/>
    <n v="1"/>
    <n v="0"/>
    <n v="1"/>
    <n v="0"/>
    <n v="-1.4340212941412021"/>
    <x v="381"/>
  </r>
  <r>
    <n v="1990"/>
    <n v="965"/>
    <n v="34"/>
    <n v="586"/>
    <n v="89"/>
    <n v="86"/>
    <n v="37"/>
    <s v="Single"/>
    <n v="63159"/>
    <n v="0"/>
    <n v="0"/>
    <n v="1"/>
    <n v="0"/>
    <n v="0.51366410836383847"/>
    <x v="382"/>
  </r>
  <r>
    <n v="1991"/>
    <n v="78"/>
    <n v="0"/>
    <n v="11"/>
    <n v="0"/>
    <n v="0"/>
    <n v="7"/>
    <s v="Together"/>
    <n v="44931"/>
    <n v="0"/>
    <n v="1"/>
    <n v="0"/>
    <n v="1"/>
    <n v="-0.32970365857035666"/>
    <x v="383"/>
  </r>
  <r>
    <n v="1992"/>
    <n v="522"/>
    <n v="0"/>
    <n v="257"/>
    <n v="32"/>
    <n v="16"/>
    <n v="66"/>
    <s v="Together"/>
    <n v="60597"/>
    <n v="0"/>
    <n v="1"/>
    <n v="0"/>
    <n v="1"/>
    <n v="0.39512624250442396"/>
    <x v="384"/>
  </r>
  <r>
    <n v="1993"/>
    <n v="867"/>
    <n v="0"/>
    <n v="86"/>
    <n v="0"/>
    <n v="0"/>
    <n v="19"/>
    <s v="Together"/>
    <n v="58607"/>
    <n v="0"/>
    <n v="1"/>
    <n v="0"/>
    <n v="1"/>
    <n v="0.30305350516631513"/>
    <x v="385"/>
  </r>
  <r>
    <n v="2002"/>
    <n v="587"/>
    <n v="51"/>
    <n v="932"/>
    <n v="180"/>
    <n v="34"/>
    <n v="86"/>
    <s v="Single"/>
    <n v="71964"/>
    <n v="0"/>
    <n v="0"/>
    <n v="1"/>
    <n v="0"/>
    <n v="0.92105127030456646"/>
    <x v="386"/>
  </r>
  <r>
    <n v="2004"/>
    <n v="619"/>
    <n v="54"/>
    <n v="260"/>
    <n v="127"/>
    <n v="54"/>
    <n v="54"/>
    <s v="Single"/>
    <n v="72679"/>
    <n v="0"/>
    <n v="1"/>
    <n v="1"/>
    <n v="0"/>
    <n v="0.95413268095619852"/>
    <x v="387"/>
  </r>
  <r>
    <n v="2005"/>
    <n v="22"/>
    <n v="3"/>
    <n v="30"/>
    <n v="0"/>
    <n v="5"/>
    <n v="15"/>
    <s v="Together"/>
    <n v="35765"/>
    <n v="1"/>
    <n v="0"/>
    <n v="0"/>
    <n v="1"/>
    <n v="-0.75379346281211834"/>
    <x v="388"/>
  </r>
  <r>
    <n v="2008"/>
    <n v="372"/>
    <n v="23"/>
    <n v="384"/>
    <n v="250"/>
    <n v="12"/>
    <n v="108"/>
    <s v="Together"/>
    <n v="77583"/>
    <n v="0"/>
    <n v="0"/>
    <n v="0"/>
    <n v="1"/>
    <n v="1.1810295170899101"/>
    <x v="389"/>
  </r>
  <r>
    <n v="2021"/>
    <n v="563"/>
    <n v="76"/>
    <n v="384"/>
    <n v="84"/>
    <n v="192"/>
    <n v="89"/>
    <s v="Together"/>
    <n v="61456"/>
    <n v="0"/>
    <n v="1"/>
    <n v="0"/>
    <n v="1"/>
    <n v="0.43487020299358758"/>
    <x v="390"/>
  </r>
  <r>
    <n v="2036"/>
    <n v="243"/>
    <n v="11"/>
    <n v="119"/>
    <n v="10"/>
    <n v="3"/>
    <n v="15"/>
    <s v="Together"/>
    <n v="57906"/>
    <n v="0"/>
    <n v="1"/>
    <n v="0"/>
    <n v="1"/>
    <n v="0.27061984241555415"/>
    <x v="391"/>
  </r>
  <r>
    <n v="2061"/>
    <n v="78"/>
    <n v="0"/>
    <n v="11"/>
    <n v="0"/>
    <n v="0"/>
    <n v="10"/>
    <s v="Together"/>
    <n v="50737"/>
    <n v="0"/>
    <n v="1"/>
    <n v="0"/>
    <n v="1"/>
    <n v="-6.1073350537663156E-2"/>
    <x v="392"/>
  </r>
  <r>
    <n v="2066"/>
    <n v="70"/>
    <n v="0"/>
    <n v="11"/>
    <n v="2"/>
    <n v="8"/>
    <n v="23"/>
    <s v="Together"/>
    <n v="38823"/>
    <n v="0"/>
    <n v="1"/>
    <n v="0"/>
    <n v="1"/>
    <n v="-0.61230681417898425"/>
    <x v="393"/>
  </r>
  <r>
    <n v="2072"/>
    <n v="896"/>
    <n v="10"/>
    <n v="101"/>
    <n v="13"/>
    <n v="10"/>
    <n v="34"/>
    <s v="Together"/>
    <n v="53374"/>
    <n v="0"/>
    <n v="1"/>
    <n v="0"/>
    <n v="1"/>
    <n v="6.0934593362132361E-2"/>
    <x v="394"/>
  </r>
  <r>
    <n v="2075"/>
    <n v="377"/>
    <n v="10"/>
    <n v="540"/>
    <n v="80"/>
    <n v="30"/>
    <n v="10"/>
    <s v="Together"/>
    <n v="72460"/>
    <n v="0"/>
    <n v="0"/>
    <n v="0"/>
    <n v="1"/>
    <n v="0.94400005307828605"/>
    <x v="395"/>
  </r>
  <r>
    <n v="2079"/>
    <n v="450"/>
    <n v="26"/>
    <n v="535"/>
    <n v="73"/>
    <n v="98"/>
    <n v="26"/>
    <s v="Together"/>
    <n v="81044"/>
    <n v="0"/>
    <n v="0"/>
    <n v="0"/>
    <n v="1"/>
    <n v="1.3411620517266913"/>
    <x v="396"/>
  </r>
  <r>
    <n v="2088"/>
    <n v="997"/>
    <n v="15"/>
    <n v="414"/>
    <n v="99"/>
    <n v="30"/>
    <n v="76"/>
    <s v="Together"/>
    <n v="84906"/>
    <n v="0"/>
    <n v="0"/>
    <n v="0"/>
    <n v="1"/>
    <n v="1.5198479369527096"/>
    <x v="397"/>
  </r>
  <r>
    <n v="2098"/>
    <n v="11"/>
    <n v="0"/>
    <n v="5"/>
    <n v="0"/>
    <n v="0"/>
    <n v="1"/>
    <s v="Together"/>
    <n v="33581"/>
    <n v="2"/>
    <n v="0"/>
    <n v="0"/>
    <n v="1"/>
    <n v="-0.85484213534801279"/>
    <x v="398"/>
  </r>
  <r>
    <n v="2106"/>
    <n v="0"/>
    <n v="6"/>
    <n v="3"/>
    <n v="7"/>
    <n v="6"/>
    <n v="12"/>
    <s v="Together"/>
    <n v="20130"/>
    <n v="0"/>
    <n v="0"/>
    <n v="0"/>
    <n v="1"/>
    <n v="-1.4771890649635415"/>
    <x v="399"/>
  </r>
  <r>
    <n v="2109"/>
    <n v="448"/>
    <n v="71"/>
    <n v="951"/>
    <n v="40"/>
    <n v="17"/>
    <n v="17"/>
    <s v="Single"/>
    <n v="96843"/>
    <n v="0"/>
    <n v="0"/>
    <n v="1"/>
    <n v="0"/>
    <n v="2.0721455578597476"/>
    <x v="400"/>
  </r>
  <r>
    <n v="2114"/>
    <n v="1006"/>
    <n v="22"/>
    <n v="115"/>
    <n v="59"/>
    <n v="68"/>
    <n v="45"/>
    <s v="Single"/>
    <n v="82800"/>
    <n v="0"/>
    <n v="0"/>
    <n v="1"/>
    <n v="0"/>
    <n v="1.4224081455788116"/>
    <x v="401"/>
  </r>
  <r>
    <n v="2115"/>
    <n v="54"/>
    <n v="0"/>
    <n v="10"/>
    <n v="0"/>
    <n v="0"/>
    <n v="2"/>
    <s v="Together"/>
    <n v="50116"/>
    <n v="1"/>
    <n v="1"/>
    <n v="0"/>
    <n v="1"/>
    <n v="-8.9805596712017724E-2"/>
    <x v="402"/>
  </r>
  <r>
    <n v="2118"/>
    <n v="166"/>
    <n v="75"/>
    <n v="96"/>
    <n v="119"/>
    <n v="107"/>
    <n v="59"/>
    <s v="Together"/>
    <n v="62905"/>
    <n v="0"/>
    <n v="1"/>
    <n v="0"/>
    <n v="1"/>
    <n v="0.5019121107337482"/>
    <x v="403"/>
  </r>
  <r>
    <n v="2125"/>
    <n v="194"/>
    <n v="61"/>
    <n v="480"/>
    <n v="225"/>
    <n v="112"/>
    <n v="30"/>
    <s v="Single"/>
    <n v="63033"/>
    <n v="0"/>
    <n v="0"/>
    <n v="1"/>
    <n v="0"/>
    <n v="0.50783437725599845"/>
    <x v="404"/>
  </r>
  <r>
    <n v="2130"/>
    <n v="35"/>
    <n v="3"/>
    <n v="67"/>
    <n v="10"/>
    <n v="8"/>
    <n v="24"/>
    <s v="Together"/>
    <n v="45203"/>
    <n v="2"/>
    <n v="0"/>
    <n v="0"/>
    <n v="1"/>
    <n v="-0.31711884221057496"/>
    <x v="405"/>
  </r>
  <r>
    <n v="2131"/>
    <n v="1063"/>
    <n v="89"/>
    <n v="102"/>
    <n v="16"/>
    <n v="12"/>
    <n v="25"/>
    <s v="Single"/>
    <n v="62859"/>
    <n v="0"/>
    <n v="1"/>
    <n v="1"/>
    <n v="0"/>
    <n v="0.49978379620231456"/>
    <x v="406"/>
  </r>
  <r>
    <n v="2134"/>
    <n v="263"/>
    <n v="5"/>
    <n v="233"/>
    <n v="69"/>
    <n v="41"/>
    <n v="83"/>
    <s v="Single"/>
    <n v="53700"/>
    <n v="0"/>
    <n v="1"/>
    <n v="1"/>
    <n v="0"/>
    <n v="7.6017865910988386E-2"/>
    <x v="407"/>
  </r>
  <r>
    <n v="2139"/>
    <n v="3"/>
    <n v="1"/>
    <n v="10"/>
    <n v="3"/>
    <n v="2"/>
    <n v="12"/>
    <s v="Together"/>
    <n v="7500"/>
    <n v="1"/>
    <n v="0"/>
    <n v="0"/>
    <n v="1"/>
    <n v="-2.0615502069636999"/>
    <x v="90"/>
  </r>
  <r>
    <n v="2147"/>
    <n v="736"/>
    <n v="63"/>
    <n v="946"/>
    <n v="219"/>
    <n v="189"/>
    <n v="126"/>
    <s v="Together"/>
    <n v="76653"/>
    <n v="0"/>
    <n v="0"/>
    <n v="0"/>
    <n v="1"/>
    <n v="1.1380005493891858"/>
    <x v="408"/>
  </r>
  <r>
    <n v="2150"/>
    <n v="860"/>
    <n v="28"/>
    <n v="409"/>
    <n v="73"/>
    <n v="56"/>
    <n v="56"/>
    <s v="Single"/>
    <n v="80995"/>
    <n v="0"/>
    <n v="1"/>
    <n v="1"/>
    <n v="0"/>
    <n v="1.3388949340736425"/>
    <x v="409"/>
  </r>
  <r>
    <n v="2154"/>
    <n v="15"/>
    <n v="0"/>
    <n v="12"/>
    <n v="7"/>
    <n v="3"/>
    <n v="7"/>
    <s v="Single"/>
    <n v="30372"/>
    <n v="1"/>
    <n v="1"/>
    <n v="1"/>
    <n v="0"/>
    <n v="-1.0033152077691139"/>
    <x v="410"/>
  </r>
  <r>
    <n v="2156"/>
    <n v="27"/>
    <n v="0"/>
    <n v="10"/>
    <n v="0"/>
    <n v="0"/>
    <n v="4"/>
    <s v="Together"/>
    <n v="22554"/>
    <n v="1"/>
    <n v="1"/>
    <n v="0"/>
    <n v="1"/>
    <n v="-1.3650361426984281"/>
    <x v="411"/>
  </r>
  <r>
    <n v="2157"/>
    <n v="15"/>
    <n v="8"/>
    <n v="16"/>
    <n v="11"/>
    <n v="5"/>
    <n v="22"/>
    <s v="Together"/>
    <n v="26290"/>
    <n v="1"/>
    <n v="1"/>
    <n v="0"/>
    <n v="1"/>
    <n v="-1.1921799885802498"/>
    <x v="412"/>
  </r>
  <r>
    <n v="2162"/>
    <n v="256"/>
    <n v="34"/>
    <n v="103"/>
    <n v="90"/>
    <n v="29"/>
    <n v="49"/>
    <s v="Together"/>
    <n v="56939"/>
    <n v="0"/>
    <n v="1"/>
    <n v="0"/>
    <n v="1"/>
    <n v="0.22587896954824196"/>
    <x v="413"/>
  </r>
  <r>
    <n v="2166"/>
    <n v="12"/>
    <n v="1"/>
    <n v="3"/>
    <n v="0"/>
    <n v="0"/>
    <n v="7"/>
    <s v="Single"/>
    <n v="46779"/>
    <n v="1"/>
    <n v="1"/>
    <n v="1"/>
    <n v="0"/>
    <n v="-0.24420093565536913"/>
    <x v="414"/>
  </r>
  <r>
    <n v="2173"/>
    <n v="13"/>
    <n v="6"/>
    <n v="7"/>
    <n v="0"/>
    <n v="3"/>
    <n v="3"/>
    <s v="Single"/>
    <n v="40049"/>
    <n v="0"/>
    <n v="1"/>
    <n v="1"/>
    <n v="0"/>
    <n v="-0.55558260514555635"/>
    <x v="415"/>
  </r>
  <r>
    <n v="2174"/>
    <n v="11"/>
    <n v="1"/>
    <n v="6"/>
    <n v="2"/>
    <n v="1"/>
    <n v="6"/>
    <s v="Single"/>
    <n v="46344"/>
    <n v="1"/>
    <n v="1"/>
    <n v="1"/>
    <n v="0"/>
    <n v="-0.26432738828957886"/>
    <x v="416"/>
  </r>
  <r>
    <n v="2176"/>
    <n v="1218"/>
    <n v="16"/>
    <n v="272"/>
    <n v="104"/>
    <n v="0"/>
    <n v="80"/>
    <s v="Together"/>
    <n v="80134"/>
    <n v="1"/>
    <n v="0"/>
    <n v="0"/>
    <n v="1"/>
    <n v="1.2990584381700687"/>
    <x v="417"/>
  </r>
  <r>
    <n v="2181"/>
    <n v="353"/>
    <n v="61"/>
    <n v="753"/>
    <n v="40"/>
    <n v="46"/>
    <n v="27"/>
    <s v="Together"/>
    <n v="70617"/>
    <n v="0"/>
    <n v="0"/>
    <n v="0"/>
    <n v="1"/>
    <n v="0.85872866869932385"/>
    <x v="418"/>
  </r>
  <r>
    <n v="2186"/>
    <n v="938"/>
    <n v="142"/>
    <n v="754"/>
    <n v="159"/>
    <n v="81"/>
    <n v="183"/>
    <s v="Together"/>
    <n v="82326"/>
    <n v="0"/>
    <n v="0"/>
    <n v="0"/>
    <n v="1"/>
    <n v="1.4004772523636035"/>
    <x v="419"/>
  </r>
  <r>
    <n v="2202"/>
    <n v="44"/>
    <n v="2"/>
    <n v="11"/>
    <n v="2"/>
    <n v="3"/>
    <n v="7"/>
    <s v="Together"/>
    <n v="41154"/>
    <n v="0"/>
    <n v="1"/>
    <n v="0"/>
    <n v="1"/>
    <n v="-0.50445678868394317"/>
    <x v="420"/>
  </r>
  <r>
    <n v="2217"/>
    <n v="11"/>
    <n v="1"/>
    <n v="2"/>
    <n v="2"/>
    <n v="1"/>
    <n v="6"/>
    <s v="Together"/>
    <n v="37284"/>
    <n v="1"/>
    <n v="1"/>
    <n v="0"/>
    <n v="1"/>
    <n v="-0.68351281556760213"/>
    <x v="421"/>
  </r>
  <r>
    <n v="2223"/>
    <n v="1215"/>
    <n v="33"/>
    <n v="249"/>
    <n v="64"/>
    <n v="116"/>
    <n v="149"/>
    <s v="Single"/>
    <n v="64176"/>
    <n v="0"/>
    <n v="1"/>
    <n v="1"/>
    <n v="0"/>
    <n v="0.56071836659140473"/>
    <x v="422"/>
  </r>
  <r>
    <n v="2225"/>
    <n v="510"/>
    <n v="120"/>
    <n v="550"/>
    <n v="156"/>
    <n v="40"/>
    <n v="241"/>
    <s v="Single"/>
    <n v="82582"/>
    <n v="0"/>
    <n v="0"/>
    <n v="1"/>
    <n v="0"/>
    <n v="1.412321785408104"/>
    <x v="423"/>
  </r>
  <r>
    <n v="2230"/>
    <n v="27"/>
    <n v="2"/>
    <n v="14"/>
    <n v="0"/>
    <n v="0"/>
    <n v="0"/>
    <s v="Together"/>
    <n v="23626"/>
    <n v="1"/>
    <n v="0"/>
    <n v="0"/>
    <n v="1"/>
    <n v="-1.3154371605745825"/>
    <x v="424"/>
  </r>
  <r>
    <n v="2245"/>
    <n v="57"/>
    <n v="2"/>
    <n v="51"/>
    <n v="4"/>
    <n v="2"/>
    <n v="23"/>
    <s v="Together"/>
    <n v="43641"/>
    <n v="1"/>
    <n v="1"/>
    <n v="0"/>
    <n v="1"/>
    <n v="-0.38938900086490963"/>
    <x v="425"/>
  </r>
  <r>
    <n v="2254"/>
    <n v="627"/>
    <n v="120"/>
    <n v="414"/>
    <n v="121"/>
    <n v="80"/>
    <n v="93"/>
    <s v="Together"/>
    <n v="69520"/>
    <n v="0"/>
    <n v="0"/>
    <n v="0"/>
    <n v="1"/>
    <n v="0.80797299389535127"/>
    <x v="426"/>
  </r>
  <r>
    <n v="2256"/>
    <n v="17"/>
    <n v="0"/>
    <n v="3"/>
    <n v="0"/>
    <n v="0"/>
    <n v="1"/>
    <s v="Together"/>
    <n v="27159"/>
    <n v="1"/>
    <n v="1"/>
    <n v="0"/>
    <n v="1"/>
    <n v="-1.1519733510190355"/>
    <x v="427"/>
  </r>
  <r>
    <n v="2258"/>
    <n v="8"/>
    <n v="4"/>
    <n v="15"/>
    <n v="7"/>
    <n v="6"/>
    <n v="2"/>
    <s v="Together"/>
    <n v="32880"/>
    <n v="1"/>
    <n v="0"/>
    <n v="0"/>
    <n v="1"/>
    <n v="-0.88727579809877366"/>
    <x v="428"/>
  </r>
  <r>
    <n v="2261"/>
    <n v="4"/>
    <n v="1"/>
    <n v="5"/>
    <n v="2"/>
    <n v="0"/>
    <n v="4"/>
    <s v="Together"/>
    <n v="26304"/>
    <n v="1"/>
    <n v="0"/>
    <n v="0"/>
    <n v="1"/>
    <n v="-1.1915322406793787"/>
    <x v="429"/>
  </r>
  <r>
    <n v="2262"/>
    <n v="202"/>
    <n v="5"/>
    <n v="74"/>
    <n v="11"/>
    <n v="5"/>
    <n v="14"/>
    <s v="Together"/>
    <n v="45143"/>
    <n v="0"/>
    <n v="1"/>
    <n v="0"/>
    <n v="1"/>
    <n v="-0.31989490464287973"/>
    <x v="430"/>
  </r>
  <r>
    <n v="2276"/>
    <n v="430"/>
    <n v="16"/>
    <n v="322"/>
    <n v="43"/>
    <n v="24"/>
    <n v="33"/>
    <s v="Single"/>
    <n v="57959"/>
    <n v="0"/>
    <n v="1"/>
    <n v="1"/>
    <n v="0"/>
    <n v="0.27307203089742338"/>
    <x v="431"/>
  </r>
  <r>
    <n v="2278"/>
    <n v="4"/>
    <n v="17"/>
    <n v="19"/>
    <n v="30"/>
    <n v="24"/>
    <n v="39"/>
    <s v="Single"/>
    <n v="33812"/>
    <n v="1"/>
    <n v="0"/>
    <n v="1"/>
    <n v="0"/>
    <n v="-0.84415429498363925"/>
    <x v="432"/>
  </r>
  <r>
    <n v="2281"/>
    <n v="4"/>
    <n v="3"/>
    <n v="7"/>
    <n v="0"/>
    <n v="3"/>
    <n v="11"/>
    <s v="Single"/>
    <n v="33697"/>
    <n v="1"/>
    <n v="0"/>
    <n v="1"/>
    <n v="0"/>
    <n v="-0.84947508131222349"/>
    <x v="433"/>
  </r>
  <r>
    <n v="2285"/>
    <n v="213"/>
    <n v="9"/>
    <n v="76"/>
    <n v="4"/>
    <n v="3"/>
    <n v="30"/>
    <s v="Together"/>
    <n v="36634"/>
    <n v="0"/>
    <n v="1"/>
    <n v="0"/>
    <n v="1"/>
    <n v="-0.713586825250904"/>
    <x v="434"/>
  </r>
  <r>
    <n v="2286"/>
    <n v="64"/>
    <n v="1"/>
    <n v="21"/>
    <n v="0"/>
    <n v="1"/>
    <n v="27"/>
    <s v="Single"/>
    <n v="50785"/>
    <n v="1"/>
    <n v="1"/>
    <n v="1"/>
    <n v="0"/>
    <n v="-5.8852500591819325E-2"/>
    <x v="435"/>
  </r>
  <r>
    <n v="2292"/>
    <n v="5"/>
    <n v="4"/>
    <n v="8"/>
    <n v="2"/>
    <n v="0"/>
    <n v="5"/>
    <s v="Single"/>
    <n v="22327"/>
    <n v="1"/>
    <n v="0"/>
    <n v="1"/>
    <n v="0"/>
    <n v="-1.3755389122339812"/>
    <x v="436"/>
  </r>
  <r>
    <n v="2295"/>
    <n v="539"/>
    <n v="30"/>
    <n v="92"/>
    <n v="80"/>
    <n v="46"/>
    <n v="38"/>
    <s v="Together"/>
    <n v="62670"/>
    <n v="0"/>
    <n v="1"/>
    <n v="0"/>
    <n v="1"/>
    <n v="0.49103919954055447"/>
    <x v="437"/>
  </r>
  <r>
    <n v="2296"/>
    <n v="3"/>
    <n v="2"/>
    <n v="11"/>
    <n v="2"/>
    <n v="2"/>
    <n v="10"/>
    <s v="Together"/>
    <n v="37368"/>
    <n v="1"/>
    <n v="0"/>
    <n v="0"/>
    <n v="1"/>
    <n v="-0.67962632816237545"/>
    <x v="438"/>
  </r>
  <r>
    <n v="2304"/>
    <n v="625"/>
    <n v="7"/>
    <n v="99"/>
    <n v="10"/>
    <n v="22"/>
    <n v="7"/>
    <s v="Together"/>
    <n v="66313"/>
    <n v="0"/>
    <n v="1"/>
    <n v="0"/>
    <n v="1"/>
    <n v="0.65959245688866031"/>
    <x v="439"/>
  </r>
  <r>
    <n v="2308"/>
    <n v="110"/>
    <n v="5"/>
    <n v="137"/>
    <n v="26"/>
    <n v="23"/>
    <n v="29"/>
    <s v="Together"/>
    <n v="46734"/>
    <n v="0"/>
    <n v="1"/>
    <n v="0"/>
    <n v="1"/>
    <n v="-0.24628298247959771"/>
    <x v="440"/>
  </r>
  <r>
    <n v="2315"/>
    <n v="10"/>
    <n v="0"/>
    <n v="11"/>
    <n v="17"/>
    <n v="29"/>
    <n v="29"/>
    <s v="Single"/>
    <n v="58401"/>
    <n v="0"/>
    <n v="1"/>
    <n v="1"/>
    <n v="0"/>
    <n v="0.29352235748206867"/>
    <x v="441"/>
  </r>
  <r>
    <n v="2320"/>
    <n v="508"/>
    <n v="11"/>
    <n v="59"/>
    <n v="23"/>
    <n v="5"/>
    <n v="29"/>
    <s v="Together"/>
    <n v="47025"/>
    <n v="0"/>
    <n v="1"/>
    <n v="0"/>
    <n v="1"/>
    <n v="-0.23281907968291948"/>
    <x v="442"/>
  </r>
  <r>
    <n v="2324"/>
    <n v="625"/>
    <n v="38"/>
    <n v="242"/>
    <n v="50"/>
    <n v="34"/>
    <n v="76"/>
    <s v="Together"/>
    <n v="77044"/>
    <n v="0"/>
    <n v="1"/>
    <n v="0"/>
    <n v="1"/>
    <n v="1.156091222906372"/>
    <x v="443"/>
  </r>
  <r>
    <n v="2337"/>
    <n v="9"/>
    <n v="1"/>
    <n v="24"/>
    <n v="2"/>
    <n v="1"/>
    <n v="2"/>
    <s v="Single"/>
    <n v="29819"/>
    <n v="1"/>
    <n v="0"/>
    <n v="1"/>
    <n v="0"/>
    <n v="-1.028901249853523"/>
    <x v="444"/>
  </r>
  <r>
    <n v="2350"/>
    <n v="623"/>
    <n v="53"/>
    <n v="178"/>
    <n v="23"/>
    <n v="17"/>
    <n v="133"/>
    <s v="Together"/>
    <n v="59666"/>
    <n v="1"/>
    <n v="1"/>
    <n v="0"/>
    <n v="1"/>
    <n v="0.35205100709649467"/>
    <x v="445"/>
  </r>
  <r>
    <n v="2371"/>
    <n v="39"/>
    <n v="1"/>
    <n v="22"/>
    <n v="3"/>
    <n v="4"/>
    <n v="12"/>
    <s v="Together"/>
    <n v="33622"/>
    <n v="1"/>
    <n v="1"/>
    <n v="0"/>
    <n v="1"/>
    <n v="-0.85294515935260451"/>
    <x v="446"/>
  </r>
  <r>
    <n v="2375"/>
    <n v="8"/>
    <n v="0"/>
    <n v="5"/>
    <n v="0"/>
    <n v="3"/>
    <n v="6"/>
    <s v="Together"/>
    <n v="30261"/>
    <n v="1"/>
    <n v="2"/>
    <n v="0"/>
    <n v="1"/>
    <n v="-1.0084509232688779"/>
    <x v="447"/>
  </r>
  <r>
    <n v="2379"/>
    <n v="778"/>
    <n v="44"/>
    <n v="499"/>
    <n v="95"/>
    <n v="73"/>
    <n v="146"/>
    <s v="Single"/>
    <n v="69267"/>
    <n v="0"/>
    <n v="0"/>
    <n v="1"/>
    <n v="0"/>
    <n v="0.79626726397246617"/>
    <x v="448"/>
  </r>
  <r>
    <n v="2387"/>
    <n v="177"/>
    <n v="2"/>
    <n v="71"/>
    <n v="3"/>
    <n v="2"/>
    <n v="20"/>
    <s v="Together"/>
    <n v="43776"/>
    <n v="1"/>
    <n v="1"/>
    <n v="0"/>
    <n v="1"/>
    <n v="-0.38314286039222384"/>
    <x v="449"/>
  </r>
  <r>
    <n v="2404"/>
    <n v="173"/>
    <n v="4"/>
    <n v="30"/>
    <n v="3"/>
    <n v="6"/>
    <n v="41"/>
    <s v="Together"/>
    <n v="53359"/>
    <n v="1"/>
    <n v="1"/>
    <n v="0"/>
    <n v="1"/>
    <n v="6.0240577754056161E-2"/>
    <x v="450"/>
  </r>
  <r>
    <n v="2406"/>
    <n v="376"/>
    <n v="4"/>
    <n v="94"/>
    <n v="12"/>
    <n v="9"/>
    <n v="24"/>
    <s v="Together"/>
    <n v="54591"/>
    <n v="0"/>
    <n v="1"/>
    <n v="0"/>
    <n v="1"/>
    <n v="0.11724239303071451"/>
    <x v="451"/>
  </r>
  <r>
    <n v="2407"/>
    <n v="823"/>
    <n v="25"/>
    <n v="459"/>
    <n v="124"/>
    <n v="29"/>
    <n v="95"/>
    <s v="Together"/>
    <n v="69109"/>
    <n v="0"/>
    <n v="0"/>
    <n v="0"/>
    <n v="1"/>
    <n v="0.78895696623406353"/>
    <x v="452"/>
  </r>
  <r>
    <n v="2408"/>
    <n v="490"/>
    <n v="0"/>
    <n v="184"/>
    <n v="10"/>
    <n v="28"/>
    <n v="21"/>
    <s v="Together"/>
    <n v="58597"/>
    <n v="1"/>
    <n v="1"/>
    <n v="0"/>
    <n v="1"/>
    <n v="0.3025908280942643"/>
    <x v="453"/>
  </r>
  <r>
    <n v="2410"/>
    <n v="364"/>
    <n v="40"/>
    <n v="425"/>
    <n v="158"/>
    <n v="60"/>
    <n v="50"/>
    <s v="Single"/>
    <n v="81657"/>
    <n v="0"/>
    <n v="0"/>
    <n v="1"/>
    <n v="0"/>
    <n v="1.3695241562434053"/>
    <x v="454"/>
  </r>
  <r>
    <n v="2415"/>
    <n v="362"/>
    <n v="17"/>
    <n v="398"/>
    <n v="80"/>
    <n v="35"/>
    <n v="61"/>
    <s v="Together"/>
    <n v="62568"/>
    <n v="0"/>
    <n v="1"/>
    <n v="0"/>
    <n v="1"/>
    <n v="0.48631989340563631"/>
    <x v="455"/>
  </r>
  <r>
    <n v="2416"/>
    <n v="789"/>
    <n v="25"/>
    <n v="420"/>
    <n v="16"/>
    <n v="38"/>
    <n v="0"/>
    <s v="Single"/>
    <n v="66582"/>
    <n v="0"/>
    <n v="0"/>
    <n v="1"/>
    <n v="0"/>
    <n v="0.67203847012682683"/>
    <x v="456"/>
  </r>
  <r>
    <n v="2426"/>
    <n v="483"/>
    <n v="74"/>
    <n v="114"/>
    <n v="169"/>
    <n v="37"/>
    <n v="18"/>
    <s v="Single"/>
    <n v="78825"/>
    <n v="0"/>
    <n v="0"/>
    <n v="1"/>
    <n v="0"/>
    <n v="1.2384940094386192"/>
    <x v="457"/>
  </r>
  <r>
    <n v="2428"/>
    <n v="3"/>
    <n v="18"/>
    <n v="26"/>
    <n v="11"/>
    <n v="8"/>
    <n v="12"/>
    <s v="Together"/>
    <n v="28164"/>
    <n v="1"/>
    <n v="0"/>
    <n v="0"/>
    <n v="1"/>
    <n v="-1.1054743052779301"/>
    <x v="458"/>
  </r>
  <r>
    <n v="2429"/>
    <n v="531"/>
    <n v="69"/>
    <n v="300"/>
    <n v="150"/>
    <n v="138"/>
    <n v="150"/>
    <s v="Single"/>
    <n v="72071"/>
    <n v="0"/>
    <n v="1"/>
    <n v="1"/>
    <n v="0"/>
    <n v="0.92600191497550999"/>
    <x v="459"/>
  </r>
  <r>
    <n v="2431"/>
    <n v="12"/>
    <n v="4"/>
    <n v="19"/>
    <n v="12"/>
    <n v="6"/>
    <n v="14"/>
    <s v="Together"/>
    <n v="18222"/>
    <n v="0"/>
    <n v="0"/>
    <n v="0"/>
    <n v="1"/>
    <n v="-1.5654678503108339"/>
    <x v="460"/>
  </r>
  <r>
    <n v="2445"/>
    <n v="38"/>
    <n v="1"/>
    <n v="24"/>
    <n v="0"/>
    <n v="0"/>
    <n v="0"/>
    <s v="Together"/>
    <n v="28440"/>
    <n v="1"/>
    <n v="0"/>
    <n v="0"/>
    <n v="1"/>
    <n v="-1.0927044180893282"/>
    <x v="461"/>
  </r>
  <r>
    <n v="2447"/>
    <n v="4"/>
    <n v="12"/>
    <n v="15"/>
    <n v="19"/>
    <n v="7"/>
    <n v="12"/>
    <s v="Together"/>
    <n v="30545"/>
    <n v="1"/>
    <n v="0"/>
    <n v="0"/>
    <n v="1"/>
    <n v="-0.9953108944226351"/>
    <x v="462"/>
  </r>
  <r>
    <n v="2452"/>
    <n v="199"/>
    <n v="33"/>
    <n v="60"/>
    <n v="8"/>
    <n v="3"/>
    <n v="15"/>
    <s v="Together"/>
    <n v="34600"/>
    <n v="1"/>
    <n v="1"/>
    <n v="0"/>
    <n v="1"/>
    <n v="-0.80769534170603641"/>
    <x v="463"/>
  </r>
  <r>
    <n v="2453"/>
    <n v="526"/>
    <n v="28"/>
    <n v="135"/>
    <n v="10"/>
    <n v="21"/>
    <n v="99"/>
    <s v="Together"/>
    <n v="62807"/>
    <n v="0"/>
    <n v="1"/>
    <n v="0"/>
    <n v="1"/>
    <n v="0.49737787542765044"/>
    <x v="464"/>
  </r>
  <r>
    <n v="2456"/>
    <n v="80"/>
    <n v="4"/>
    <n v="46"/>
    <n v="0"/>
    <n v="17"/>
    <n v="2"/>
    <s v="Together"/>
    <n v="40233"/>
    <n v="0"/>
    <n v="1"/>
    <n v="0"/>
    <n v="1"/>
    <n v="-0.54706934701982168"/>
    <x v="465"/>
  </r>
  <r>
    <n v="2457"/>
    <n v="8"/>
    <n v="4"/>
    <n v="5"/>
    <n v="15"/>
    <n v="2"/>
    <n v="11"/>
    <s v="Together"/>
    <n v="30801"/>
    <n v="0"/>
    <n v="1"/>
    <n v="0"/>
    <n v="1"/>
    <n v="-0.9834663613781347"/>
    <x v="466"/>
  </r>
  <r>
    <n v="2461"/>
    <n v="26"/>
    <n v="1"/>
    <n v="11"/>
    <n v="0"/>
    <n v="1"/>
    <n v="4"/>
    <s v="Single"/>
    <n v="51124"/>
    <n v="1"/>
    <n v="1"/>
    <n v="1"/>
    <n v="0"/>
    <n v="-4.3167747849297257E-2"/>
    <x v="467"/>
  </r>
  <r>
    <n v="2471"/>
    <n v="48"/>
    <n v="58"/>
    <n v="68"/>
    <n v="16"/>
    <n v="66"/>
    <n v="43"/>
    <s v="Together"/>
    <n v="61482"/>
    <n v="0"/>
    <n v="0"/>
    <n v="0"/>
    <n v="1"/>
    <n v="0.43607316338091962"/>
    <x v="468"/>
  </r>
  <r>
    <n v="2478"/>
    <n v="2"/>
    <n v="2"/>
    <n v="4"/>
    <n v="13"/>
    <n v="13"/>
    <n v="4"/>
    <s v="Together"/>
    <n v="25410"/>
    <n v="1"/>
    <n v="0"/>
    <n v="0"/>
    <n v="1"/>
    <n v="-1.2328955709207201"/>
    <x v="469"/>
  </r>
  <r>
    <n v="2488"/>
    <n v="23"/>
    <n v="1"/>
    <n v="25"/>
    <n v="0"/>
    <n v="8"/>
    <n v="7"/>
    <s v="Single"/>
    <n v="31395"/>
    <n v="1"/>
    <n v="1"/>
    <n v="1"/>
    <n v="0"/>
    <n v="-0.95598334329831725"/>
    <x v="470"/>
  </r>
  <r>
    <n v="2493"/>
    <n v="356"/>
    <n v="0"/>
    <n v="107"/>
    <n v="19"/>
    <n v="9"/>
    <n v="117"/>
    <s v="Together"/>
    <n v="61286"/>
    <n v="0"/>
    <n v="1"/>
    <n v="0"/>
    <n v="1"/>
    <n v="0.42700469276872399"/>
    <x v="471"/>
  </r>
  <r>
    <n v="2495"/>
    <n v="217"/>
    <n v="38"/>
    <n v="350"/>
    <n v="111"/>
    <n v="85"/>
    <n v="15"/>
    <s v="Together"/>
    <n v="83891"/>
    <n v="0"/>
    <n v="1"/>
    <n v="0"/>
    <n v="1"/>
    <n v="1.4728862141395536"/>
    <x v="472"/>
  </r>
  <r>
    <n v="2499"/>
    <n v="204"/>
    <n v="97"/>
    <n v="97"/>
    <n v="21"/>
    <n v="118"/>
    <n v="26"/>
    <s v="Single"/>
    <n v="75342"/>
    <n v="0"/>
    <n v="1"/>
    <n v="1"/>
    <n v="0"/>
    <n v="1.0773435852433262"/>
    <x v="473"/>
  </r>
  <r>
    <n v="2516"/>
    <n v="22"/>
    <n v="2"/>
    <n v="10"/>
    <n v="6"/>
    <n v="4"/>
    <n v="34"/>
    <s v="Together"/>
    <n v="46831"/>
    <n v="1"/>
    <n v="1"/>
    <n v="0"/>
    <n v="1"/>
    <n v="-0.24179501488070498"/>
    <x v="474"/>
  </r>
  <r>
    <n v="2518"/>
    <n v="5"/>
    <n v="4"/>
    <n v="5"/>
    <n v="4"/>
    <n v="2"/>
    <n v="10"/>
    <s v="Together"/>
    <n v="20491"/>
    <n v="0"/>
    <n v="0"/>
    <n v="0"/>
    <n v="1"/>
    <n v="-1.4604864226625078"/>
    <x v="475"/>
  </r>
  <r>
    <n v="2521"/>
    <n v="23"/>
    <n v="1"/>
    <n v="13"/>
    <n v="2"/>
    <n v="2"/>
    <n v="18"/>
    <s v="Together"/>
    <n v="35178"/>
    <n v="1"/>
    <n v="0"/>
    <n v="0"/>
    <n v="1"/>
    <n v="-0.78095260694150026"/>
    <x v="476"/>
  </r>
  <r>
    <n v="2525"/>
    <n v="153"/>
    <n v="64"/>
    <n v="123"/>
    <n v="116"/>
    <n v="64"/>
    <n v="14"/>
    <s v="Together"/>
    <n v="38410"/>
    <n v="0"/>
    <n v="0"/>
    <n v="0"/>
    <n v="1"/>
    <n v="-0.63141537725468222"/>
    <x v="477"/>
  </r>
  <r>
    <n v="2532"/>
    <n v="982"/>
    <n v="73"/>
    <n v="351"/>
    <n v="56"/>
    <n v="14"/>
    <n v="175"/>
    <s v="Single"/>
    <n v="73454"/>
    <n v="0"/>
    <n v="0"/>
    <n v="1"/>
    <n v="0"/>
    <n v="0.98999015404013535"/>
    <x v="478"/>
  </r>
  <r>
    <n v="2534"/>
    <n v="97"/>
    <n v="1"/>
    <n v="41"/>
    <n v="6"/>
    <n v="2"/>
    <n v="41"/>
    <s v="Together"/>
    <n v="37716"/>
    <n v="0"/>
    <n v="1"/>
    <n v="0"/>
    <n v="1"/>
    <n v="-0.66352516605500766"/>
    <x v="479"/>
  </r>
  <r>
    <n v="2535"/>
    <n v="163"/>
    <n v="0"/>
    <n v="480"/>
    <n v="0"/>
    <n v="126"/>
    <n v="75"/>
    <s v="Together"/>
    <n v="88097"/>
    <n v="1"/>
    <n v="0"/>
    <n v="0"/>
    <n v="1"/>
    <n v="1.6674881906441195"/>
    <x v="480"/>
  </r>
  <r>
    <n v="2541"/>
    <n v="14"/>
    <n v="7"/>
    <n v="11"/>
    <n v="11"/>
    <n v="0"/>
    <n v="5"/>
    <s v="Together"/>
    <n v="24027"/>
    <n v="1"/>
    <n v="0"/>
    <n v="0"/>
    <n v="1"/>
    <n v="-1.2968838099853455"/>
    <x v="481"/>
  </r>
  <r>
    <n v="2544"/>
    <n v="50"/>
    <n v="1"/>
    <n v="27"/>
    <n v="6"/>
    <n v="7"/>
    <n v="1"/>
    <s v="Single"/>
    <n v="57530"/>
    <n v="0"/>
    <n v="1"/>
    <n v="1"/>
    <n v="0"/>
    <n v="0.25322318450644415"/>
    <x v="482"/>
  </r>
  <r>
    <n v="2546"/>
    <n v="23"/>
    <n v="4"/>
    <n v="5"/>
    <n v="10"/>
    <n v="5"/>
    <n v="23"/>
    <s v="Single"/>
    <n v="31878"/>
    <n v="0"/>
    <n v="1"/>
    <n v="1"/>
    <n v="0"/>
    <n v="-0.93363604071826367"/>
    <x v="483"/>
  </r>
  <r>
    <n v="2549"/>
    <n v="17"/>
    <n v="0"/>
    <n v="9"/>
    <n v="0"/>
    <n v="0"/>
    <n v="1"/>
    <s v="Together"/>
    <n v="21840"/>
    <n v="1"/>
    <n v="0"/>
    <n v="0"/>
    <n v="1"/>
    <n v="-1.398071285642855"/>
    <x v="484"/>
  </r>
  <r>
    <n v="2552"/>
    <n v="416"/>
    <n v="0"/>
    <n v="26"/>
    <n v="0"/>
    <n v="0"/>
    <n v="4"/>
    <s v="Single"/>
    <n v="55521"/>
    <n v="1"/>
    <n v="2"/>
    <n v="1"/>
    <n v="0"/>
    <n v="0.16027136073143877"/>
    <x v="485"/>
  </r>
  <r>
    <n v="2557"/>
    <n v="7"/>
    <n v="1"/>
    <n v="6"/>
    <n v="3"/>
    <n v="1"/>
    <n v="11"/>
    <s v="Single"/>
    <n v="29548"/>
    <n v="1"/>
    <n v="0"/>
    <n v="1"/>
    <n v="0"/>
    <n v="-1.0414397985060997"/>
    <x v="486"/>
  </r>
  <r>
    <n v="2563"/>
    <n v="1"/>
    <n v="9"/>
    <n v="7"/>
    <n v="2"/>
    <n v="14"/>
    <n v="10"/>
    <s v="Together"/>
    <n v="28249"/>
    <n v="0"/>
    <n v="0"/>
    <n v="0"/>
    <n v="1"/>
    <n v="-1.1015415501654984"/>
    <x v="487"/>
  </r>
  <r>
    <n v="2564"/>
    <n v="111"/>
    <n v="3"/>
    <n v="28"/>
    <n v="2"/>
    <n v="6"/>
    <n v="15"/>
    <s v="Together"/>
    <n v="61278"/>
    <n v="0"/>
    <n v="1"/>
    <n v="0"/>
    <n v="1"/>
    <n v="0.42663455111108334"/>
    <x v="488"/>
  </r>
  <r>
    <n v="2565"/>
    <n v="1016"/>
    <n v="12"/>
    <n v="215"/>
    <n v="16"/>
    <n v="12"/>
    <n v="63"/>
    <s v="Single"/>
    <n v="70638"/>
    <n v="0"/>
    <n v="0"/>
    <n v="1"/>
    <n v="0"/>
    <n v="0.85970029055063057"/>
    <x v="489"/>
  </r>
  <r>
    <n v="2569"/>
    <n v="3"/>
    <n v="14"/>
    <n v="17"/>
    <n v="6"/>
    <n v="1"/>
    <n v="5"/>
    <s v="Together"/>
    <n v="17323"/>
    <n v="0"/>
    <n v="0"/>
    <n v="0"/>
    <n v="1"/>
    <n v="-1.6070625190882006"/>
    <x v="490"/>
  </r>
  <r>
    <n v="2570"/>
    <n v="691"/>
    <n v="7"/>
    <n v="61"/>
    <n v="10"/>
    <n v="0"/>
    <n v="46"/>
    <s v="Together"/>
    <n v="56534"/>
    <n v="0"/>
    <n v="1"/>
    <n v="0"/>
    <n v="1"/>
    <n v="0.20714054813018462"/>
    <x v="491"/>
  </r>
  <r>
    <n v="2574"/>
    <n v="1050"/>
    <n v="12"/>
    <n v="144"/>
    <n v="0"/>
    <n v="0"/>
    <n v="24"/>
    <s v="Together"/>
    <n v="61996"/>
    <n v="0"/>
    <n v="1"/>
    <n v="0"/>
    <n v="1"/>
    <n v="0.45985476488433069"/>
    <x v="492"/>
  </r>
  <r>
    <n v="2579"/>
    <n v="495"/>
    <n v="33"/>
    <n v="255"/>
    <n v="11"/>
    <n v="33"/>
    <n v="8"/>
    <s v="Together"/>
    <n v="71113"/>
    <n v="0"/>
    <n v="1"/>
    <n v="0"/>
    <n v="1"/>
    <n v="0.88167745147304344"/>
    <x v="493"/>
  </r>
  <r>
    <n v="2587"/>
    <n v="14"/>
    <n v="0"/>
    <n v="6"/>
    <n v="0"/>
    <n v="0"/>
    <n v="0"/>
    <s v="Together"/>
    <n v="29791"/>
    <n v="1"/>
    <n v="0"/>
    <n v="0"/>
    <n v="1"/>
    <n v="-1.0301967456552652"/>
    <x v="494"/>
  </r>
  <r>
    <n v="2589"/>
    <n v="25"/>
    <n v="3"/>
    <n v="16"/>
    <n v="8"/>
    <n v="5"/>
    <n v="2"/>
    <s v="Single"/>
    <n v="26759"/>
    <n v="1"/>
    <n v="0"/>
    <n v="1"/>
    <n v="0"/>
    <n v="-1.1704804339010673"/>
    <x v="495"/>
  </r>
  <r>
    <n v="2591"/>
    <n v="526"/>
    <n v="35"/>
    <n v="214"/>
    <n v="69"/>
    <n v="53"/>
    <n v="35"/>
    <s v="Single"/>
    <n v="76320"/>
    <n v="0"/>
    <n v="1"/>
    <n v="1"/>
    <n v="0"/>
    <n v="1.1225934028898941"/>
    <x v="496"/>
  </r>
  <r>
    <n v="2607"/>
    <n v="424"/>
    <n v="17"/>
    <n v="118"/>
    <n v="7"/>
    <n v="23"/>
    <n v="41"/>
    <s v="Single"/>
    <n v="40464"/>
    <n v="0"/>
    <n v="1"/>
    <n v="1"/>
    <n v="0"/>
    <n v="-0.53638150665544826"/>
    <x v="497"/>
  </r>
  <r>
    <n v="2611"/>
    <n v="1206"/>
    <n v="55"/>
    <n v="445"/>
    <n v="168"/>
    <n v="18"/>
    <n v="18"/>
    <s v="Together"/>
    <n v="82576"/>
    <n v="0"/>
    <n v="0"/>
    <n v="0"/>
    <n v="1"/>
    <n v="1.4120441791648737"/>
    <x v="498"/>
  </r>
  <r>
    <n v="2612"/>
    <n v="754"/>
    <n v="160"/>
    <n v="625"/>
    <n v="63"/>
    <n v="32"/>
    <n v="48"/>
    <s v="Together"/>
    <n v="75794"/>
    <n v="0"/>
    <n v="0"/>
    <n v="0"/>
    <n v="1"/>
    <n v="1.0982565889000222"/>
    <x v="499"/>
  </r>
  <r>
    <n v="2613"/>
    <n v="162"/>
    <n v="6"/>
    <n v="37"/>
    <n v="6"/>
    <n v="13"/>
    <n v="13"/>
    <s v="Together"/>
    <n v="54197"/>
    <n v="0"/>
    <n v="1"/>
    <n v="0"/>
    <n v="1"/>
    <n v="9.9012916391913064E-2"/>
    <x v="500"/>
  </r>
  <r>
    <n v="2620"/>
    <n v="14"/>
    <n v="0"/>
    <n v="2"/>
    <n v="0"/>
    <n v="0"/>
    <n v="7"/>
    <s v="Together"/>
    <n v="34596"/>
    <n v="1"/>
    <n v="0"/>
    <n v="0"/>
    <n v="1"/>
    <n v="-0.80788041253485676"/>
    <x v="501"/>
  </r>
  <r>
    <n v="2625"/>
    <n v="156"/>
    <n v="29"/>
    <n v="56"/>
    <n v="30"/>
    <n v="32"/>
    <n v="47"/>
    <s v="Single"/>
    <n v="42607"/>
    <n v="0"/>
    <n v="1"/>
    <n v="1"/>
    <n v="0"/>
    <n v="-0.4372298101149622"/>
    <x v="502"/>
  </r>
  <r>
    <n v="2631"/>
    <n v="358"/>
    <n v="108"/>
    <n v="413"/>
    <n v="141"/>
    <n v="97"/>
    <n v="32"/>
    <s v="Together"/>
    <n v="71853"/>
    <n v="0"/>
    <n v="0"/>
    <n v="0"/>
    <n v="1"/>
    <n v="0.91591555480480258"/>
    <x v="503"/>
  </r>
  <r>
    <n v="2632"/>
    <n v="297"/>
    <n v="0"/>
    <n v="38"/>
    <n v="13"/>
    <n v="0"/>
    <n v="152"/>
    <s v="Together"/>
    <n v="50501"/>
    <n v="1"/>
    <n v="1"/>
    <n v="0"/>
    <n v="1"/>
    <n v="-7.1992529438061989E-2"/>
    <x v="504"/>
  </r>
  <r>
    <n v="2634"/>
    <n v="5"/>
    <n v="7"/>
    <n v="31"/>
    <n v="15"/>
    <n v="4"/>
    <n v="7"/>
    <s v="Single"/>
    <n v="16653"/>
    <n v="1"/>
    <n v="0"/>
    <n v="1"/>
    <n v="0"/>
    <n v="-1.6380618829156042"/>
    <x v="505"/>
  </r>
  <r>
    <n v="2639"/>
    <n v="19"/>
    <n v="5"/>
    <n v="12"/>
    <n v="10"/>
    <n v="3"/>
    <n v="19"/>
    <s v="Single"/>
    <n v="43602"/>
    <n v="1"/>
    <n v="1"/>
    <n v="1"/>
    <n v="0"/>
    <n v="-0.39119344144590773"/>
    <x v="506"/>
  </r>
  <r>
    <n v="2656"/>
    <n v="23"/>
    <n v="1"/>
    <n v="7"/>
    <n v="0"/>
    <n v="4"/>
    <n v="24"/>
    <s v="Single"/>
    <n v="40851"/>
    <n v="1"/>
    <n v="1"/>
    <n v="1"/>
    <n v="0"/>
    <n v="-0.51847590396708232"/>
    <x v="507"/>
  </r>
  <r>
    <n v="2661"/>
    <n v="12"/>
    <n v="4"/>
    <n v="2"/>
    <n v="10"/>
    <n v="6"/>
    <n v="10"/>
    <s v="Single"/>
    <n v="18701"/>
    <n v="1"/>
    <n v="1"/>
    <n v="1"/>
    <n v="0"/>
    <n v="-1.5433056185596006"/>
    <x v="508"/>
  </r>
  <r>
    <n v="2666"/>
    <n v="519"/>
    <n v="50"/>
    <n v="167"/>
    <n v="130"/>
    <n v="0"/>
    <n v="41"/>
    <s v="Together"/>
    <n v="76234"/>
    <n v="0"/>
    <n v="1"/>
    <n v="0"/>
    <n v="1"/>
    <n v="1.1186143800702573"/>
    <x v="509"/>
  </r>
  <r>
    <n v="2669"/>
    <n v="375"/>
    <n v="152"/>
    <n v="335"/>
    <n v="93"/>
    <n v="91"/>
    <n v="81"/>
    <s v="Single"/>
    <n v="74293"/>
    <n v="0"/>
    <n v="0"/>
    <n v="1"/>
    <n v="0"/>
    <n v="1.0288087603851974"/>
    <x v="510"/>
  </r>
  <r>
    <n v="2674"/>
    <n v="543"/>
    <n v="10"/>
    <n v="205"/>
    <n v="160"/>
    <n v="143"/>
    <n v="82"/>
    <s v="Single"/>
    <n v="75154"/>
    <n v="0"/>
    <n v="1"/>
    <n v="1"/>
    <n v="0"/>
    <n v="1.0686452562887712"/>
    <x v="511"/>
  </r>
  <r>
    <n v="2677"/>
    <n v="72"/>
    <n v="24"/>
    <n v="68"/>
    <n v="65"/>
    <n v="4"/>
    <n v="8"/>
    <s v="Together"/>
    <n v="46097"/>
    <n v="0"/>
    <n v="1"/>
    <n v="0"/>
    <n v="1"/>
    <n v="-0.27575551196923359"/>
    <x v="512"/>
  </r>
  <r>
    <n v="2678"/>
    <n v="52"/>
    <n v="12"/>
    <n v="50"/>
    <n v="4"/>
    <n v="36"/>
    <n v="55"/>
    <s v="Single"/>
    <n v="34412"/>
    <n v="1"/>
    <n v="0"/>
    <n v="1"/>
    <n v="0"/>
    <n v="-0.81639367066059143"/>
    <x v="513"/>
  </r>
  <r>
    <n v="2681"/>
    <n v="71"/>
    <n v="22"/>
    <n v="112"/>
    <n v="138"/>
    <n v="89"/>
    <n v="29"/>
    <s v="Together"/>
    <n v="65370"/>
    <n v="0"/>
    <n v="0"/>
    <n v="0"/>
    <n v="1"/>
    <n v="0.61596200899427"/>
    <x v="514"/>
  </r>
  <r>
    <n v="2683"/>
    <n v="295"/>
    <n v="106"/>
    <n v="271"/>
    <n v="75"/>
    <n v="98"/>
    <n v="65"/>
    <s v="Together"/>
    <n v="52413"/>
    <n v="0"/>
    <n v="2"/>
    <n v="0"/>
    <n v="1"/>
    <n v="1.6471326738050643E-2"/>
    <x v="515"/>
  </r>
  <r>
    <n v="2686"/>
    <n v="0"/>
    <n v="1"/>
    <n v="4"/>
    <n v="15"/>
    <n v="1"/>
    <n v="5"/>
    <s v="Together"/>
    <n v="22390"/>
    <n v="0"/>
    <n v="0"/>
    <n v="0"/>
    <n v="1"/>
    <n v="-1.3726240466800612"/>
    <x v="516"/>
  </r>
  <r>
    <n v="2694"/>
    <n v="21"/>
    <n v="0"/>
    <n v="3"/>
    <n v="0"/>
    <n v="0"/>
    <n v="0"/>
    <s v="Together"/>
    <n v="42664"/>
    <n v="0"/>
    <n v="1"/>
    <n v="0"/>
    <n v="1"/>
    <n v="-0.43459255080427261"/>
    <x v="517"/>
  </r>
  <r>
    <n v="2698"/>
    <n v="254"/>
    <n v="7"/>
    <n v="108"/>
    <n v="20"/>
    <n v="0"/>
    <n v="26"/>
    <s v="Single"/>
    <n v="47025"/>
    <n v="0"/>
    <n v="1"/>
    <n v="1"/>
    <n v="0"/>
    <n v="-0.23281907968291948"/>
    <x v="518"/>
  </r>
  <r>
    <n v="2711"/>
    <n v="9"/>
    <n v="1"/>
    <n v="5"/>
    <n v="4"/>
    <n v="5"/>
    <n v="7"/>
    <s v="Together"/>
    <n v="30560"/>
    <n v="1"/>
    <n v="0"/>
    <n v="0"/>
    <n v="1"/>
    <n v="-0.99461687881455896"/>
    <x v="519"/>
  </r>
  <r>
    <n v="2712"/>
    <n v="184"/>
    <n v="178"/>
    <n v="178"/>
    <n v="103"/>
    <n v="39"/>
    <n v="33"/>
    <s v="Together"/>
    <n v="71866"/>
    <n v="0"/>
    <n v="1"/>
    <n v="0"/>
    <n v="1"/>
    <n v="0.91651703499846859"/>
    <x v="520"/>
  </r>
  <r>
    <n v="2715"/>
    <n v="70"/>
    <n v="3"/>
    <n v="37"/>
    <n v="4"/>
    <n v="2"/>
    <n v="64"/>
    <s v="Single"/>
    <n v="29435"/>
    <n v="1"/>
    <n v="1"/>
    <n v="1"/>
    <n v="0"/>
    <n v="-1.0466680494202738"/>
    <x v="521"/>
  </r>
  <r>
    <n v="2724"/>
    <n v="12"/>
    <n v="0"/>
    <n v="1"/>
    <n v="0"/>
    <n v="0"/>
    <n v="6"/>
    <s v="Single"/>
    <n v="36143"/>
    <n v="1"/>
    <n v="0"/>
    <n v="1"/>
    <n v="0"/>
    <n v="-0.73630426948859817"/>
    <x v="522"/>
  </r>
  <r>
    <n v="2727"/>
    <n v="181"/>
    <n v="21"/>
    <n v="69"/>
    <n v="39"/>
    <n v="3"/>
    <n v="96"/>
    <s v="Together"/>
    <n v="57100"/>
    <n v="0"/>
    <n v="0"/>
    <n v="0"/>
    <n v="1"/>
    <n v="0.23332807040825981"/>
    <x v="523"/>
  </r>
  <r>
    <n v="2730"/>
    <n v="536"/>
    <n v="11"/>
    <n v="387"/>
    <n v="149"/>
    <n v="91"/>
    <n v="57"/>
    <s v="Single"/>
    <n v="80317"/>
    <n v="0"/>
    <n v="0"/>
    <n v="1"/>
    <n v="0"/>
    <n v="1.3075254285885982"/>
    <x v="524"/>
  </r>
  <r>
    <n v="2736"/>
    <n v="366"/>
    <n v="124"/>
    <n v="156"/>
    <n v="71"/>
    <n v="78"/>
    <n v="54"/>
    <s v="Together"/>
    <n v="73807"/>
    <n v="0"/>
    <n v="1"/>
    <n v="0"/>
    <n v="1"/>
    <n v="1.0063226546835287"/>
    <x v="525"/>
  </r>
  <r>
    <n v="2740"/>
    <n v="62"/>
    <n v="1"/>
    <n v="16"/>
    <n v="3"/>
    <n v="2"/>
    <n v="6"/>
    <s v="Single"/>
    <n v="33438"/>
    <n v="1"/>
    <n v="1"/>
    <n v="1"/>
    <n v="0"/>
    <n v="-0.86145841747833918"/>
    <x v="526"/>
  </r>
  <r>
    <n v="2747"/>
    <n v="864"/>
    <n v="134"/>
    <n v="768"/>
    <n v="150"/>
    <n v="38"/>
    <n v="172"/>
    <s v="Together"/>
    <n v="67546"/>
    <n v="0"/>
    <n v="0"/>
    <n v="0"/>
    <n v="1"/>
    <n v="0.71664053987252374"/>
    <x v="527"/>
  </r>
  <r>
    <n v="2781"/>
    <n v="1003"/>
    <n v="34"/>
    <n v="536"/>
    <n v="134"/>
    <n v="51"/>
    <n v="34"/>
    <s v="Single"/>
    <n v="72066"/>
    <n v="0"/>
    <n v="0"/>
    <n v="1"/>
    <n v="0"/>
    <n v="0.92577057643948457"/>
    <x v="528"/>
  </r>
  <r>
    <n v="2782"/>
    <n v="352"/>
    <n v="0"/>
    <n v="27"/>
    <n v="10"/>
    <n v="0"/>
    <n v="15"/>
    <s v="Together"/>
    <n v="54456"/>
    <n v="0"/>
    <n v="1"/>
    <n v="0"/>
    <n v="1"/>
    <n v="0.11099625255802874"/>
    <x v="529"/>
  </r>
  <r>
    <n v="2795"/>
    <n v="5"/>
    <n v="0"/>
    <n v="3"/>
    <n v="0"/>
    <n v="0"/>
    <n v="5"/>
    <s v="Single"/>
    <n v="30523"/>
    <n v="2"/>
    <n v="1"/>
    <n v="1"/>
    <n v="0"/>
    <n v="-0.99632878398114688"/>
    <x v="530"/>
  </r>
  <r>
    <n v="2797"/>
    <n v="707"/>
    <n v="20"/>
    <n v="171"/>
    <n v="65"/>
    <n v="60"/>
    <n v="50"/>
    <s v="Together"/>
    <n v="72117"/>
    <n v="0"/>
    <n v="1"/>
    <n v="0"/>
    <n v="1"/>
    <n v="0.92813022950694368"/>
    <x v="531"/>
  </r>
  <r>
    <n v="2798"/>
    <n v="763"/>
    <n v="29"/>
    <n v="138"/>
    <n v="76"/>
    <n v="176"/>
    <n v="58"/>
    <s v="Together"/>
    <n v="102160"/>
    <n v="0"/>
    <n v="0"/>
    <n v="0"/>
    <n v="1"/>
    <n v="2.318150957069157"/>
    <x v="532"/>
  </r>
  <r>
    <n v="2802"/>
    <n v="196"/>
    <n v="25"/>
    <n v="607"/>
    <n v="67"/>
    <n v="17"/>
    <n v="49"/>
    <s v="Together"/>
    <n v="87000"/>
    <n v="0"/>
    <n v="0"/>
    <n v="0"/>
    <n v="1"/>
    <n v="1.6167325158401469"/>
    <x v="533"/>
  </r>
  <r>
    <n v="2811"/>
    <n v="52"/>
    <n v="0"/>
    <n v="9"/>
    <n v="0"/>
    <n v="0"/>
    <n v="1"/>
    <s v="Single"/>
    <n v="48918"/>
    <n v="1"/>
    <n v="1"/>
    <n v="1"/>
    <n v="0"/>
    <n v="-0.14523430994370337"/>
    <x v="534"/>
  </r>
  <r>
    <n v="2815"/>
    <n v="7"/>
    <n v="5"/>
    <n v="39"/>
    <n v="17"/>
    <n v="15"/>
    <n v="37"/>
    <s v="Together"/>
    <n v="33183"/>
    <n v="1"/>
    <n v="0"/>
    <n v="0"/>
    <n v="1"/>
    <n v="-0.87325668281563451"/>
    <x v="535"/>
  </r>
  <r>
    <n v="2826"/>
    <n v="25"/>
    <n v="0"/>
    <n v="8"/>
    <n v="2"/>
    <n v="0"/>
    <n v="2"/>
    <s v="Together"/>
    <n v="22574"/>
    <n v="2"/>
    <n v="1"/>
    <n v="0"/>
    <n v="1"/>
    <n v="-1.3641107885543264"/>
    <x v="536"/>
  </r>
  <r>
    <n v="2829"/>
    <n v="626"/>
    <n v="0"/>
    <n v="70"/>
    <n v="0"/>
    <n v="7"/>
    <n v="28"/>
    <s v="Together"/>
    <n v="65210"/>
    <n v="0"/>
    <n v="1"/>
    <n v="0"/>
    <n v="1"/>
    <n v="0.60855917584145724"/>
    <x v="537"/>
  </r>
  <r>
    <n v="2831"/>
    <n v="453"/>
    <n v="38"/>
    <n v="279"/>
    <n v="188"/>
    <n v="38"/>
    <n v="183"/>
    <s v="Together"/>
    <n v="78416"/>
    <n v="0"/>
    <n v="1"/>
    <n v="0"/>
    <n v="1"/>
    <n v="1.2195705171917415"/>
    <x v="538"/>
  </r>
  <r>
    <n v="2836"/>
    <n v="10"/>
    <n v="1"/>
    <n v="7"/>
    <n v="0"/>
    <n v="0"/>
    <n v="1"/>
    <s v="Together"/>
    <n v="43269"/>
    <n v="1"/>
    <n v="0"/>
    <n v="0"/>
    <n v="1"/>
    <n v="-0.40660058794519932"/>
    <x v="539"/>
  </r>
  <r>
    <n v="2853"/>
    <n v="60"/>
    <n v="51"/>
    <n v="87"/>
    <n v="6"/>
    <n v="20"/>
    <n v="51"/>
    <s v="Single"/>
    <n v="51766"/>
    <n v="1"/>
    <n v="0"/>
    <n v="1"/>
    <n v="0"/>
    <n v="-1.3463879823636008E-2"/>
    <x v="540"/>
  </r>
  <r>
    <n v="2861"/>
    <n v="9"/>
    <n v="1"/>
    <n v="6"/>
    <n v="3"/>
    <n v="0"/>
    <n v="4"/>
    <s v="Single"/>
    <n v="24072"/>
    <n v="1"/>
    <n v="0"/>
    <n v="1"/>
    <n v="0"/>
    <n v="-1.2948017631611168"/>
    <x v="541"/>
  </r>
  <r>
    <n v="2868"/>
    <n v="20"/>
    <n v="1"/>
    <n v="28"/>
    <n v="3"/>
    <n v="3"/>
    <n v="2"/>
    <s v="Single"/>
    <n v="26518"/>
    <n v="1"/>
    <n v="1"/>
    <n v="1"/>
    <n v="0"/>
    <n v="-1.1816309513374916"/>
    <x v="542"/>
  </r>
  <r>
    <n v="2870"/>
    <n v="376"/>
    <n v="0"/>
    <n v="38"/>
    <n v="11"/>
    <n v="8"/>
    <n v="69"/>
    <s v="Together"/>
    <n v="49094"/>
    <n v="0"/>
    <n v="1"/>
    <n v="0"/>
    <n v="1"/>
    <n v="-0.13709119347560933"/>
    <x v="543"/>
  </r>
  <r>
    <n v="2874"/>
    <n v="6"/>
    <n v="4"/>
    <n v="7"/>
    <n v="4"/>
    <n v="3"/>
    <n v="8"/>
    <s v="Single"/>
    <n v="35388"/>
    <n v="1"/>
    <n v="0"/>
    <n v="1"/>
    <n v="0"/>
    <n v="-0.77123638842843345"/>
    <x v="544"/>
  </r>
  <r>
    <n v="2875"/>
    <n v="444"/>
    <n v="44"/>
    <n v="382"/>
    <n v="11"/>
    <n v="8"/>
    <n v="17"/>
    <s v="Together"/>
    <n v="67023"/>
    <n v="0"/>
    <n v="0"/>
    <n v="0"/>
    <n v="1"/>
    <n v="0.69244252900426695"/>
    <x v="545"/>
  </r>
  <r>
    <n v="2877"/>
    <n v="410"/>
    <n v="0"/>
    <n v="59"/>
    <n v="19"/>
    <n v="9"/>
    <n v="44"/>
    <s v="Together"/>
    <n v="46014"/>
    <n v="1"/>
    <n v="1"/>
    <n v="0"/>
    <n v="1"/>
    <n v="-0.27959573166725521"/>
    <x v="546"/>
  </r>
  <r>
    <n v="2878"/>
    <n v="162"/>
    <n v="31"/>
    <n v="127"/>
    <n v="8"/>
    <n v="17"/>
    <n v="69"/>
    <s v="Together"/>
    <n v="67472"/>
    <n v="0"/>
    <n v="1"/>
    <n v="0"/>
    <n v="1"/>
    <n v="0.71321672953934778"/>
    <x v="547"/>
  </r>
  <r>
    <n v="2882"/>
    <n v="711"/>
    <n v="28"/>
    <n v="142"/>
    <n v="49"/>
    <n v="18"/>
    <n v="47"/>
    <s v="Single"/>
    <n v="67893"/>
    <n v="0"/>
    <n v="1"/>
    <n v="1"/>
    <n v="0"/>
    <n v="0.73269543427268646"/>
    <x v="548"/>
  </r>
  <r>
    <n v="2886"/>
    <n v="1121"/>
    <n v="0"/>
    <n v="72"/>
    <n v="0"/>
    <n v="12"/>
    <n v="12"/>
    <s v="Single"/>
    <n v="74290"/>
    <n v="0"/>
    <n v="1"/>
    <n v="1"/>
    <n v="0"/>
    <n v="1.028669957263582"/>
    <x v="549"/>
  </r>
  <r>
    <n v="2891"/>
    <n v="595"/>
    <n v="23"/>
    <n v="123"/>
    <n v="10"/>
    <n v="23"/>
    <n v="154"/>
    <s v="Single"/>
    <n v="68118"/>
    <n v="0"/>
    <n v="1"/>
    <n v="1"/>
    <n v="0"/>
    <n v="0.74310566839382941"/>
    <x v="550"/>
  </r>
  <r>
    <n v="2894"/>
    <n v="1067"/>
    <n v="138"/>
    <n v="750"/>
    <n v="0"/>
    <n v="19"/>
    <n v="39"/>
    <s v="Single"/>
    <n v="72903"/>
    <n v="0"/>
    <n v="0"/>
    <n v="1"/>
    <n v="0"/>
    <n v="0.96449664737013641"/>
    <x v="551"/>
  </r>
  <r>
    <n v="2895"/>
    <n v="104"/>
    <n v="1"/>
    <n v="54"/>
    <n v="13"/>
    <n v="9"/>
    <n v="14"/>
    <s v="Single"/>
    <n v="49980"/>
    <n v="0"/>
    <n v="1"/>
    <n v="1"/>
    <n v="0"/>
    <n v="-9.6098004891908589E-2"/>
    <x v="552"/>
  </r>
  <r>
    <n v="2909"/>
    <n v="934"/>
    <n v="24"/>
    <n v="230"/>
    <n v="16"/>
    <n v="24"/>
    <n v="36"/>
    <s v="Together"/>
    <n v="78128"/>
    <n v="0"/>
    <n v="1"/>
    <n v="0"/>
    <n v="1"/>
    <n v="1.2062454175166786"/>
    <x v="553"/>
  </r>
  <r>
    <n v="2918"/>
    <n v="44"/>
    <n v="5"/>
    <n v="19"/>
    <n v="0"/>
    <n v="4"/>
    <n v="19"/>
    <s v="Single"/>
    <n v="28510"/>
    <n v="1"/>
    <n v="1"/>
    <n v="1"/>
    <n v="0"/>
    <n v="-1.0894656785849726"/>
    <x v="554"/>
  </r>
  <r>
    <n v="2920"/>
    <n v="789"/>
    <n v="0"/>
    <n v="142"/>
    <n v="12"/>
    <n v="9"/>
    <n v="38"/>
    <s v="Single"/>
    <n v="52614"/>
    <n v="0"/>
    <n v="1"/>
    <n v="1"/>
    <n v="0"/>
    <n v="2.5771135886271689E-2"/>
    <x v="555"/>
  </r>
  <r>
    <n v="2926"/>
    <n v="1241"/>
    <n v="0"/>
    <n v="80"/>
    <n v="0"/>
    <n v="13"/>
    <n v="40"/>
    <s v="Together"/>
    <n v="55951"/>
    <n v="0"/>
    <n v="1"/>
    <n v="0"/>
    <n v="1"/>
    <n v="0.18016647482962309"/>
    <x v="556"/>
  </r>
  <r>
    <n v="2929"/>
    <n v="18"/>
    <n v="42"/>
    <n v="24"/>
    <n v="15"/>
    <n v="20"/>
    <n v="18"/>
    <s v="Single"/>
    <n v="20180"/>
    <n v="0"/>
    <n v="0"/>
    <n v="1"/>
    <n v="0"/>
    <n v="-1.4748756796032876"/>
    <x v="557"/>
  </r>
  <r>
    <n v="2930"/>
    <n v="852"/>
    <n v="60"/>
    <n v="207"/>
    <n v="78"/>
    <n v="36"/>
    <n v="48"/>
    <s v="Single"/>
    <n v="68092"/>
    <n v="0"/>
    <n v="0"/>
    <n v="1"/>
    <n v="0"/>
    <n v="0.74190270800649727"/>
    <x v="558"/>
  </r>
  <r>
    <n v="2931"/>
    <n v="737"/>
    <n v="21"/>
    <n v="106"/>
    <n v="55"/>
    <n v="63"/>
    <n v="210"/>
    <s v="Single"/>
    <n v="71847"/>
    <n v="0"/>
    <n v="0"/>
    <n v="1"/>
    <n v="0"/>
    <n v="0.9156379485615721"/>
    <x v="559"/>
  </r>
  <r>
    <n v="2936"/>
    <n v="18"/>
    <n v="0"/>
    <n v="4"/>
    <n v="0"/>
    <n v="0"/>
    <n v="1"/>
    <s v="Together"/>
    <n v="23661"/>
    <n v="1"/>
    <n v="0"/>
    <n v="0"/>
    <n v="1"/>
    <n v="-1.3138177908224047"/>
    <x v="560"/>
  </r>
  <r>
    <n v="2937"/>
    <n v="614"/>
    <n v="16"/>
    <n v="132"/>
    <n v="43"/>
    <n v="33"/>
    <n v="33"/>
    <s v="Single"/>
    <n v="68352"/>
    <n v="0"/>
    <n v="1"/>
    <n v="1"/>
    <n v="0"/>
    <n v="0.75393231187981813"/>
    <x v="561"/>
  </r>
  <r>
    <n v="2939"/>
    <n v="751"/>
    <n v="127"/>
    <n v="687"/>
    <n v="20"/>
    <n v="15"/>
    <n v="31"/>
    <s v="Together"/>
    <n v="79419"/>
    <n v="0"/>
    <n v="0"/>
    <n v="0"/>
    <n v="1"/>
    <n v="1.2659770275184365"/>
    <x v="562"/>
  </r>
  <r>
    <n v="2942"/>
    <n v="305"/>
    <n v="3"/>
    <n v="27"/>
    <n v="4"/>
    <n v="3"/>
    <n v="144"/>
    <s v="Single"/>
    <n v="45906"/>
    <n v="0"/>
    <n v="1"/>
    <n v="1"/>
    <n v="0"/>
    <n v="-0.2845926440454038"/>
    <x v="563"/>
  </r>
  <r>
    <n v="2945"/>
    <n v="38"/>
    <n v="0"/>
    <n v="2"/>
    <n v="0"/>
    <n v="0"/>
    <n v="6"/>
    <s v="Together"/>
    <n v="46015"/>
    <n v="1"/>
    <n v="1"/>
    <n v="0"/>
    <n v="1"/>
    <n v="-0.27954946396005009"/>
    <x v="564"/>
  </r>
  <r>
    <n v="2948"/>
    <n v="104"/>
    <n v="12"/>
    <n v="48"/>
    <n v="4"/>
    <n v="12"/>
    <n v="5"/>
    <s v="Single"/>
    <n v="62637"/>
    <n v="0"/>
    <n v="1"/>
    <n v="1"/>
    <n v="0"/>
    <n v="0.48951236520278685"/>
    <x v="565"/>
  </r>
  <r>
    <n v="2952"/>
    <n v="29"/>
    <n v="3"/>
    <n v="30"/>
    <n v="3"/>
    <n v="2"/>
    <n v="9"/>
    <s v="Single"/>
    <n v="36273"/>
    <n v="1"/>
    <n v="0"/>
    <n v="1"/>
    <n v="0"/>
    <n v="-0.7302894675519378"/>
    <x v="566"/>
  </r>
  <r>
    <n v="2958"/>
    <n v="19"/>
    <n v="3"/>
    <n v="10"/>
    <n v="11"/>
    <n v="8"/>
    <n v="6"/>
    <s v="Together"/>
    <n v="28442"/>
    <n v="2"/>
    <n v="0"/>
    <n v="0"/>
    <n v="1"/>
    <n v="-1.092611882674918"/>
    <x v="567"/>
  </r>
  <r>
    <n v="2961"/>
    <n v="175"/>
    <n v="10"/>
    <n v="110"/>
    <n v="54"/>
    <n v="6"/>
    <n v="27"/>
    <s v="Together"/>
    <n v="42081"/>
    <n v="1"/>
    <n v="0"/>
    <n v="0"/>
    <n v="1"/>
    <n v="-0.46156662410483418"/>
    <x v="568"/>
  </r>
  <r>
    <n v="2963"/>
    <n v="709"/>
    <n v="93"/>
    <n v="374"/>
    <n v="104"/>
    <n v="80"/>
    <n v="80"/>
    <s v="Together"/>
    <n v="75507"/>
    <n v="0"/>
    <n v="0"/>
    <n v="0"/>
    <n v="1"/>
    <n v="1.0849777569321644"/>
    <x v="569"/>
  </r>
  <r>
    <n v="2964"/>
    <n v="3"/>
    <n v="10"/>
    <n v="8"/>
    <n v="3"/>
    <n v="16"/>
    <n v="32"/>
    <s v="Together"/>
    <n v="26872"/>
    <n v="0"/>
    <n v="0"/>
    <n v="0"/>
    <n v="1"/>
    <n v="-1.1652521829868934"/>
    <x v="570"/>
  </r>
  <r>
    <n v="2968"/>
    <n v="437"/>
    <n v="8"/>
    <n v="206"/>
    <n v="160"/>
    <n v="49"/>
    <n v="42"/>
    <s v="Single"/>
    <n v="48948"/>
    <n v="0"/>
    <n v="0"/>
    <n v="1"/>
    <n v="0"/>
    <n v="-0.14384627872755099"/>
    <x v="571"/>
  </r>
  <r>
    <n v="2975"/>
    <n v="717"/>
    <n v="42"/>
    <n v="864"/>
    <n v="219"/>
    <n v="30"/>
    <n v="84"/>
    <s v="Together"/>
    <n v="85606"/>
    <n v="0"/>
    <n v="1"/>
    <n v="0"/>
    <n v="1"/>
    <n v="1.5522353319962654"/>
    <x v="572"/>
  </r>
  <r>
    <n v="2980"/>
    <n v="12"/>
    <n v="0"/>
    <n v="13"/>
    <n v="4"/>
    <n v="2"/>
    <n v="4"/>
    <s v="Single"/>
    <n v="8820"/>
    <n v="1"/>
    <n v="1"/>
    <n v="1"/>
    <n v="0"/>
    <n v="-2.0004768334529945"/>
    <x v="573"/>
  </r>
  <r>
    <n v="2986"/>
    <n v="7"/>
    <n v="2"/>
    <n v="4"/>
    <n v="2"/>
    <n v="1"/>
    <n v="4"/>
    <s v="Together"/>
    <n v="30772"/>
    <n v="1"/>
    <n v="1"/>
    <n v="0"/>
    <n v="1"/>
    <n v="-0.98480812488708203"/>
    <x v="574"/>
  </r>
  <r>
    <n v="2995"/>
    <n v="291"/>
    <n v="10"/>
    <n v="689"/>
    <n v="84"/>
    <n v="10"/>
    <n v="0"/>
    <s v="Together"/>
    <n v="66636"/>
    <n v="0"/>
    <n v="0"/>
    <n v="0"/>
    <n v="1"/>
    <n v="0.67453692631590112"/>
    <x v="575"/>
  </r>
  <r>
    <n v="3005"/>
    <n v="530"/>
    <n v="117"/>
    <n v="678"/>
    <n v="134"/>
    <n v="44"/>
    <n v="147"/>
    <s v="Single"/>
    <n v="83528"/>
    <n v="0"/>
    <n v="0"/>
    <n v="1"/>
    <n v="0"/>
    <n v="1.4560910364241095"/>
    <x v="576"/>
  </r>
  <r>
    <n v="3006"/>
    <n v="17"/>
    <n v="0"/>
    <n v="14"/>
    <n v="7"/>
    <n v="3"/>
    <n v="2"/>
    <s v="Single"/>
    <n v="30992"/>
    <n v="1"/>
    <n v="0"/>
    <n v="1"/>
    <n v="0"/>
    <n v="-0.97462922930196438"/>
    <x v="577"/>
  </r>
  <r>
    <n v="3007"/>
    <n v="27"/>
    <n v="2"/>
    <n v="10"/>
    <n v="0"/>
    <n v="0"/>
    <n v="1"/>
    <s v="Together"/>
    <n v="37758"/>
    <n v="1"/>
    <n v="1"/>
    <n v="0"/>
    <n v="1"/>
    <n v="-0.66158192235239432"/>
    <x v="578"/>
  </r>
  <r>
    <n v="3009"/>
    <n v="1462"/>
    <n v="16"/>
    <n v="128"/>
    <n v="0"/>
    <n v="0"/>
    <n v="160"/>
    <s v="Single"/>
    <n v="71670"/>
    <n v="0"/>
    <n v="0"/>
    <n v="1"/>
    <n v="0"/>
    <n v="0.90744856438627297"/>
    <x v="579"/>
  </r>
  <r>
    <n v="3010"/>
    <n v="957"/>
    <n v="153"/>
    <n v="612"/>
    <n v="99"/>
    <n v="95"/>
    <n v="153"/>
    <s v="Together"/>
    <n v="88420"/>
    <n v="0"/>
    <n v="0"/>
    <n v="0"/>
    <n v="1"/>
    <n v="1.6824326600713602"/>
    <x v="580"/>
  </r>
  <r>
    <n v="3011"/>
    <n v="86"/>
    <n v="12"/>
    <n v="75"/>
    <n v="33"/>
    <n v="15"/>
    <n v="6"/>
    <s v="Together"/>
    <n v="69139"/>
    <n v="0"/>
    <n v="1"/>
    <n v="0"/>
    <n v="1"/>
    <n v="0.79034499745021591"/>
    <x v="581"/>
  </r>
  <r>
    <n v="3025"/>
    <n v="212"/>
    <n v="6"/>
    <n v="69"/>
    <n v="4"/>
    <n v="12"/>
    <n v="3"/>
    <s v="Single"/>
    <n v="49967"/>
    <n v="0"/>
    <n v="1"/>
    <n v="1"/>
    <n v="0"/>
    <n v="-9.6699485085574619E-2"/>
    <x v="582"/>
  </r>
  <r>
    <n v="3032"/>
    <n v="28"/>
    <n v="34"/>
    <n v="62"/>
    <n v="11"/>
    <n v="14"/>
    <n v="44"/>
    <s v="Together"/>
    <n v="24570"/>
    <n v="1"/>
    <n v="0"/>
    <n v="0"/>
    <n v="1"/>
    <n v="-1.2717604449729871"/>
    <x v="583"/>
  </r>
  <r>
    <n v="3033"/>
    <n v="112"/>
    <n v="17"/>
    <n v="44"/>
    <n v="34"/>
    <n v="22"/>
    <n v="89"/>
    <s v="Together"/>
    <n v="38620"/>
    <n v="0"/>
    <n v="0"/>
    <n v="0"/>
    <n v="1"/>
    <n v="-0.62169915874161552"/>
    <x v="584"/>
  </r>
  <r>
    <n v="3037"/>
    <n v="135"/>
    <n v="46"/>
    <n v="92"/>
    <n v="65"/>
    <n v="61"/>
    <n v="11"/>
    <s v="Together"/>
    <n v="50150"/>
    <n v="0"/>
    <n v="0"/>
    <n v="0"/>
    <n v="1"/>
    <n v="-8.8232494667045011E-2"/>
    <x v="585"/>
  </r>
  <r>
    <n v="3050"/>
    <n v="185"/>
    <n v="0"/>
    <n v="28"/>
    <n v="3"/>
    <n v="2"/>
    <n v="17"/>
    <s v="Together"/>
    <n v="54198"/>
    <n v="1"/>
    <n v="1"/>
    <n v="0"/>
    <n v="1"/>
    <n v="9.9059184099118139E-2"/>
    <x v="586"/>
  </r>
  <r>
    <n v="3056"/>
    <n v="587"/>
    <n v="43"/>
    <n v="337"/>
    <n v="42"/>
    <n v="87"/>
    <n v="54"/>
    <s v="Single"/>
    <n v="63693"/>
    <n v="0"/>
    <n v="1"/>
    <n v="1"/>
    <n v="0"/>
    <n v="0.53837106401135115"/>
    <x v="587"/>
  </r>
  <r>
    <n v="3066"/>
    <n v="167"/>
    <n v="0"/>
    <n v="43"/>
    <n v="6"/>
    <n v="2"/>
    <n v="13"/>
    <s v="Together"/>
    <n v="61905"/>
    <n v="0"/>
    <n v="1"/>
    <n v="0"/>
    <n v="1"/>
    <n v="0.45564440352866842"/>
    <x v="588"/>
  </r>
  <r>
    <n v="3068"/>
    <n v="1"/>
    <n v="12"/>
    <n v="9"/>
    <n v="0"/>
    <n v="14"/>
    <n v="7"/>
    <s v="Together"/>
    <n v="18351"/>
    <n v="0"/>
    <n v="0"/>
    <n v="0"/>
    <n v="1"/>
    <n v="-1.5594993160813786"/>
    <x v="589"/>
  </r>
  <r>
    <n v="3074"/>
    <n v="1218"/>
    <n v="107"/>
    <n v="304"/>
    <n v="23"/>
    <n v="143"/>
    <n v="33"/>
    <s v="Together"/>
    <n v="70643"/>
    <n v="0"/>
    <n v="0"/>
    <n v="0"/>
    <n v="1"/>
    <n v="0.85993162908665599"/>
    <x v="590"/>
  </r>
  <r>
    <n v="3075"/>
    <n v="130"/>
    <n v="30"/>
    <n v="168"/>
    <n v="20"/>
    <n v="34"/>
    <n v="0"/>
    <s v="Together"/>
    <n v="59973"/>
    <n v="0"/>
    <n v="0"/>
    <n v="0"/>
    <n v="1"/>
    <n v="0.36625519320845418"/>
    <x v="591"/>
  </r>
  <r>
    <n v="3076"/>
    <n v="452"/>
    <n v="18"/>
    <n v="102"/>
    <n v="16"/>
    <n v="18"/>
    <n v="6"/>
    <s v="Together"/>
    <n v="66653"/>
    <n v="1"/>
    <n v="1"/>
    <n v="0"/>
    <n v="1"/>
    <n v="0.67532347733838749"/>
    <x v="592"/>
  </r>
  <r>
    <n v="3081"/>
    <n v="7"/>
    <n v="2"/>
    <n v="6"/>
    <n v="2"/>
    <n v="0"/>
    <n v="3"/>
    <s v="Together"/>
    <n v="41014"/>
    <n v="1"/>
    <n v="0"/>
    <n v="0"/>
    <n v="1"/>
    <n v="-0.51093426769265438"/>
    <x v="593"/>
  </r>
  <r>
    <n v="3083"/>
    <n v="215"/>
    <n v="13"/>
    <n v="87"/>
    <n v="17"/>
    <n v="17"/>
    <n v="24"/>
    <s v="Together"/>
    <n v="45837"/>
    <n v="1"/>
    <n v="1"/>
    <n v="0"/>
    <n v="1"/>
    <n v="-0.28778511584255434"/>
    <x v="594"/>
  </r>
  <r>
    <n v="3099"/>
    <n v="183"/>
    <n v="5"/>
    <n v="65"/>
    <n v="3"/>
    <n v="5"/>
    <n v="49"/>
    <s v="Single"/>
    <n v="44267"/>
    <n v="1"/>
    <n v="1"/>
    <n v="1"/>
    <n v="0"/>
    <n v="-0.36042541615452967"/>
    <x v="595"/>
  </r>
  <r>
    <n v="3102"/>
    <n v="2"/>
    <n v="3"/>
    <n v="12"/>
    <n v="3"/>
    <n v="5"/>
    <n v="7"/>
    <s v="Together"/>
    <n v="19414"/>
    <n v="1"/>
    <n v="0"/>
    <n v="0"/>
    <n v="1"/>
    <n v="-1.5103167433223788"/>
    <x v="596"/>
  </r>
  <r>
    <n v="3104"/>
    <n v="830"/>
    <n v="59"/>
    <n v="968"/>
    <n v="51"/>
    <n v="79"/>
    <n v="19"/>
    <s v="Single"/>
    <n v="82332"/>
    <n v="0"/>
    <n v="0"/>
    <n v="1"/>
    <n v="0"/>
    <n v="1.4007548586068341"/>
    <x v="597"/>
  </r>
  <r>
    <n v="3107"/>
    <n v="121"/>
    <n v="24"/>
    <n v="124"/>
    <n v="24"/>
    <n v="15"/>
    <n v="42"/>
    <s v="Together"/>
    <n v="71322"/>
    <n v="0"/>
    <n v="1"/>
    <n v="0"/>
    <n v="1"/>
    <n v="0.89134740227890519"/>
    <x v="598"/>
  </r>
  <r>
    <n v="3112"/>
    <n v="2"/>
    <n v="4"/>
    <n v="9"/>
    <n v="0"/>
    <n v="4"/>
    <n v="5"/>
    <s v="Together"/>
    <n v="22701"/>
    <n v="1"/>
    <n v="0"/>
    <n v="0"/>
    <n v="1"/>
    <n v="-1.3582347897392812"/>
    <x v="599"/>
  </r>
  <r>
    <n v="3120"/>
    <n v="6"/>
    <n v="1"/>
    <n v="10"/>
    <n v="0"/>
    <n v="1"/>
    <n v="4"/>
    <s v="Together"/>
    <n v="38547"/>
    <n v="1"/>
    <n v="0"/>
    <n v="0"/>
    <n v="1"/>
    <n v="-0.62507670136758631"/>
    <x v="600"/>
  </r>
  <r>
    <n v="3129"/>
    <n v="5"/>
    <n v="3"/>
    <n v="11"/>
    <n v="12"/>
    <n v="5"/>
    <n v="9"/>
    <s v="Together"/>
    <n v="30096"/>
    <n v="1"/>
    <n v="0"/>
    <n v="0"/>
    <n v="1"/>
    <n v="-1.016085094957716"/>
    <x v="601"/>
  </r>
  <r>
    <n v="3136"/>
    <n v="317"/>
    <n v="25"/>
    <n v="265"/>
    <n v="25"/>
    <n v="19"/>
    <n v="12"/>
    <s v="Single"/>
    <n v="59432"/>
    <n v="0"/>
    <n v="1"/>
    <n v="1"/>
    <n v="0"/>
    <n v="0.34122436361050595"/>
    <x v="602"/>
  </r>
  <r>
    <n v="3138"/>
    <n v="1324"/>
    <n v="27"/>
    <n v="119"/>
    <n v="71"/>
    <n v="108"/>
    <n v="27"/>
    <s v="Single"/>
    <n v="91249"/>
    <n v="0"/>
    <n v="0"/>
    <n v="1"/>
    <n v="0"/>
    <n v="1.8133240037545311"/>
    <x v="603"/>
  </r>
  <r>
    <n v="3139"/>
    <n v="871"/>
    <n v="111"/>
    <n v="704"/>
    <n v="145"/>
    <n v="55"/>
    <n v="166"/>
    <s v="Single"/>
    <n v="74116"/>
    <n v="0"/>
    <n v="0"/>
    <n v="1"/>
    <n v="0"/>
    <n v="1.0206193762098983"/>
    <x v="604"/>
  </r>
  <r>
    <n v="3152"/>
    <n v="15"/>
    <n v="10"/>
    <n v="19"/>
    <n v="8"/>
    <n v="17"/>
    <n v="20"/>
    <s v="Together"/>
    <n v="26091"/>
    <n v="1"/>
    <n v="1"/>
    <n v="0"/>
    <n v="1"/>
    <n v="-1.2013872623140607"/>
    <x v="605"/>
  </r>
  <r>
    <n v="3153"/>
    <n v="11"/>
    <n v="0"/>
    <n v="4"/>
    <n v="0"/>
    <n v="0"/>
    <n v="2"/>
    <s v="Single"/>
    <n v="40737"/>
    <n v="2"/>
    <n v="1"/>
    <n v="1"/>
    <n v="0"/>
    <n v="-0.5237504225884615"/>
    <x v="606"/>
  </r>
  <r>
    <n v="3158"/>
    <n v="13"/>
    <n v="3"/>
    <n v="6"/>
    <n v="6"/>
    <n v="5"/>
    <n v="6"/>
    <s v="Together"/>
    <n v="32300"/>
    <n v="1"/>
    <n v="0"/>
    <n v="0"/>
    <n v="1"/>
    <n v="-0.91411106827772004"/>
    <x v="607"/>
  </r>
  <r>
    <n v="3170"/>
    <n v="389"/>
    <n v="66"/>
    <n v="408"/>
    <n v="37"/>
    <n v="57"/>
    <n v="85"/>
    <s v="Together"/>
    <n v="68148"/>
    <n v="0"/>
    <n v="0"/>
    <n v="0"/>
    <n v="1"/>
    <n v="0.7444936996099818"/>
    <x v="608"/>
  </r>
  <r>
    <n v="3174"/>
    <n v="1492"/>
    <n v="38"/>
    <n v="287"/>
    <n v="50"/>
    <n v="57"/>
    <n v="33"/>
    <s v="Together"/>
    <n v="87771"/>
    <n v="0"/>
    <n v="1"/>
    <n v="0"/>
    <n v="1"/>
    <n v="1.6524049180952634"/>
    <x v="609"/>
  </r>
  <r>
    <n v="3179"/>
    <n v="249"/>
    <n v="153"/>
    <n v="940"/>
    <n v="58"/>
    <n v="134"/>
    <n v="38"/>
    <s v="Single"/>
    <n v="81741"/>
    <n v="0"/>
    <n v="0"/>
    <n v="1"/>
    <n v="0"/>
    <n v="1.373410643648632"/>
    <x v="610"/>
  </r>
  <r>
    <n v="3182"/>
    <n v="96"/>
    <n v="1"/>
    <n v="79"/>
    <n v="7"/>
    <n v="1"/>
    <n v="79"/>
    <s v="Single"/>
    <n v="46854"/>
    <n v="1"/>
    <n v="1"/>
    <n v="1"/>
    <n v="0"/>
    <n v="-0.24073085761498814"/>
    <x v="611"/>
  </r>
  <r>
    <n v="3194"/>
    <n v="412"/>
    <n v="12"/>
    <n v="546"/>
    <n v="78"/>
    <n v="182"/>
    <n v="0"/>
    <s v="Single"/>
    <n v="71466"/>
    <n v="0"/>
    <n v="0"/>
    <n v="1"/>
    <n v="0"/>
    <n v="0.89800995211643664"/>
    <x v="612"/>
  </r>
  <r>
    <n v="3197"/>
    <n v="275"/>
    <n v="59"/>
    <n v="107"/>
    <n v="69"/>
    <n v="101"/>
    <n v="59"/>
    <s v="Together"/>
    <n v="77353"/>
    <n v="0"/>
    <n v="1"/>
    <n v="0"/>
    <n v="1"/>
    <n v="1.1703879444327416"/>
    <x v="613"/>
  </r>
  <r>
    <n v="3202"/>
    <n v="1166"/>
    <n v="0"/>
    <n v="48"/>
    <n v="0"/>
    <n v="0"/>
    <n v="36"/>
    <s v="Together"/>
    <n v="51563"/>
    <n v="0"/>
    <n v="0"/>
    <n v="0"/>
    <n v="1"/>
    <n v="-2.2856224386267214E-2"/>
    <x v="614"/>
  </r>
  <r>
    <n v="3220"/>
    <n v="29"/>
    <n v="12"/>
    <n v="59"/>
    <n v="19"/>
    <n v="1"/>
    <n v="36"/>
    <s v="Together"/>
    <n v="39922"/>
    <n v="1"/>
    <n v="0"/>
    <n v="0"/>
    <n v="1"/>
    <n v="-0.56145860396060154"/>
    <x v="615"/>
  </r>
  <r>
    <n v="3225"/>
    <n v="116"/>
    <n v="11"/>
    <n v="72"/>
    <n v="3"/>
    <n v="17"/>
    <n v="46"/>
    <s v="Together"/>
    <n v="42207"/>
    <n v="1"/>
    <n v="0"/>
    <n v="0"/>
    <n v="1"/>
    <n v="-0.4557368929969941"/>
    <x v="616"/>
  </r>
  <r>
    <n v="3231"/>
    <n v="5"/>
    <n v="4"/>
    <n v="10"/>
    <n v="2"/>
    <n v="2"/>
    <n v="7"/>
    <s v="Together"/>
    <n v="37971"/>
    <n v="1"/>
    <n v="0"/>
    <n v="0"/>
    <n v="1"/>
    <n v="-0.65172690071771233"/>
    <x v="617"/>
  </r>
  <r>
    <n v="3233"/>
    <n v="562"/>
    <n v="21"/>
    <n v="464"/>
    <n v="28"/>
    <n v="10"/>
    <n v="32"/>
    <s v="Together"/>
    <n v="62745"/>
    <n v="0"/>
    <n v="1"/>
    <n v="0"/>
    <n v="1"/>
    <n v="0.49450927758093544"/>
    <x v="618"/>
  </r>
  <r>
    <n v="3254"/>
    <n v="407"/>
    <n v="70"/>
    <n v="239"/>
    <n v="103"/>
    <n v="88"/>
    <n v="53"/>
    <s v="Together"/>
    <n v="70886"/>
    <n v="1"/>
    <n v="0"/>
    <n v="0"/>
    <n v="1"/>
    <n v="0.87117468193749037"/>
    <x v="619"/>
  </r>
  <r>
    <n v="3262"/>
    <n v="995"/>
    <n v="112"/>
    <n v="417"/>
    <n v="42"/>
    <n v="48"/>
    <n v="41"/>
    <s v="Single"/>
    <n v="68281"/>
    <n v="0"/>
    <n v="0"/>
    <n v="1"/>
    <n v="0"/>
    <n v="0.75064730466825746"/>
    <x v="620"/>
  </r>
  <r>
    <n v="3265"/>
    <n v="21"/>
    <n v="1"/>
    <n v="9"/>
    <n v="7"/>
    <n v="3"/>
    <n v="5"/>
    <s v="Together"/>
    <n v="35701"/>
    <n v="0"/>
    <n v="0"/>
    <n v="0"/>
    <n v="1"/>
    <n v="-0.75675459607324347"/>
    <x v="621"/>
  </r>
  <r>
    <n v="3267"/>
    <n v="527"/>
    <n v="0"/>
    <n v="21"/>
    <n v="0"/>
    <n v="0"/>
    <n v="60"/>
    <s v="Together"/>
    <n v="57288"/>
    <n v="0"/>
    <n v="1"/>
    <n v="0"/>
    <n v="1"/>
    <n v="0.24202639936281481"/>
    <x v="622"/>
  </r>
  <r>
    <n v="3270"/>
    <n v="12"/>
    <n v="23"/>
    <n v="38"/>
    <n v="30"/>
    <n v="18"/>
    <n v="7"/>
    <s v="Together"/>
    <n v="17117"/>
    <n v="1"/>
    <n v="0"/>
    <n v="0"/>
    <n v="1"/>
    <n v="-1.616593666772447"/>
    <x v="623"/>
  </r>
  <r>
    <n v="3276"/>
    <n v="11"/>
    <n v="12"/>
    <n v="35"/>
    <n v="3"/>
    <n v="5"/>
    <n v="12"/>
    <s v="Together"/>
    <n v="36301"/>
    <n v="1"/>
    <n v="0"/>
    <n v="0"/>
    <n v="1"/>
    <n v="-0.72899397175019565"/>
    <x v="624"/>
  </r>
  <r>
    <n v="3277"/>
    <n v="219"/>
    <n v="3"/>
    <n v="100"/>
    <n v="26"/>
    <n v="0"/>
    <n v="17"/>
    <s v="Single"/>
    <n v="49431"/>
    <n v="0"/>
    <n v="1"/>
    <n v="1"/>
    <n v="0"/>
    <n v="-0.12149897614749741"/>
    <x v="625"/>
  </r>
  <r>
    <n v="3281"/>
    <n v="206"/>
    <n v="10"/>
    <n v="67"/>
    <n v="30"/>
    <n v="27"/>
    <n v="71"/>
    <s v="Together"/>
    <n v="49154"/>
    <n v="1"/>
    <n v="1"/>
    <n v="0"/>
    <n v="1"/>
    <n v="-0.13431513104330453"/>
    <x v="626"/>
  </r>
  <r>
    <n v="3283"/>
    <n v="200"/>
    <n v="193"/>
    <n v="100"/>
    <n v="46"/>
    <n v="185"/>
    <n v="185"/>
    <s v="Together"/>
    <n v="70932"/>
    <n v="0"/>
    <n v="1"/>
    <n v="0"/>
    <n v="1"/>
    <n v="0.87330299646892406"/>
    <x v="627"/>
  </r>
  <r>
    <n v="3286"/>
    <n v="13"/>
    <n v="2"/>
    <n v="15"/>
    <n v="2"/>
    <n v="2"/>
    <n v="8"/>
    <s v="Single"/>
    <n v="26642"/>
    <n v="1"/>
    <n v="0"/>
    <n v="1"/>
    <n v="0"/>
    <n v="-1.1758937556440616"/>
    <x v="628"/>
  </r>
  <r>
    <n v="3298"/>
    <n v="856"/>
    <n v="0"/>
    <n v="76"/>
    <n v="12"/>
    <n v="9"/>
    <n v="199"/>
    <s v="Together"/>
    <n v="52973"/>
    <n v="0"/>
    <n v="1"/>
    <n v="0"/>
    <n v="1"/>
    <n v="4.2381242772895351E-2"/>
    <x v="629"/>
  </r>
  <r>
    <n v="3308"/>
    <n v="30"/>
    <n v="9"/>
    <n v="12"/>
    <n v="2"/>
    <n v="11"/>
    <n v="30"/>
    <s v="Together"/>
    <n v="35704"/>
    <n v="1"/>
    <n v="1"/>
    <n v="0"/>
    <n v="1"/>
    <n v="-0.75661579295162829"/>
    <x v="630"/>
  </r>
  <r>
    <n v="3310"/>
    <n v="73"/>
    <n v="3"/>
    <n v="90"/>
    <n v="12"/>
    <n v="1"/>
    <n v="32"/>
    <s v="Together"/>
    <n v="35688"/>
    <n v="2"/>
    <n v="1"/>
    <n v="0"/>
    <n v="1"/>
    <n v="-0.75735607626690948"/>
    <x v="631"/>
  </r>
  <r>
    <n v="3312"/>
    <n v="5"/>
    <n v="7"/>
    <n v="24"/>
    <n v="19"/>
    <n v="14"/>
    <n v="20"/>
    <s v="Single"/>
    <n v="34176"/>
    <n v="1"/>
    <n v="0"/>
    <n v="1"/>
    <n v="0"/>
    <n v="-0.82731284956099027"/>
    <x v="19"/>
  </r>
  <r>
    <n v="3321"/>
    <n v="421"/>
    <n v="5"/>
    <n v="90"/>
    <n v="0"/>
    <n v="16"/>
    <n v="10"/>
    <s v="Together"/>
    <n v="56575"/>
    <n v="0"/>
    <n v="2"/>
    <n v="0"/>
    <n v="1"/>
    <n v="0.2090375241255929"/>
    <x v="632"/>
  </r>
  <r>
    <n v="3332"/>
    <n v="64"/>
    <n v="4"/>
    <n v="68"/>
    <n v="7"/>
    <n v="5"/>
    <n v="17"/>
    <s v="Single"/>
    <n v="29760"/>
    <n v="1"/>
    <n v="0"/>
    <n v="1"/>
    <n v="0"/>
    <n v="-1.0316310445786228"/>
    <x v="633"/>
  </r>
  <r>
    <n v="3334"/>
    <n v="879"/>
    <n v="143"/>
    <n v="797"/>
    <n v="106"/>
    <n v="143"/>
    <n v="143"/>
    <s v="Together"/>
    <n v="94642"/>
    <n v="0"/>
    <n v="0"/>
    <n v="0"/>
    <n v="1"/>
    <n v="1.9703103343013668"/>
    <x v="634"/>
  </r>
  <r>
    <n v="3336"/>
    <n v="712"/>
    <n v="0"/>
    <n v="45"/>
    <n v="0"/>
    <n v="0"/>
    <n v="191"/>
    <s v="Together"/>
    <n v="66375"/>
    <n v="0"/>
    <n v="1"/>
    <n v="0"/>
    <n v="1"/>
    <n v="0.6624610547353752"/>
    <x v="635"/>
  </r>
  <r>
    <n v="3340"/>
    <n v="244"/>
    <n v="15"/>
    <n v="108"/>
    <n v="4"/>
    <n v="15"/>
    <n v="50"/>
    <s v="Together"/>
    <n v="42014"/>
    <n v="1"/>
    <n v="0"/>
    <n v="0"/>
    <n v="1"/>
    <n v="-0.46466656048757454"/>
    <x v="636"/>
  </r>
  <r>
    <n v="3376"/>
    <n v="125"/>
    <n v="6"/>
    <n v="73"/>
    <n v="8"/>
    <n v="4"/>
    <n v="19"/>
    <s v="Single"/>
    <n v="55282"/>
    <n v="1"/>
    <n v="0"/>
    <n v="1"/>
    <n v="0"/>
    <n v="0.14921337870942469"/>
    <x v="637"/>
  </r>
  <r>
    <n v="3381"/>
    <n v="70"/>
    <n v="0"/>
    <n v="16"/>
    <n v="0"/>
    <n v="0"/>
    <n v="4"/>
    <s v="Together"/>
    <n v="54348"/>
    <n v="1"/>
    <n v="1"/>
    <n v="0"/>
    <n v="1"/>
    <n v="0.10599934017988012"/>
    <x v="638"/>
  </r>
  <r>
    <n v="3386"/>
    <n v="34"/>
    <n v="4"/>
    <n v="66"/>
    <n v="3"/>
    <n v="10"/>
    <n v="20"/>
    <s v="Together"/>
    <n v="34935"/>
    <n v="0"/>
    <n v="0"/>
    <n v="0"/>
    <n v="1"/>
    <n v="-0.79219565979233464"/>
    <x v="639"/>
  </r>
  <r>
    <n v="3388"/>
    <n v="129"/>
    <n v="26"/>
    <n v="67"/>
    <n v="3"/>
    <n v="67"/>
    <n v="2"/>
    <s v="Single"/>
    <n v="70844"/>
    <n v="1"/>
    <n v="1"/>
    <n v="1"/>
    <n v="0"/>
    <n v="0.86923143823487703"/>
    <x v="640"/>
  </r>
  <r>
    <n v="3389"/>
    <n v="726"/>
    <n v="53"/>
    <n v="363"/>
    <n v="123"/>
    <n v="107"/>
    <n v="161"/>
    <s v="Together"/>
    <n v="69016"/>
    <n v="0"/>
    <n v="1"/>
    <n v="0"/>
    <n v="1"/>
    <n v="0.78465406946399108"/>
    <x v="641"/>
  </r>
  <r>
    <n v="3403"/>
    <n v="1170"/>
    <n v="19"/>
    <n v="594"/>
    <n v="99"/>
    <n v="76"/>
    <n v="134"/>
    <s v="Together"/>
    <n v="78952"/>
    <n v="0"/>
    <n v="1"/>
    <n v="0"/>
    <n v="1"/>
    <n v="1.2443700082536644"/>
    <x v="642"/>
  </r>
  <r>
    <n v="3406"/>
    <n v="138"/>
    <n v="33"/>
    <n v="87"/>
    <n v="28"/>
    <n v="24"/>
    <n v="12"/>
    <s v="Single"/>
    <n v="45989"/>
    <n v="0"/>
    <n v="1"/>
    <n v="1"/>
    <n v="0"/>
    <n v="-0.28075242434738218"/>
    <x v="643"/>
  </r>
  <r>
    <n v="3409"/>
    <n v="141"/>
    <n v="8"/>
    <n v="129"/>
    <n v="3"/>
    <n v="11"/>
    <n v="47"/>
    <s v="Single"/>
    <n v="36108"/>
    <n v="1"/>
    <n v="0"/>
    <n v="1"/>
    <n v="0"/>
    <n v="-0.73792363924077597"/>
    <x v="644"/>
  </r>
  <r>
    <n v="3412"/>
    <n v="815"/>
    <n v="8"/>
    <n v="53"/>
    <n v="11"/>
    <n v="0"/>
    <n v="70"/>
    <s v="Together"/>
    <n v="67381"/>
    <n v="0"/>
    <n v="1"/>
    <n v="0"/>
    <n v="1"/>
    <n v="0.70900636818368556"/>
    <x v="645"/>
  </r>
  <r>
    <n v="3421"/>
    <n v="635"/>
    <n v="15"/>
    <n v="100"/>
    <n v="20"/>
    <n v="7"/>
    <n v="131"/>
    <s v="Single"/>
    <n v="63841"/>
    <n v="0"/>
    <n v="1"/>
    <n v="1"/>
    <n v="0"/>
    <n v="0.54521868467770296"/>
    <x v="646"/>
  </r>
  <r>
    <n v="3422"/>
    <n v="1115"/>
    <n v="12"/>
    <n v="128"/>
    <n v="33"/>
    <n v="12"/>
    <n v="76"/>
    <s v="Together"/>
    <n v="76068"/>
    <n v="0"/>
    <n v="1"/>
    <n v="0"/>
    <n v="1"/>
    <n v="1.110933940674214"/>
    <x v="647"/>
  </r>
  <r>
    <n v="3426"/>
    <n v="1045"/>
    <n v="61"/>
    <n v="338"/>
    <n v="60"/>
    <n v="46"/>
    <n v="46"/>
    <s v="Single"/>
    <n v="70300"/>
    <n v="1"/>
    <n v="0"/>
    <n v="1"/>
    <n v="0"/>
    <n v="0.84406180551531362"/>
    <x v="648"/>
  </r>
  <r>
    <n v="3427"/>
    <n v="629"/>
    <n v="0"/>
    <n v="70"/>
    <n v="0"/>
    <n v="0"/>
    <n v="35"/>
    <s v="Together"/>
    <n v="59821"/>
    <n v="0"/>
    <n v="1"/>
    <n v="0"/>
    <n v="1"/>
    <n v="0.35922250171328202"/>
    <x v="649"/>
  </r>
  <r>
    <n v="3428"/>
    <n v="919"/>
    <n v="0"/>
    <n v="505"/>
    <n v="99"/>
    <n v="30"/>
    <n v="45"/>
    <s v="Together"/>
    <n v="68682"/>
    <n v="0"/>
    <n v="0"/>
    <n v="0"/>
    <n v="1"/>
    <n v="0.76920065525749437"/>
    <x v="650"/>
  </r>
  <r>
    <n v="3433"/>
    <n v="390"/>
    <n v="22"/>
    <n v="323"/>
    <n v="104"/>
    <n v="35"/>
    <n v="107"/>
    <s v="Together"/>
    <n v="72635"/>
    <n v="0"/>
    <n v="0"/>
    <n v="0"/>
    <n v="1"/>
    <n v="0.95209690183917495"/>
    <x v="651"/>
  </r>
  <r>
    <n v="3434"/>
    <n v="483"/>
    <n v="72"/>
    <n v="567"/>
    <n v="94"/>
    <n v="12"/>
    <n v="108"/>
    <s v="Single"/>
    <n v="80872"/>
    <n v="0"/>
    <n v="0"/>
    <n v="1"/>
    <n v="0"/>
    <n v="1.3332040060874175"/>
    <x v="652"/>
  </r>
  <r>
    <n v="3436"/>
    <n v="11"/>
    <n v="0"/>
    <n v="5"/>
    <n v="2"/>
    <n v="1"/>
    <n v="1"/>
    <s v="Together"/>
    <n v="14045"/>
    <n v="1"/>
    <n v="0"/>
    <n v="0"/>
    <n v="1"/>
    <n v="-1.7587280633064524"/>
    <x v="653"/>
  </r>
  <r>
    <n v="3439"/>
    <n v="157"/>
    <n v="6"/>
    <n v="39"/>
    <n v="6"/>
    <n v="13"/>
    <n v="75"/>
    <s v="Together"/>
    <n v="56721"/>
    <n v="1"/>
    <n v="1"/>
    <n v="0"/>
    <n v="1"/>
    <n v="0.21579260937753456"/>
    <x v="654"/>
  </r>
  <r>
    <n v="3445"/>
    <n v="216"/>
    <n v="162"/>
    <n v="224"/>
    <n v="101"/>
    <n v="92"/>
    <n v="162"/>
    <s v="Single"/>
    <n v="60714"/>
    <n v="0"/>
    <n v="0"/>
    <n v="1"/>
    <n v="0"/>
    <n v="0.40053956424741832"/>
    <x v="655"/>
  </r>
  <r>
    <n v="3463"/>
    <n v="674"/>
    <n v="62"/>
    <n v="134"/>
    <n v="0"/>
    <n v="26"/>
    <n v="8"/>
    <s v="Together"/>
    <n v="69283"/>
    <n v="0"/>
    <n v="1"/>
    <n v="0"/>
    <n v="1"/>
    <n v="0.79700754728774736"/>
    <x v="656"/>
  </r>
  <r>
    <n v="3469"/>
    <n v="19"/>
    <n v="18"/>
    <n v="33"/>
    <n v="24"/>
    <n v="1"/>
    <n v="8"/>
    <s v="Single"/>
    <n v="34487"/>
    <n v="1"/>
    <n v="1"/>
    <n v="1"/>
    <n v="0"/>
    <n v="-0.81292359262021041"/>
    <x v="657"/>
  </r>
  <r>
    <n v="3478"/>
    <n v="267"/>
    <n v="42"/>
    <n v="309"/>
    <n v="55"/>
    <n v="42"/>
    <n v="21"/>
    <s v="Together"/>
    <n v="60585"/>
    <n v="1"/>
    <n v="1"/>
    <n v="0"/>
    <n v="1"/>
    <n v="0.39457103001796301"/>
    <x v="658"/>
  </r>
  <r>
    <n v="3479"/>
    <n v="4"/>
    <n v="8"/>
    <n v="11"/>
    <n v="12"/>
    <n v="2"/>
    <n v="13"/>
    <s v="Single"/>
    <n v="16813"/>
    <n v="0"/>
    <n v="0"/>
    <n v="1"/>
    <n v="0"/>
    <n v="-1.6306590497627913"/>
    <x v="659"/>
  </r>
  <r>
    <n v="3483"/>
    <n v="1039"/>
    <n v="43"/>
    <n v="204"/>
    <n v="153"/>
    <n v="58"/>
    <n v="29"/>
    <s v="Together"/>
    <n v="48192"/>
    <n v="0"/>
    <n v="0"/>
    <n v="0"/>
    <n v="1"/>
    <n v="-0.17882466537459132"/>
    <x v="660"/>
  </r>
  <r>
    <n v="3491"/>
    <n v="384"/>
    <n v="60"/>
    <n v="364"/>
    <n v="119"/>
    <n v="101"/>
    <n v="232"/>
    <s v="Together"/>
    <n v="55914"/>
    <n v="0"/>
    <n v="1"/>
    <n v="0"/>
    <n v="1"/>
    <n v="0.17845456966303513"/>
    <x v="661"/>
  </r>
  <r>
    <n v="3498"/>
    <n v="462"/>
    <n v="61"/>
    <n v="184"/>
    <n v="10"/>
    <n v="53"/>
    <n v="107"/>
    <s v="Together"/>
    <n v="55424"/>
    <n v="0"/>
    <n v="1"/>
    <n v="0"/>
    <n v="1"/>
    <n v="0.15578339313254602"/>
    <x v="662"/>
  </r>
  <r>
    <n v="3503"/>
    <n v="255"/>
    <n v="47"/>
    <n v="573"/>
    <n v="52"/>
    <n v="32"/>
    <n v="15"/>
    <s v="Single"/>
    <n v="82460"/>
    <n v="0"/>
    <n v="0"/>
    <n v="1"/>
    <n v="0"/>
    <n v="1.4066771251290844"/>
    <x v="663"/>
  </r>
  <r>
    <n v="3507"/>
    <n v="676"/>
    <n v="161"/>
    <n v="426"/>
    <n v="210"/>
    <n v="44"/>
    <n v="58"/>
    <s v="Single"/>
    <n v="76467"/>
    <n v="1"/>
    <n v="0"/>
    <n v="1"/>
    <n v="0"/>
    <n v="1.1293947558490409"/>
    <x v="664"/>
  </r>
  <r>
    <n v="3515"/>
    <n v="87"/>
    <n v="13"/>
    <n v="34"/>
    <n v="10"/>
    <n v="6"/>
    <n v="10"/>
    <s v="Single"/>
    <n v="62307"/>
    <n v="0"/>
    <n v="1"/>
    <n v="1"/>
    <n v="0"/>
    <n v="0.4742440218251105"/>
    <x v="665"/>
  </r>
  <r>
    <n v="3517"/>
    <n v="50"/>
    <n v="4"/>
    <n v="44"/>
    <n v="10"/>
    <n v="10"/>
    <n v="43"/>
    <s v="Single"/>
    <n v="40887"/>
    <n v="1"/>
    <n v="1"/>
    <n v="1"/>
    <n v="0"/>
    <n v="-0.51681026650769946"/>
    <x v="666"/>
  </r>
  <r>
    <n v="3518"/>
    <n v="10"/>
    <n v="1"/>
    <n v="18"/>
    <n v="10"/>
    <n v="4"/>
    <n v="7"/>
    <s v="Together"/>
    <n v="25271"/>
    <n v="1"/>
    <n v="0"/>
    <n v="0"/>
    <n v="1"/>
    <n v="-1.2393267822222263"/>
    <x v="667"/>
  </r>
  <r>
    <n v="3520"/>
    <n v="162"/>
    <n v="28"/>
    <n v="818"/>
    <n v="0"/>
    <n v="28"/>
    <n v="56"/>
    <s v="Single"/>
    <n v="91172"/>
    <n v="0"/>
    <n v="0"/>
    <n v="1"/>
    <n v="0"/>
    <n v="1.8097613902997398"/>
    <x v="668"/>
  </r>
  <r>
    <n v="3523"/>
    <n v="583"/>
    <n v="34"/>
    <n v="309"/>
    <n v="0"/>
    <n v="22"/>
    <n v="125"/>
    <s v="Together"/>
    <n v="75072"/>
    <n v="0"/>
    <n v="1"/>
    <n v="0"/>
    <n v="1"/>
    <n v="1.0648513042979546"/>
    <x v="669"/>
  </r>
  <r>
    <n v="3524"/>
    <n v="80"/>
    <n v="1"/>
    <n v="60"/>
    <n v="4"/>
    <n v="6"/>
    <n v="16"/>
    <s v="Single"/>
    <n v="39763"/>
    <n v="1"/>
    <n v="0"/>
    <n v="1"/>
    <n v="0"/>
    <n v="-0.56881516940620924"/>
    <x v="670"/>
  </r>
  <r>
    <n v="3525"/>
    <n v="12"/>
    <n v="0"/>
    <n v="4"/>
    <n v="0"/>
    <n v="0"/>
    <n v="1"/>
    <s v="Together"/>
    <n v="38200"/>
    <n v="1"/>
    <n v="1"/>
    <n v="0"/>
    <n v="1"/>
    <n v="-0.64113159576774903"/>
    <x v="671"/>
  </r>
  <r>
    <n v="3526"/>
    <n v="32"/>
    <n v="0"/>
    <n v="5"/>
    <n v="0"/>
    <n v="0"/>
    <n v="1"/>
    <s v="Together"/>
    <n v="38443"/>
    <n v="1"/>
    <n v="1"/>
    <n v="0"/>
    <n v="1"/>
    <n v="-0.62988854291691465"/>
    <x v="672"/>
  </r>
  <r>
    <n v="3535"/>
    <n v="251"/>
    <n v="108"/>
    <n v="334"/>
    <n v="65"/>
    <n v="92"/>
    <n v="117"/>
    <s v="Single"/>
    <n v="66294"/>
    <n v="0"/>
    <n v="0"/>
    <n v="1"/>
    <n v="0"/>
    <n v="0.65871337045176381"/>
    <x v="673"/>
  </r>
  <r>
    <n v="3536"/>
    <n v="7"/>
    <n v="11"/>
    <n v="3"/>
    <n v="10"/>
    <n v="4"/>
    <n v="20"/>
    <s v="Together"/>
    <n v="19740"/>
    <n v="0"/>
    <n v="1"/>
    <n v="0"/>
    <n v="1"/>
    <n v="-1.4952334707735226"/>
    <x v="674"/>
  </r>
  <r>
    <n v="3537"/>
    <n v="31"/>
    <n v="3"/>
    <n v="31"/>
    <n v="2"/>
    <n v="8"/>
    <n v="4"/>
    <s v="Together"/>
    <n v="31089"/>
    <n v="1"/>
    <n v="0"/>
    <n v="0"/>
    <n v="1"/>
    <n v="-0.97014126170307169"/>
    <x v="675"/>
  </r>
  <r>
    <n v="3547"/>
    <n v="14"/>
    <n v="7"/>
    <n v="9"/>
    <n v="6"/>
    <n v="16"/>
    <n v="12"/>
    <s v="Together"/>
    <n v="41021"/>
    <n v="1"/>
    <n v="0"/>
    <n v="0"/>
    <n v="1"/>
    <n v="-0.51061039374221884"/>
    <x v="676"/>
  </r>
  <r>
    <n v="3551"/>
    <n v="62"/>
    <n v="1"/>
    <n v="57"/>
    <n v="19"/>
    <n v="11"/>
    <n v="48"/>
    <s v="Together"/>
    <n v="60033"/>
    <n v="0"/>
    <n v="1"/>
    <n v="0"/>
    <n v="1"/>
    <n v="0.36903125564075895"/>
    <x v="677"/>
  </r>
  <r>
    <n v="3559"/>
    <n v="12"/>
    <n v="11"/>
    <n v="10"/>
    <n v="3"/>
    <n v="12"/>
    <n v="9"/>
    <s v="Together"/>
    <n v="16248"/>
    <n v="1"/>
    <n v="0"/>
    <n v="0"/>
    <n v="1"/>
    <n v="-1.6568003043336614"/>
    <x v="678"/>
  </r>
  <r>
    <n v="3570"/>
    <n v="159"/>
    <n v="2"/>
    <n v="51"/>
    <n v="6"/>
    <n v="2"/>
    <n v="24"/>
    <s v="Together"/>
    <n v="42731"/>
    <n v="1"/>
    <n v="0"/>
    <n v="0"/>
    <n v="1"/>
    <n v="-0.43149261442153231"/>
    <x v="679"/>
  </r>
  <r>
    <n v="3578"/>
    <n v="122"/>
    <n v="21"/>
    <n v="43"/>
    <n v="25"/>
    <n v="10"/>
    <n v="15"/>
    <s v="Single"/>
    <n v="49160"/>
    <n v="0"/>
    <n v="1"/>
    <n v="1"/>
    <n v="0"/>
    <n v="-0.13403752480007405"/>
    <x v="680"/>
  </r>
  <r>
    <n v="3584"/>
    <n v="1181"/>
    <n v="26"/>
    <n v="120"/>
    <n v="17"/>
    <n v="13"/>
    <n v="39"/>
    <s v="Single"/>
    <n v="49667"/>
    <n v="0"/>
    <n v="0"/>
    <n v="1"/>
    <n v="0"/>
    <n v="-0.11057979724709857"/>
    <x v="681"/>
  </r>
  <r>
    <n v="3594"/>
    <n v="539"/>
    <n v="6"/>
    <n v="91"/>
    <n v="8"/>
    <n v="6"/>
    <n v="97"/>
    <s v="Together"/>
    <n v="54108"/>
    <n v="1"/>
    <n v="1"/>
    <n v="0"/>
    <n v="1"/>
    <n v="9.4895090450660954E-2"/>
    <x v="682"/>
  </r>
  <r>
    <n v="3595"/>
    <n v="631"/>
    <n v="43"/>
    <n v="239"/>
    <n v="128"/>
    <n v="76"/>
    <n v="21"/>
    <s v="Together"/>
    <n v="77226"/>
    <n v="0"/>
    <n v="1"/>
    <n v="0"/>
    <n v="1"/>
    <n v="1.1645119456176964"/>
    <x v="683"/>
  </r>
  <r>
    <n v="3598"/>
    <n v="441"/>
    <n v="35"/>
    <n v="83"/>
    <n v="7"/>
    <n v="29"/>
    <n v="11"/>
    <s v="Together"/>
    <n v="62710"/>
    <n v="0"/>
    <n v="1"/>
    <n v="0"/>
    <n v="1"/>
    <n v="0.49288990782875769"/>
    <x v="684"/>
  </r>
  <r>
    <n v="3599"/>
    <n v="575"/>
    <n v="80"/>
    <n v="428"/>
    <n v="208"/>
    <n v="93"/>
    <n v="80"/>
    <s v="Together"/>
    <n v="63684"/>
    <n v="0"/>
    <n v="1"/>
    <n v="0"/>
    <n v="1"/>
    <n v="0.53795465464650538"/>
    <x v="685"/>
  </r>
  <r>
    <n v="3602"/>
    <n v="140"/>
    <n v="3"/>
    <n v="29"/>
    <n v="4"/>
    <n v="5"/>
    <n v="14"/>
    <s v="Together"/>
    <n v="51412"/>
    <n v="0"/>
    <n v="1"/>
    <n v="0"/>
    <n v="1"/>
    <n v="-2.9842648174234269E-2"/>
    <x v="686"/>
  </r>
  <r>
    <n v="3619"/>
    <n v="345"/>
    <n v="25"/>
    <n v="501"/>
    <n v="63"/>
    <n v="138"/>
    <n v="80"/>
    <s v="Single"/>
    <n v="87305"/>
    <n v="0"/>
    <n v="0"/>
    <n v="1"/>
    <n v="0"/>
    <n v="1.630844166537696"/>
    <x v="687"/>
  </r>
  <r>
    <n v="3623"/>
    <n v="4"/>
    <n v="0"/>
    <n v="16"/>
    <n v="17"/>
    <n v="4"/>
    <n v="4"/>
    <s v="Together"/>
    <n v="21675"/>
    <n v="1"/>
    <n v="0"/>
    <n v="0"/>
    <n v="1"/>
    <n v="-1.4057054573316932"/>
    <x v="688"/>
  </r>
  <r>
    <n v="3628"/>
    <n v="4"/>
    <n v="8"/>
    <n v="11"/>
    <n v="19"/>
    <n v="12"/>
    <n v="26"/>
    <s v="Single"/>
    <n v="15038"/>
    <n v="1"/>
    <n v="0"/>
    <n v="1"/>
    <n v="0"/>
    <n v="-1.7127842300518081"/>
    <x v="689"/>
  </r>
  <r>
    <n v="3629"/>
    <n v="76"/>
    <n v="3"/>
    <n v="31"/>
    <n v="4"/>
    <n v="4"/>
    <n v="27"/>
    <s v="Single"/>
    <n v="38557"/>
    <n v="1"/>
    <n v="0"/>
    <n v="1"/>
    <n v="0"/>
    <n v="-0.62461402429553547"/>
    <x v="690"/>
  </r>
  <r>
    <n v="3635"/>
    <n v="492"/>
    <n v="0"/>
    <n v="37"/>
    <n v="7"/>
    <n v="0"/>
    <n v="42"/>
    <s v="Single"/>
    <n v="52597"/>
    <n v="0"/>
    <n v="1"/>
    <n v="1"/>
    <n v="0"/>
    <n v="2.4984584863785332E-2"/>
    <x v="691"/>
  </r>
  <r>
    <n v="3641"/>
    <n v="10"/>
    <n v="2"/>
    <n v="15"/>
    <n v="2"/>
    <n v="1"/>
    <n v="6"/>
    <s v="Together"/>
    <n v="13624"/>
    <n v="1"/>
    <n v="0"/>
    <n v="0"/>
    <n v="1"/>
    <n v="-1.7782067680397908"/>
    <x v="692"/>
  </r>
  <r>
    <n v="3643"/>
    <n v="750"/>
    <n v="8"/>
    <n v="125"/>
    <n v="11"/>
    <n v="8"/>
    <n v="26"/>
    <s v="Together"/>
    <n v="63206"/>
    <n v="0"/>
    <n v="0"/>
    <n v="0"/>
    <n v="1"/>
    <n v="0.51583869060247722"/>
    <x v="693"/>
  </r>
  <r>
    <n v="3645"/>
    <n v="19"/>
    <n v="3"/>
    <n v="26"/>
    <n v="10"/>
    <n v="9"/>
    <n v="3"/>
    <s v="Single"/>
    <n v="27213"/>
    <n v="1"/>
    <n v="0"/>
    <n v="1"/>
    <n v="0"/>
    <n v="-1.1494748948299611"/>
    <x v="694"/>
  </r>
  <r>
    <n v="3657"/>
    <n v="94"/>
    <n v="1"/>
    <n v="33"/>
    <n v="13"/>
    <n v="12"/>
    <n v="12"/>
    <s v="Single"/>
    <n v="39146"/>
    <n v="1"/>
    <n v="0"/>
    <n v="1"/>
    <n v="0"/>
    <n v="-0.59736234475174343"/>
    <x v="695"/>
  </r>
  <r>
    <n v="3661"/>
    <n v="594"/>
    <n v="51"/>
    <n v="631"/>
    <n v="72"/>
    <n v="55"/>
    <n v="32"/>
    <s v="Single"/>
    <n v="80617"/>
    <n v="0"/>
    <n v="0"/>
    <n v="1"/>
    <n v="0"/>
    <n v="1.3214057407501223"/>
    <x v="696"/>
  </r>
  <r>
    <n v="3665"/>
    <n v="1"/>
    <n v="9"/>
    <n v="8"/>
    <n v="11"/>
    <n v="3"/>
    <n v="22"/>
    <s v="Together"/>
    <n v="25315"/>
    <n v="1"/>
    <n v="0"/>
    <n v="0"/>
    <n v="1"/>
    <n v="-1.2372910031052027"/>
    <x v="697"/>
  </r>
  <r>
    <n v="3667"/>
    <n v="778"/>
    <n v="178"/>
    <n v="689"/>
    <n v="41"/>
    <n v="27"/>
    <n v="44"/>
    <s v="Together"/>
    <n v="80952"/>
    <n v="0"/>
    <n v="0"/>
    <n v="0"/>
    <n v="1"/>
    <n v="1.336905422663824"/>
    <x v="698"/>
  </r>
  <r>
    <n v="3673"/>
    <n v="371"/>
    <n v="17"/>
    <n v="238"/>
    <n v="23"/>
    <n v="24"/>
    <n v="106"/>
    <s v="Single"/>
    <n v="55239"/>
    <n v="0"/>
    <n v="1"/>
    <n v="1"/>
    <n v="0"/>
    <n v="0.14722386729960624"/>
    <x v="699"/>
  </r>
  <r>
    <n v="3678"/>
    <n v="488"/>
    <n v="23"/>
    <n v="71"/>
    <n v="15"/>
    <n v="0"/>
    <n v="59"/>
    <s v="Single"/>
    <n v="60208"/>
    <n v="1"/>
    <n v="1"/>
    <n v="1"/>
    <n v="0"/>
    <n v="0.37712810440164796"/>
    <x v="700"/>
  </r>
  <r>
    <n v="3690"/>
    <n v="1184"/>
    <n v="102"/>
    <n v="673"/>
    <n v="52"/>
    <n v="40"/>
    <n v="40"/>
    <s v="Together"/>
    <n v="80141"/>
    <n v="0"/>
    <n v="0"/>
    <n v="0"/>
    <n v="1"/>
    <n v="1.2993823121205041"/>
    <x v="701"/>
  </r>
  <r>
    <n v="3696"/>
    <n v="27"/>
    <n v="1"/>
    <n v="12"/>
    <n v="2"/>
    <n v="0"/>
    <n v="10"/>
    <s v="Single"/>
    <n v="30630"/>
    <n v="1"/>
    <n v="1"/>
    <n v="1"/>
    <n v="0"/>
    <n v="-0.99137813931020335"/>
    <x v="702"/>
  </r>
  <r>
    <n v="3697"/>
    <n v="69"/>
    <n v="8"/>
    <n v="26"/>
    <n v="12"/>
    <n v="7"/>
    <n v="12"/>
    <s v="Together"/>
    <n v="39898"/>
    <n v="0"/>
    <n v="1"/>
    <n v="0"/>
    <n v="1"/>
    <n v="-0.56256902893352345"/>
    <x v="703"/>
  </r>
  <r>
    <n v="3698"/>
    <n v="817"/>
    <n v="185"/>
    <n v="687"/>
    <n v="145"/>
    <n v="55"/>
    <n v="241"/>
    <s v="Together"/>
    <n v="78687"/>
    <n v="0"/>
    <n v="0"/>
    <n v="0"/>
    <n v="1"/>
    <n v="1.2321090658443181"/>
    <x v="704"/>
  </r>
  <r>
    <n v="3706"/>
    <n v="19"/>
    <n v="8"/>
    <n v="29"/>
    <n v="0"/>
    <n v="12"/>
    <n v="26"/>
    <s v="Single"/>
    <n v="28647"/>
    <n v="1"/>
    <n v="0"/>
    <n v="1"/>
    <n v="0"/>
    <n v="-1.0831270026978765"/>
    <x v="705"/>
  </r>
  <r>
    <n v="3710"/>
    <n v="19"/>
    <n v="0"/>
    <n v="35"/>
    <n v="6"/>
    <n v="4"/>
    <n v="17"/>
    <s v="Single"/>
    <n v="39684"/>
    <n v="1"/>
    <n v="0"/>
    <n v="1"/>
    <n v="0"/>
    <n v="-0.57247031827541051"/>
    <x v="706"/>
  </r>
  <r>
    <n v="3711"/>
    <n v="1035"/>
    <n v="134"/>
    <n v="670"/>
    <n v="25"/>
    <n v="38"/>
    <n v="0"/>
    <s v="Together"/>
    <n v="80184"/>
    <n v="0"/>
    <n v="0"/>
    <n v="0"/>
    <n v="1"/>
    <n v="1.3013718235303227"/>
    <x v="707"/>
  </r>
  <r>
    <n v="3712"/>
    <n v="212"/>
    <n v="5"/>
    <n v="33"/>
    <n v="7"/>
    <n v="0"/>
    <n v="2"/>
    <s v="Single"/>
    <n v="52332"/>
    <n v="0"/>
    <n v="0"/>
    <n v="1"/>
    <n v="0"/>
    <n v="1.2723642454439178E-2"/>
    <x v="708"/>
  </r>
  <r>
    <n v="3717"/>
    <n v="403"/>
    <n v="24"/>
    <n v="29"/>
    <n v="6"/>
    <n v="24"/>
    <n v="218"/>
    <s v="Together"/>
    <n v="61180"/>
    <n v="0"/>
    <n v="1"/>
    <n v="0"/>
    <n v="1"/>
    <n v="0.42210031580498553"/>
    <x v="709"/>
  </r>
  <r>
    <n v="3722"/>
    <n v="31"/>
    <n v="1"/>
    <n v="8"/>
    <n v="0"/>
    <n v="0"/>
    <n v="8"/>
    <s v="Single"/>
    <n v="44503"/>
    <n v="1"/>
    <n v="1"/>
    <n v="1"/>
    <n v="0"/>
    <n v="-0.34950623725413082"/>
    <x v="710"/>
  </r>
  <r>
    <n v="3725"/>
    <n v="1248"/>
    <n v="16"/>
    <n v="349"/>
    <n v="43"/>
    <n v="16"/>
    <n v="16"/>
    <s v="Single"/>
    <n v="84865"/>
    <n v="0"/>
    <n v="0"/>
    <n v="1"/>
    <n v="0"/>
    <n v="1.5179509609573014"/>
    <x v="711"/>
  </r>
  <r>
    <n v="3726"/>
    <n v="4"/>
    <n v="1"/>
    <n v="9"/>
    <n v="3"/>
    <n v="0"/>
    <n v="0"/>
    <s v="Together"/>
    <n v="34320"/>
    <n v="1"/>
    <n v="0"/>
    <n v="0"/>
    <n v="1"/>
    <n v="-0.82065029972345871"/>
    <x v="712"/>
  </r>
  <r>
    <n v="3732"/>
    <n v="393"/>
    <n v="0"/>
    <n v="239"/>
    <n v="90"/>
    <n v="69"/>
    <n v="69"/>
    <s v="Together"/>
    <n v="52750"/>
    <n v="0"/>
    <n v="1"/>
    <n v="0"/>
    <n v="1"/>
    <n v="3.2063544066162547E-2"/>
    <x v="713"/>
  </r>
  <r>
    <n v="3745"/>
    <n v="5"/>
    <n v="36"/>
    <n v="7"/>
    <n v="0"/>
    <n v="10"/>
    <n v="45"/>
    <s v="Together"/>
    <n v="23331"/>
    <n v="1"/>
    <n v="0"/>
    <n v="0"/>
    <n v="1"/>
    <n v="-1.329086134200081"/>
    <x v="714"/>
  </r>
  <r>
    <n v="3749"/>
    <n v="627"/>
    <n v="91"/>
    <n v="597"/>
    <n v="159"/>
    <n v="91"/>
    <n v="15"/>
    <s v="Together"/>
    <n v="73926"/>
    <n v="0"/>
    <n v="0"/>
    <n v="0"/>
    <n v="1"/>
    <n v="1.0118285118409331"/>
    <x v="715"/>
  </r>
  <r>
    <n v="3759"/>
    <n v="743"/>
    <n v="19"/>
    <n v="181"/>
    <n v="12"/>
    <n v="0"/>
    <n v="200"/>
    <s v="Together"/>
    <n v="65196"/>
    <n v="0"/>
    <n v="2"/>
    <n v="0"/>
    <n v="1"/>
    <n v="0.60791142794058617"/>
    <x v="716"/>
  </r>
  <r>
    <n v="3762"/>
    <n v="196"/>
    <n v="0"/>
    <n v="512"/>
    <n v="33"/>
    <n v="130"/>
    <n v="54"/>
    <s v="Single"/>
    <n v="69867"/>
    <n v="0"/>
    <n v="0"/>
    <n v="1"/>
    <n v="0"/>
    <n v="0.82402788829551399"/>
    <x v="717"/>
  </r>
  <r>
    <n v="3766"/>
    <n v="100"/>
    <n v="71"/>
    <n v="243"/>
    <n v="108"/>
    <n v="94"/>
    <n v="219"/>
    <s v="Single"/>
    <n v="33051"/>
    <n v="0"/>
    <n v="0"/>
    <n v="1"/>
    <n v="0"/>
    <n v="-0.87936402016670501"/>
    <x v="718"/>
  </r>
  <r>
    <n v="3767"/>
    <n v="378"/>
    <n v="0"/>
    <n v="189"/>
    <n v="97"/>
    <n v="172"/>
    <n v="172"/>
    <s v="Together"/>
    <n v="61314"/>
    <n v="0"/>
    <n v="1"/>
    <n v="0"/>
    <n v="1"/>
    <n v="0.4283001885704662"/>
    <x v="719"/>
  </r>
  <r>
    <n v="3783"/>
    <n v="105"/>
    <n v="0"/>
    <n v="10"/>
    <n v="0"/>
    <n v="1"/>
    <n v="0"/>
    <s v="Together"/>
    <n v="52854"/>
    <n v="1"/>
    <n v="1"/>
    <n v="0"/>
    <n v="1"/>
    <n v="3.6875385615490849E-2"/>
    <x v="720"/>
  </r>
  <r>
    <n v="3790"/>
    <n v="8"/>
    <n v="1"/>
    <n v="5"/>
    <n v="0"/>
    <n v="0"/>
    <n v="1"/>
    <s v="Together"/>
    <n v="34633"/>
    <n v="2"/>
    <n v="1"/>
    <n v="0"/>
    <n v="1"/>
    <n v="-0.80616850736826873"/>
    <x v="721"/>
  </r>
  <r>
    <n v="3798"/>
    <n v="24"/>
    <n v="2"/>
    <n v="23"/>
    <n v="0"/>
    <n v="8"/>
    <n v="24"/>
    <s v="Together"/>
    <n v="41120"/>
    <n v="1"/>
    <n v="1"/>
    <n v="0"/>
    <n v="1"/>
    <n v="-0.50602989072891591"/>
    <x v="722"/>
  </r>
  <r>
    <n v="3799"/>
    <n v="315"/>
    <n v="35"/>
    <n v="322"/>
    <n v="46"/>
    <n v="7"/>
    <n v="143"/>
    <s v="Together"/>
    <n v="67225"/>
    <n v="0"/>
    <n v="1"/>
    <n v="0"/>
    <n v="1"/>
    <n v="0.70178860585969316"/>
    <x v="723"/>
  </r>
  <r>
    <n v="3807"/>
    <n v="473"/>
    <n v="21"/>
    <n v="176"/>
    <n v="19"/>
    <n v="21"/>
    <n v="56"/>
    <s v="Together"/>
    <n v="59925"/>
    <n v="0"/>
    <n v="1"/>
    <n v="0"/>
    <n v="1"/>
    <n v="0.36403434326261036"/>
    <x v="724"/>
  </r>
  <r>
    <n v="3828"/>
    <n v="533"/>
    <n v="10"/>
    <n v="217"/>
    <n v="198"/>
    <n v="174"/>
    <n v="195"/>
    <s v="Together"/>
    <n v="71107"/>
    <n v="0"/>
    <n v="1"/>
    <n v="0"/>
    <n v="1"/>
    <n v="0.88139984522981296"/>
    <x v="725"/>
  </r>
  <r>
    <n v="3829"/>
    <n v="1"/>
    <n v="3"/>
    <n v="6"/>
    <n v="10"/>
    <n v="0"/>
    <n v="9"/>
    <s v="Together"/>
    <n v="24594"/>
    <n v="1"/>
    <n v="0"/>
    <n v="0"/>
    <n v="1"/>
    <n v="-1.2706500200000652"/>
    <x v="726"/>
  </r>
  <r>
    <n v="3830"/>
    <n v="295"/>
    <n v="21"/>
    <n v="78"/>
    <n v="39"/>
    <n v="13"/>
    <n v="13"/>
    <s v="Together"/>
    <n v="59354"/>
    <n v="0"/>
    <n v="2"/>
    <n v="0"/>
    <n v="1"/>
    <n v="0.33761548244850975"/>
    <x v="727"/>
  </r>
  <r>
    <n v="3834"/>
    <n v="231"/>
    <n v="161"/>
    <n v="215"/>
    <n v="171"/>
    <n v="30"/>
    <n v="53"/>
    <s v="Single"/>
    <n v="69627"/>
    <n v="0"/>
    <n v="1"/>
    <n v="1"/>
    <n v="0"/>
    <n v="0.8129236385662949"/>
    <x v="728"/>
  </r>
  <r>
    <n v="3839"/>
    <n v="6"/>
    <n v="12"/>
    <n v="3"/>
    <n v="21"/>
    <n v="6"/>
    <n v="40"/>
    <s v="Single"/>
    <n v="15056"/>
    <n v="1"/>
    <n v="1"/>
    <n v="1"/>
    <n v="0"/>
    <n v="-1.7119514113221166"/>
    <x v="729"/>
  </r>
  <r>
    <n v="3846"/>
    <n v="192"/>
    <n v="5"/>
    <n v="53"/>
    <n v="0"/>
    <n v="5"/>
    <n v="15"/>
    <s v="Together"/>
    <n v="42557"/>
    <n v="0"/>
    <n v="1"/>
    <n v="0"/>
    <n v="1"/>
    <n v="-0.4395431954752162"/>
    <x v="730"/>
  </r>
  <r>
    <n v="3850"/>
    <n v="3"/>
    <n v="3"/>
    <n v="3"/>
    <n v="15"/>
    <n v="4"/>
    <n v="15"/>
    <s v="Together"/>
    <n v="14918"/>
    <n v="0"/>
    <n v="1"/>
    <n v="0"/>
    <n v="1"/>
    <n v="-1.7183363549164177"/>
    <x v="731"/>
  </r>
  <r>
    <n v="3855"/>
    <n v="30"/>
    <n v="3"/>
    <n v="47"/>
    <n v="19"/>
    <n v="21"/>
    <n v="42"/>
    <s v="Together"/>
    <n v="22419"/>
    <n v="0"/>
    <n v="0"/>
    <n v="0"/>
    <n v="1"/>
    <n v="-1.3712822831711138"/>
    <x v="732"/>
  </r>
  <r>
    <n v="3856"/>
    <n v="571"/>
    <n v="50"/>
    <n v="142"/>
    <n v="33"/>
    <n v="50"/>
    <n v="159"/>
    <s v="Together"/>
    <n v="63381"/>
    <n v="0"/>
    <n v="1"/>
    <n v="0"/>
    <n v="1"/>
    <n v="0.52393553936336623"/>
    <x v="733"/>
  </r>
  <r>
    <n v="3859"/>
    <n v="410"/>
    <n v="112"/>
    <n v="420"/>
    <n v="0"/>
    <n v="82"/>
    <n v="71"/>
    <s v="Together"/>
    <n v="73059"/>
    <n v="0"/>
    <n v="1"/>
    <n v="0"/>
    <n v="1"/>
    <n v="0.97171440969412881"/>
    <x v="734"/>
  </r>
  <r>
    <n v="3865"/>
    <n v="2"/>
    <n v="12"/>
    <n v="10"/>
    <n v="6"/>
    <n v="13"/>
    <n v="30"/>
    <s v="Together"/>
    <n v="20981"/>
    <n v="0"/>
    <n v="0"/>
    <n v="0"/>
    <n v="1"/>
    <n v="-1.4378152461320186"/>
    <x v="735"/>
  </r>
  <r>
    <n v="3870"/>
    <n v="359"/>
    <n v="35"/>
    <n v="314"/>
    <n v="93"/>
    <n v="116"/>
    <n v="89"/>
    <s v="Together"/>
    <n v="63855"/>
    <n v="0"/>
    <n v="0"/>
    <n v="0"/>
    <n v="1"/>
    <n v="0.54586643257857403"/>
    <x v="736"/>
  </r>
  <r>
    <n v="3878"/>
    <n v="3"/>
    <n v="4"/>
    <n v="7"/>
    <n v="15"/>
    <n v="8"/>
    <n v="11"/>
    <s v="Single"/>
    <n v="31859"/>
    <n v="1"/>
    <n v="0"/>
    <n v="1"/>
    <n v="0"/>
    <n v="-0.93451512715516016"/>
    <x v="737"/>
  </r>
  <r>
    <n v="3885"/>
    <n v="16"/>
    <n v="2"/>
    <n v="18"/>
    <n v="3"/>
    <n v="0"/>
    <n v="24"/>
    <s v="Together"/>
    <n v="33569"/>
    <n v="1"/>
    <n v="0"/>
    <n v="0"/>
    <n v="1"/>
    <n v="-0.85539734783447374"/>
    <x v="738"/>
  </r>
  <r>
    <n v="3887"/>
    <n v="3"/>
    <n v="17"/>
    <n v="26"/>
    <n v="20"/>
    <n v="1"/>
    <n v="39"/>
    <s v="Single"/>
    <n v="27242"/>
    <n v="1"/>
    <n v="0"/>
    <n v="1"/>
    <n v="0"/>
    <n v="-1.1481331313210137"/>
    <x v="739"/>
  </r>
  <r>
    <n v="3896"/>
    <n v="22"/>
    <n v="1"/>
    <n v="11"/>
    <n v="0"/>
    <n v="1"/>
    <n v="2"/>
    <s v="Together"/>
    <n v="27255"/>
    <n v="1"/>
    <n v="0"/>
    <n v="0"/>
    <n v="1"/>
    <n v="-1.1475316511273477"/>
    <x v="740"/>
  </r>
  <r>
    <n v="3900"/>
    <n v="642"/>
    <n v="14"/>
    <n v="49"/>
    <n v="0"/>
    <n v="7"/>
    <n v="57"/>
    <s v="Together"/>
    <n v="65685"/>
    <n v="0"/>
    <n v="1"/>
    <n v="0"/>
    <n v="1"/>
    <n v="0.63053633676387022"/>
    <x v="741"/>
  </r>
  <r>
    <n v="3910"/>
    <n v="897"/>
    <n v="161"/>
    <n v="430"/>
    <n v="186"/>
    <n v="161"/>
    <n v="27"/>
    <s v="Single"/>
    <n v="83829"/>
    <n v="0"/>
    <n v="0"/>
    <n v="1"/>
    <n v="0"/>
    <n v="1.4700176162928387"/>
    <x v="742"/>
  </r>
  <r>
    <n v="3916"/>
    <n v="639"/>
    <n v="8"/>
    <n v="166"/>
    <n v="11"/>
    <n v="8"/>
    <n v="58"/>
    <s v="Together"/>
    <n v="49269"/>
    <n v="1"/>
    <n v="0"/>
    <n v="0"/>
    <n v="1"/>
    <n v="-0.12899434471472035"/>
    <x v="743"/>
  </r>
  <r>
    <n v="3919"/>
    <n v="960"/>
    <n v="0"/>
    <n v="883"/>
    <n v="50"/>
    <n v="38"/>
    <n v="0"/>
    <s v="Single"/>
    <n v="72309"/>
    <n v="0"/>
    <n v="0"/>
    <n v="1"/>
    <n v="0"/>
    <n v="0.93701362929031895"/>
    <x v="744"/>
  </r>
  <r>
    <n v="3921"/>
    <n v="24"/>
    <n v="1"/>
    <n v="108"/>
    <n v="29"/>
    <n v="29"/>
    <n v="14"/>
    <s v="Single"/>
    <n v="28457"/>
    <n v="0"/>
    <n v="0"/>
    <n v="1"/>
    <n v="0"/>
    <n v="-1.0919178670668419"/>
    <x v="745"/>
  </r>
  <r>
    <n v="3924"/>
    <n v="801"/>
    <n v="0"/>
    <n v="80"/>
    <n v="0"/>
    <n v="0"/>
    <n v="35"/>
    <s v="Single"/>
    <n v="57912"/>
    <n v="0"/>
    <n v="1"/>
    <n v="1"/>
    <n v="0"/>
    <n v="0.27089744865878462"/>
    <x v="746"/>
  </r>
  <r>
    <n v="3933"/>
    <n v="186"/>
    <n v="36"/>
    <n v="234"/>
    <n v="86"/>
    <n v="72"/>
    <n v="48"/>
    <s v="Together"/>
    <n v="44010"/>
    <n v="1"/>
    <n v="0"/>
    <n v="0"/>
    <n v="1"/>
    <n v="-0.37231621690623518"/>
    <x v="747"/>
  </r>
  <r>
    <n v="3945"/>
    <n v="618"/>
    <n v="44"/>
    <n v="215"/>
    <n v="0"/>
    <n v="17"/>
    <n v="36"/>
    <s v="Single"/>
    <n v="68117"/>
    <n v="0"/>
    <n v="1"/>
    <n v="1"/>
    <n v="0"/>
    <n v="0.74305940068662435"/>
    <x v="748"/>
  </r>
  <r>
    <n v="3955"/>
    <n v="2"/>
    <n v="1"/>
    <n v="1"/>
    <n v="1"/>
    <n v="0"/>
    <n v="1"/>
    <s v="Single"/>
    <n v="4861"/>
    <n v="0"/>
    <n v="0"/>
    <n v="1"/>
    <n v="0"/>
    <n v="-2.1836506862779057"/>
    <x v="749"/>
  </r>
  <r>
    <n v="3967"/>
    <n v="331"/>
    <n v="197"/>
    <n v="170"/>
    <n v="58"/>
    <n v="152"/>
    <n v="35"/>
    <s v="Together"/>
    <n v="78931"/>
    <n v="0"/>
    <n v="0"/>
    <n v="0"/>
    <n v="1"/>
    <n v="1.2433983864023577"/>
    <x v="750"/>
  </r>
  <r>
    <n v="3968"/>
    <n v="918"/>
    <n v="10"/>
    <n v="129"/>
    <n v="13"/>
    <n v="0"/>
    <n v="129"/>
    <s v="Single"/>
    <n v="65706"/>
    <n v="0"/>
    <n v="0"/>
    <n v="1"/>
    <n v="0"/>
    <n v="0.63150795861517683"/>
    <x v="751"/>
  </r>
  <r>
    <n v="3969"/>
    <n v="35"/>
    <n v="4"/>
    <n v="17"/>
    <n v="7"/>
    <n v="6"/>
    <n v="64"/>
    <s v="Together"/>
    <n v="43018"/>
    <n v="0"/>
    <n v="1"/>
    <n v="0"/>
    <n v="1"/>
    <n v="-0.41821378245367435"/>
    <x v="752"/>
  </r>
  <r>
    <n v="3972"/>
    <n v="266"/>
    <n v="6"/>
    <n v="51"/>
    <n v="8"/>
    <n v="6"/>
    <n v="64"/>
    <s v="Together"/>
    <n v="50200"/>
    <n v="1"/>
    <n v="1"/>
    <n v="0"/>
    <n v="1"/>
    <n v="-8.5919109306791031E-2"/>
    <x v="753"/>
  </r>
  <r>
    <n v="3979"/>
    <n v="982"/>
    <n v="17"/>
    <n v="672"/>
    <n v="23"/>
    <n v="34"/>
    <n v="51"/>
    <s v="Single"/>
    <n v="90687"/>
    <n v="0"/>
    <n v="0"/>
    <n v="1"/>
    <n v="0"/>
    <n v="1.7873215523052761"/>
    <x v="754"/>
  </r>
  <r>
    <n v="4001"/>
    <n v="406"/>
    <n v="0"/>
    <n v="30"/>
    <n v="0"/>
    <n v="0"/>
    <n v="8"/>
    <s v="Together"/>
    <n v="64014"/>
    <n v="2"/>
    <n v="1"/>
    <n v="0"/>
    <n v="1"/>
    <n v="0.55322299802418173"/>
    <x v="755"/>
  </r>
  <r>
    <n v="4002"/>
    <n v="463"/>
    <n v="96"/>
    <n v="333"/>
    <n v="168"/>
    <n v="53"/>
    <n v="10"/>
    <s v="Together"/>
    <n v="77037"/>
    <n v="0"/>
    <n v="1"/>
    <n v="0"/>
    <n v="1"/>
    <n v="1.1557673489559364"/>
    <x v="756"/>
  </r>
  <r>
    <n v="4012"/>
    <n v="799"/>
    <n v="12"/>
    <n v="375"/>
    <n v="16"/>
    <n v="12"/>
    <n v="12"/>
    <s v="Together"/>
    <n v="62220"/>
    <n v="0"/>
    <n v="1"/>
    <n v="0"/>
    <n v="1"/>
    <n v="0.47021873129826858"/>
    <x v="757"/>
  </r>
  <r>
    <n v="4023"/>
    <n v="16"/>
    <n v="17"/>
    <n v="19"/>
    <n v="20"/>
    <n v="21"/>
    <n v="22"/>
    <s v="Together"/>
    <n v="22979"/>
    <n v="1"/>
    <n v="0"/>
    <n v="0"/>
    <n v="1"/>
    <n v="-1.3453723671362692"/>
    <x v="758"/>
  </r>
  <r>
    <n v="4037"/>
    <n v="3"/>
    <n v="1"/>
    <n v="3"/>
    <n v="8"/>
    <n v="0"/>
    <n v="5"/>
    <s v="Single"/>
    <n v="31859"/>
    <n v="1"/>
    <n v="0"/>
    <n v="1"/>
    <n v="0"/>
    <n v="-0.93451512715516016"/>
    <x v="737"/>
  </r>
  <r>
    <n v="4042"/>
    <n v="91"/>
    <n v="3"/>
    <n v="52"/>
    <n v="2"/>
    <n v="1"/>
    <n v="31"/>
    <s v="Single"/>
    <n v="43300"/>
    <n v="0"/>
    <n v="1"/>
    <n v="1"/>
    <n v="0"/>
    <n v="-0.40516628902184187"/>
    <x v="759"/>
  </r>
  <r>
    <n v="4047"/>
    <n v="384"/>
    <n v="0"/>
    <n v="102"/>
    <n v="21"/>
    <n v="32"/>
    <n v="5"/>
    <s v="Together"/>
    <n v="65324"/>
    <n v="0"/>
    <n v="1"/>
    <n v="0"/>
    <n v="1"/>
    <n v="0.61383369446283631"/>
    <x v="760"/>
  </r>
  <r>
    <n v="4050"/>
    <n v="42"/>
    <n v="16"/>
    <n v="29"/>
    <n v="12"/>
    <n v="20"/>
    <n v="8"/>
    <s v="Together"/>
    <n v="49605"/>
    <n v="0"/>
    <n v="0"/>
    <n v="0"/>
    <n v="1"/>
    <n v="-0.11344839509381352"/>
    <x v="761"/>
  </r>
  <r>
    <n v="4055"/>
    <n v="2"/>
    <n v="10"/>
    <n v="11"/>
    <n v="12"/>
    <n v="9"/>
    <n v="20"/>
    <s v="Single"/>
    <n v="18746"/>
    <n v="1"/>
    <n v="0"/>
    <n v="1"/>
    <n v="0"/>
    <n v="-1.5412235717353719"/>
    <x v="762"/>
  </r>
  <r>
    <n v="4058"/>
    <n v="618"/>
    <n v="15"/>
    <n v="106"/>
    <n v="20"/>
    <n v="7"/>
    <n v="45"/>
    <s v="Single"/>
    <n v="61284"/>
    <n v="0"/>
    <n v="0"/>
    <n v="1"/>
    <n v="0"/>
    <n v="0.42691215735431381"/>
    <x v="763"/>
  </r>
  <r>
    <n v="4065"/>
    <n v="308"/>
    <n v="0"/>
    <n v="73"/>
    <n v="0"/>
    <n v="0"/>
    <n v="23"/>
    <s v="Together"/>
    <n v="49544"/>
    <n v="1"/>
    <n v="0"/>
    <n v="0"/>
    <n v="1"/>
    <n v="-0.11627072523332339"/>
    <x v="764"/>
  </r>
  <r>
    <n v="4066"/>
    <n v="1"/>
    <n v="5"/>
    <n v="8"/>
    <n v="4"/>
    <n v="8"/>
    <n v="20"/>
    <s v="Single"/>
    <n v="21282"/>
    <n v="1"/>
    <n v="0"/>
    <n v="1"/>
    <n v="0"/>
    <n v="-1.4238886662632897"/>
    <x v="765"/>
  </r>
  <r>
    <n v="4070"/>
    <n v="169"/>
    <n v="24"/>
    <n v="553"/>
    <n v="188"/>
    <n v="0"/>
    <n v="144"/>
    <s v="Together"/>
    <n v="94871"/>
    <n v="0"/>
    <n v="2"/>
    <n v="0"/>
    <n v="1"/>
    <n v="1.9809056392513302"/>
    <x v="766"/>
  </r>
  <r>
    <n v="4073"/>
    <n v="769"/>
    <n v="80"/>
    <n v="252"/>
    <n v="15"/>
    <n v="34"/>
    <n v="65"/>
    <s v="Together"/>
    <n v="63564"/>
    <n v="0"/>
    <n v="0"/>
    <n v="0"/>
    <n v="1"/>
    <n v="0.53240252978189584"/>
    <x v="767"/>
  </r>
  <r>
    <n v="4084"/>
    <n v="224"/>
    <n v="155"/>
    <n v="155"/>
    <n v="192"/>
    <n v="93"/>
    <n v="54"/>
    <s v="Together"/>
    <n v="60934"/>
    <n v="0"/>
    <n v="1"/>
    <n v="0"/>
    <n v="1"/>
    <n v="0.41071845983253591"/>
    <x v="768"/>
  </r>
  <r>
    <n v="4086"/>
    <n v="6"/>
    <n v="1"/>
    <n v="7"/>
    <n v="23"/>
    <n v="4"/>
    <n v="19"/>
    <s v="Together"/>
    <n v="18690"/>
    <n v="0"/>
    <n v="0"/>
    <n v="0"/>
    <n v="1"/>
    <n v="-1.5438145633388565"/>
    <x v="769"/>
  </r>
  <r>
    <n v="4088"/>
    <n v="108"/>
    <n v="1"/>
    <n v="28"/>
    <n v="13"/>
    <n v="1"/>
    <n v="4"/>
    <s v="Together"/>
    <n v="31497"/>
    <n v="0"/>
    <n v="1"/>
    <n v="0"/>
    <n v="1"/>
    <n v="-0.95126403716339913"/>
    <x v="770"/>
  </r>
  <r>
    <n v="4093"/>
    <n v="216"/>
    <n v="9"/>
    <n v="57"/>
    <n v="20"/>
    <n v="9"/>
    <n v="125"/>
    <s v="Together"/>
    <n v="53253"/>
    <n v="1"/>
    <n v="1"/>
    <n v="0"/>
    <n v="1"/>
    <n v="5.5336200790317702E-2"/>
    <x v="771"/>
  </r>
  <r>
    <n v="4094"/>
    <n v="201"/>
    <n v="2"/>
    <n v="43"/>
    <n v="3"/>
    <n v="5"/>
    <n v="35"/>
    <s v="Together"/>
    <n v="60544"/>
    <n v="1"/>
    <n v="1"/>
    <n v="0"/>
    <n v="1"/>
    <n v="0.39267405402255473"/>
    <x v="772"/>
  </r>
  <r>
    <n v="4095"/>
    <n v="167"/>
    <n v="37"/>
    <n v="64"/>
    <n v="49"/>
    <n v="34"/>
    <n v="116"/>
    <s v="Together"/>
    <n v="37150"/>
    <n v="1"/>
    <n v="0"/>
    <n v="0"/>
    <n v="1"/>
    <n v="-0.68971268833308286"/>
    <x v="773"/>
  </r>
  <r>
    <n v="4098"/>
    <n v="20"/>
    <n v="3"/>
    <n v="16"/>
    <n v="0"/>
    <n v="4"/>
    <n v="1"/>
    <s v="Together"/>
    <n v="24639"/>
    <n v="1"/>
    <n v="1"/>
    <n v="0"/>
    <n v="1"/>
    <n v="-1.2685679731758366"/>
    <x v="774"/>
  </r>
  <r>
    <n v="4099"/>
    <n v="10"/>
    <n v="2"/>
    <n v="16"/>
    <n v="11"/>
    <n v="2"/>
    <n v="21"/>
    <s v="Together"/>
    <n v="30675"/>
    <n v="1"/>
    <n v="0"/>
    <n v="0"/>
    <n v="1"/>
    <n v="-0.98929609248597472"/>
    <x v="775"/>
  </r>
  <r>
    <n v="4107"/>
    <n v="269"/>
    <n v="15"/>
    <n v="69"/>
    <n v="15"/>
    <n v="19"/>
    <n v="38"/>
    <s v="Together"/>
    <n v="46681"/>
    <n v="0"/>
    <n v="2"/>
    <n v="0"/>
    <n v="1"/>
    <n v="-0.24873517096146694"/>
    <x v="776"/>
  </r>
  <r>
    <n v="4114"/>
    <n v="650"/>
    <n v="37"/>
    <n v="780"/>
    <n v="27"/>
    <n v="167"/>
    <n v="32"/>
    <s v="Together"/>
    <n v="79143"/>
    <n v="0"/>
    <n v="0"/>
    <n v="0"/>
    <n v="1"/>
    <n v="1.2532071403298346"/>
    <x v="777"/>
  </r>
  <r>
    <n v="4120"/>
    <n v="88"/>
    <n v="39"/>
    <n v="78"/>
    <n v="58"/>
    <n v="13"/>
    <n v="93"/>
    <s v="Single"/>
    <n v="49514"/>
    <n v="1"/>
    <n v="0"/>
    <n v="1"/>
    <n v="0"/>
    <n v="-0.11765875644947579"/>
    <x v="778"/>
  </r>
  <r>
    <n v="4122"/>
    <n v="504"/>
    <n v="23"/>
    <n v="117"/>
    <n v="179"/>
    <n v="28"/>
    <n v="44"/>
    <s v="Together"/>
    <n v="79205"/>
    <n v="0"/>
    <n v="0"/>
    <n v="0"/>
    <n v="1"/>
    <n v="1.2560757381765495"/>
    <x v="779"/>
  </r>
  <r>
    <n v="4127"/>
    <n v="1004"/>
    <n v="59"/>
    <n v="265"/>
    <n v="115"/>
    <n v="59"/>
    <n v="27"/>
    <s v="Together"/>
    <n v="77766"/>
    <n v="0"/>
    <n v="1"/>
    <n v="0"/>
    <n v="1"/>
    <n v="1.1894965075084396"/>
    <x v="780"/>
  </r>
  <r>
    <n v="4128"/>
    <n v="517"/>
    <n v="12"/>
    <n v="54"/>
    <n v="16"/>
    <n v="6"/>
    <n v="120"/>
    <s v="Together"/>
    <n v="56067"/>
    <n v="0"/>
    <n v="1"/>
    <n v="0"/>
    <n v="1"/>
    <n v="0.18553352886541236"/>
    <x v="781"/>
  </r>
  <r>
    <n v="4136"/>
    <n v="10"/>
    <n v="17"/>
    <n v="18"/>
    <n v="8"/>
    <n v="26"/>
    <n v="40"/>
    <s v="Single"/>
    <n v="7500"/>
    <n v="1"/>
    <n v="0"/>
    <n v="1"/>
    <n v="0"/>
    <n v="-2.0615502069636999"/>
    <x v="782"/>
  </r>
  <r>
    <n v="4137"/>
    <n v="398"/>
    <n v="40"/>
    <n v="367"/>
    <n v="119"/>
    <n v="122"/>
    <n v="30"/>
    <s v="Together"/>
    <n v="70666"/>
    <n v="0"/>
    <n v="0"/>
    <n v="0"/>
    <n v="1"/>
    <n v="0.86099578635237284"/>
    <x v="783"/>
  </r>
  <r>
    <n v="4138"/>
    <n v="411"/>
    <n v="106"/>
    <n v="147"/>
    <n v="54"/>
    <n v="115"/>
    <n v="66"/>
    <s v="Single"/>
    <n v="76624"/>
    <n v="0"/>
    <n v="1"/>
    <n v="1"/>
    <n v="0"/>
    <n v="1.1366587858802384"/>
    <x v="784"/>
  </r>
  <r>
    <n v="4141"/>
    <n v="426"/>
    <n v="49"/>
    <n v="127"/>
    <n v="111"/>
    <n v="21"/>
    <n v="42"/>
    <s v="Together"/>
    <n v="71613"/>
    <n v="0"/>
    <n v="0"/>
    <n v="0"/>
    <n v="1"/>
    <n v="0.90481130507558338"/>
    <x v="785"/>
  </r>
  <r>
    <n v="4148"/>
    <n v="164"/>
    <n v="24"/>
    <n v="103"/>
    <n v="12"/>
    <n v="3"/>
    <n v="42"/>
    <s v="Together"/>
    <n v="38988"/>
    <n v="1"/>
    <n v="2"/>
    <n v="0"/>
    <n v="1"/>
    <n v="-0.60467264249014607"/>
    <x v="786"/>
  </r>
  <r>
    <n v="4149"/>
    <n v="586"/>
    <n v="66"/>
    <n v="653"/>
    <n v="17"/>
    <n v="0"/>
    <n v="26"/>
    <s v="Together"/>
    <n v="76140"/>
    <n v="0"/>
    <n v="0"/>
    <n v="0"/>
    <n v="1"/>
    <n v="1.1142652155929798"/>
    <x v="787"/>
  </r>
  <r>
    <n v="4168"/>
    <n v="231"/>
    <n v="7"/>
    <n v="137"/>
    <n v="4"/>
    <n v="15"/>
    <n v="39"/>
    <s v="Single"/>
    <n v="37070"/>
    <n v="1"/>
    <n v="1"/>
    <n v="1"/>
    <n v="0"/>
    <n v="-0.69341410490948918"/>
    <x v="788"/>
  </r>
  <r>
    <n v="4174"/>
    <n v="97"/>
    <n v="1"/>
    <n v="19"/>
    <n v="2"/>
    <n v="0"/>
    <n v="11"/>
    <s v="Together"/>
    <n v="55249"/>
    <n v="0"/>
    <n v="1"/>
    <n v="0"/>
    <n v="1"/>
    <n v="0.14768654437165704"/>
    <x v="789"/>
  </r>
  <r>
    <n v="4179"/>
    <n v="8"/>
    <n v="9"/>
    <n v="9"/>
    <n v="2"/>
    <n v="5"/>
    <n v="22"/>
    <s v="Together"/>
    <n v="24221"/>
    <n v="0"/>
    <n v="0"/>
    <n v="0"/>
    <n v="1"/>
    <n v="-1.2879078747875599"/>
    <x v="790"/>
  </r>
  <r>
    <n v="4184"/>
    <n v="189"/>
    <n v="2"/>
    <n v="29"/>
    <n v="3"/>
    <n v="2"/>
    <n v="40"/>
    <s v="Together"/>
    <n v="52157"/>
    <n v="0"/>
    <n v="1"/>
    <n v="0"/>
    <n v="1"/>
    <n v="4.6267936935502066E-3"/>
    <x v="791"/>
  </r>
  <r>
    <n v="4188"/>
    <n v="204"/>
    <n v="5"/>
    <n v="39"/>
    <n v="17"/>
    <n v="0"/>
    <n v="89"/>
    <s v="Single"/>
    <n v="36864"/>
    <n v="0"/>
    <n v="1"/>
    <n v="1"/>
    <n v="0"/>
    <n v="-0.70294525259373564"/>
    <x v="792"/>
  </r>
  <r>
    <n v="4198"/>
    <n v="9"/>
    <n v="1"/>
    <n v="3"/>
    <n v="0"/>
    <n v="4"/>
    <n v="8"/>
    <s v="Together"/>
    <n v="29672"/>
    <n v="1"/>
    <n v="1"/>
    <n v="0"/>
    <n v="1"/>
    <n v="-1.0357026028126699"/>
    <x v="793"/>
  </r>
  <r>
    <n v="4200"/>
    <n v="167"/>
    <n v="2"/>
    <n v="62"/>
    <n v="24"/>
    <n v="13"/>
    <n v="7"/>
    <s v="Together"/>
    <n v="44159"/>
    <n v="1"/>
    <n v="0"/>
    <n v="0"/>
    <n v="1"/>
    <n v="-0.36542232853267831"/>
    <x v="794"/>
  </r>
  <r>
    <n v="4201"/>
    <n v="229"/>
    <n v="7"/>
    <n v="137"/>
    <n v="4"/>
    <n v="0"/>
    <n v="91"/>
    <s v="Single"/>
    <n v="57967"/>
    <n v="0"/>
    <n v="1"/>
    <n v="1"/>
    <n v="0"/>
    <n v="0.27344217255506403"/>
    <x v="795"/>
  </r>
  <r>
    <n v="4207"/>
    <n v="1001"/>
    <n v="44"/>
    <n v="107"/>
    <n v="58"/>
    <n v="44"/>
    <n v="44"/>
    <s v="Together"/>
    <n v="87171"/>
    <n v="0"/>
    <n v="0"/>
    <n v="0"/>
    <n v="1"/>
    <n v="1.6246442937722154"/>
    <x v="796"/>
  </r>
  <r>
    <n v="4216"/>
    <n v="822"/>
    <n v="114"/>
    <n v="108"/>
    <n v="179"/>
    <n v="137"/>
    <n v="114"/>
    <s v="Single"/>
    <n v="91065"/>
    <n v="0"/>
    <n v="0"/>
    <n v="1"/>
    <n v="0"/>
    <n v="1.8048107456287963"/>
    <x v="797"/>
  </r>
  <r>
    <n v="4220"/>
    <n v="73"/>
    <n v="0"/>
    <n v="13"/>
    <n v="0"/>
    <n v="1"/>
    <n v="0"/>
    <s v="Together"/>
    <n v="59892"/>
    <n v="0"/>
    <n v="1"/>
    <n v="0"/>
    <n v="1"/>
    <n v="0.36250750892484268"/>
    <x v="798"/>
  </r>
  <r>
    <n v="4227"/>
    <n v="28"/>
    <n v="0"/>
    <n v="13"/>
    <n v="4"/>
    <n v="2"/>
    <n v="8"/>
    <s v="Together"/>
    <n v="32889"/>
    <n v="1"/>
    <n v="1"/>
    <n v="0"/>
    <n v="1"/>
    <n v="-0.886859388733928"/>
    <x v="799"/>
  </r>
  <r>
    <n v="4240"/>
    <n v="4"/>
    <n v="9"/>
    <n v="16"/>
    <n v="17"/>
    <n v="0"/>
    <n v="12"/>
    <s v="Together"/>
    <n v="17345"/>
    <n v="1"/>
    <n v="0"/>
    <n v="0"/>
    <n v="1"/>
    <n v="-1.6060446295296888"/>
    <x v="800"/>
  </r>
  <r>
    <n v="4246"/>
    <n v="67"/>
    <n v="11"/>
    <n v="26"/>
    <n v="4"/>
    <n v="3"/>
    <n v="262"/>
    <s v="Single"/>
    <n v="6560"/>
    <n v="0"/>
    <n v="0"/>
    <n v="1"/>
    <n v="0"/>
    <n v="-2.1050418517364751"/>
    <x v="801"/>
  </r>
  <r>
    <n v="4248"/>
    <n v="1000"/>
    <n v="19"/>
    <n v="711"/>
    <n v="125"/>
    <n v="115"/>
    <n v="38"/>
    <s v="Single"/>
    <n v="98777"/>
    <n v="0"/>
    <n v="0"/>
    <n v="1"/>
    <n v="0"/>
    <n v="2.1616273035943721"/>
    <x v="802"/>
  </r>
  <r>
    <n v="4252"/>
    <n v="213"/>
    <n v="5"/>
    <n v="28"/>
    <n v="7"/>
    <n v="7"/>
    <n v="41"/>
    <s v="Together"/>
    <n v="44375"/>
    <n v="0"/>
    <n v="1"/>
    <n v="0"/>
    <n v="1"/>
    <n v="-0.35542850377638102"/>
    <x v="803"/>
  </r>
  <r>
    <n v="4259"/>
    <n v="6"/>
    <n v="0"/>
    <n v="4"/>
    <n v="0"/>
    <n v="0"/>
    <n v="0"/>
    <s v="Single"/>
    <n v="19485"/>
    <n v="2"/>
    <n v="0"/>
    <n v="1"/>
    <n v="0"/>
    <n v="-1.5070317361108181"/>
    <x v="804"/>
  </r>
  <r>
    <n v="4268"/>
    <n v="129"/>
    <n v="0"/>
    <n v="21"/>
    <n v="0"/>
    <n v="1"/>
    <n v="7"/>
    <s v="Together"/>
    <n v="53154"/>
    <n v="0"/>
    <n v="1"/>
    <n v="0"/>
    <n v="1"/>
    <n v="5.0755697777014802E-2"/>
    <x v="805"/>
  </r>
  <r>
    <n v="4271"/>
    <n v="46"/>
    <n v="35"/>
    <n v="69"/>
    <n v="84"/>
    <n v="41"/>
    <n v="66"/>
    <s v="Together"/>
    <n v="38683"/>
    <n v="1"/>
    <n v="0"/>
    <n v="0"/>
    <n v="1"/>
    <n v="-0.61878429318769546"/>
    <x v="806"/>
  </r>
  <r>
    <n v="4278"/>
    <n v="910"/>
    <n v="111"/>
    <n v="724"/>
    <n v="49"/>
    <n v="74"/>
    <n v="55"/>
    <s v="Single"/>
    <n v="87188"/>
    <n v="0"/>
    <n v="0"/>
    <n v="1"/>
    <n v="0"/>
    <n v="1.6254308447947017"/>
    <x v="807"/>
  </r>
  <r>
    <n v="4279"/>
    <n v="15"/>
    <n v="4"/>
    <n v="10"/>
    <n v="3"/>
    <n v="4"/>
    <n v="18"/>
    <s v="Single"/>
    <n v="39548"/>
    <n v="1"/>
    <n v="1"/>
    <n v="1"/>
    <n v="0"/>
    <n v="-0.57876272645530136"/>
    <x v="808"/>
  </r>
  <r>
    <n v="4286"/>
    <n v="580"/>
    <n v="6"/>
    <n v="58"/>
    <n v="8"/>
    <n v="0"/>
    <n v="27"/>
    <s v="Single"/>
    <n v="57642"/>
    <n v="0"/>
    <n v="1"/>
    <n v="1"/>
    <n v="0"/>
    <n v="0.2584051677134131"/>
    <x v="809"/>
  </r>
  <r>
    <n v="4290"/>
    <n v="1"/>
    <n v="3"/>
    <n v="8"/>
    <n v="2"/>
    <n v="5"/>
    <n v="5"/>
    <s v="Together"/>
    <n v="30467"/>
    <n v="1"/>
    <n v="0"/>
    <n v="0"/>
    <n v="1"/>
    <n v="-0.9989197755846313"/>
    <x v="810"/>
  </r>
  <r>
    <n v="4297"/>
    <n v="13"/>
    <n v="2"/>
    <n v="18"/>
    <n v="6"/>
    <n v="1"/>
    <n v="0"/>
    <s v="Together"/>
    <n v="23228"/>
    <n v="1"/>
    <n v="0"/>
    <n v="0"/>
    <n v="1"/>
    <n v="-1.3338517080422043"/>
    <x v="811"/>
  </r>
  <r>
    <n v="4298"/>
    <n v="5"/>
    <n v="0"/>
    <n v="4"/>
    <n v="0"/>
    <n v="0"/>
    <n v="1"/>
    <s v="Together"/>
    <n v="20427"/>
    <n v="1"/>
    <n v="0"/>
    <n v="0"/>
    <n v="1"/>
    <n v="-1.4634475559236328"/>
    <x v="812"/>
  </r>
  <r>
    <n v="4299"/>
    <n v="1001"/>
    <n v="17"/>
    <n v="572"/>
    <n v="93"/>
    <n v="125"/>
    <n v="17"/>
    <s v="Together"/>
    <n v="70971"/>
    <n v="0"/>
    <n v="1"/>
    <n v="0"/>
    <n v="1"/>
    <n v="0.87510743704992211"/>
    <x v="813"/>
  </r>
  <r>
    <n v="4303"/>
    <n v="107"/>
    <n v="2"/>
    <n v="12"/>
    <n v="2"/>
    <n v="2"/>
    <n v="12"/>
    <s v="Together"/>
    <n v="6835"/>
    <n v="0"/>
    <n v="1"/>
    <n v="0"/>
    <n v="1"/>
    <n v="-2.092318232255078"/>
    <x v="814"/>
  </r>
  <r>
    <n v="4310"/>
    <n v="507"/>
    <n v="93"/>
    <n v="520"/>
    <n v="242"/>
    <n v="40"/>
    <n v="26"/>
    <s v="Together"/>
    <n v="80589"/>
    <n v="0"/>
    <n v="0"/>
    <n v="0"/>
    <n v="1"/>
    <n v="1.3201102449483799"/>
    <x v="815"/>
  </r>
  <r>
    <n v="4320"/>
    <n v="325"/>
    <n v="83"/>
    <n v="300"/>
    <n v="86"/>
    <n v="58"/>
    <n v="91"/>
    <s v="Single"/>
    <n v="60152"/>
    <n v="0"/>
    <n v="1"/>
    <n v="1"/>
    <n v="0"/>
    <n v="0.37453711279816349"/>
    <x v="816"/>
  </r>
  <r>
    <n v="4322"/>
    <n v="881"/>
    <n v="38"/>
    <n v="319"/>
    <n v="16"/>
    <n v="25"/>
    <n v="12"/>
    <s v="Together"/>
    <n v="77863"/>
    <n v="0"/>
    <n v="0"/>
    <n v="0"/>
    <n v="1"/>
    <n v="1.1939844751073323"/>
    <x v="817"/>
  </r>
  <r>
    <n v="4324"/>
    <n v="235"/>
    <n v="0"/>
    <n v="235"/>
    <n v="19"/>
    <n v="4"/>
    <n v="191"/>
    <s v="Together"/>
    <n v="42387"/>
    <n v="1"/>
    <n v="0"/>
    <n v="0"/>
    <n v="1"/>
    <n v="-0.44740870570007973"/>
    <x v="818"/>
  </r>
  <r>
    <n v="4328"/>
    <n v="5"/>
    <n v="1"/>
    <n v="7"/>
    <n v="17"/>
    <n v="14"/>
    <n v="11"/>
    <s v="Together"/>
    <n v="21955"/>
    <n v="1"/>
    <n v="0"/>
    <n v="0"/>
    <n v="1"/>
    <n v="-1.392750499314271"/>
    <x v="819"/>
  </r>
  <r>
    <n v="4329"/>
    <n v="6"/>
    <n v="0"/>
    <n v="6"/>
    <n v="2"/>
    <n v="1"/>
    <n v="1"/>
    <s v="Together"/>
    <n v="18988"/>
    <n v="1"/>
    <n v="0"/>
    <n v="0"/>
    <n v="1"/>
    <n v="-1.5300267865917427"/>
    <x v="820"/>
  </r>
  <r>
    <n v="4331"/>
    <n v="913"/>
    <n v="26"/>
    <n v="376"/>
    <n v="17"/>
    <n v="26"/>
    <n v="13"/>
    <s v="Together"/>
    <n v="85738"/>
    <n v="0"/>
    <n v="0"/>
    <n v="0"/>
    <n v="1"/>
    <n v="1.5583426693473361"/>
    <x v="821"/>
  </r>
  <r>
    <n v="4333"/>
    <n v="41"/>
    <n v="0"/>
    <n v="10"/>
    <n v="0"/>
    <n v="0"/>
    <n v="3"/>
    <s v="Together"/>
    <n v="32144"/>
    <n v="1"/>
    <n v="1"/>
    <n v="0"/>
    <n v="1"/>
    <n v="-0.92132883060171245"/>
    <x v="822"/>
  </r>
  <r>
    <n v="4338"/>
    <n v="23"/>
    <n v="0"/>
    <n v="9"/>
    <n v="0"/>
    <n v="0"/>
    <n v="12"/>
    <s v="Single"/>
    <n v="39062"/>
    <n v="1"/>
    <n v="0"/>
    <n v="1"/>
    <n v="0"/>
    <n v="-0.60124883215697023"/>
    <x v="823"/>
  </r>
  <r>
    <n v="4339"/>
    <n v="702"/>
    <n v="17"/>
    <n v="151"/>
    <n v="0"/>
    <n v="8"/>
    <n v="35"/>
    <s v="Together"/>
    <n v="67353"/>
    <n v="0"/>
    <n v="1"/>
    <n v="0"/>
    <n v="1"/>
    <n v="0.7077108723819433"/>
    <x v="824"/>
  </r>
  <r>
    <n v="4351"/>
    <n v="18"/>
    <n v="2"/>
    <n v="10"/>
    <n v="0"/>
    <n v="0"/>
    <n v="25"/>
    <s v="Single"/>
    <n v="37244"/>
    <n v="1"/>
    <n v="1"/>
    <n v="1"/>
    <n v="0"/>
    <n v="-0.68536352385580535"/>
    <x v="825"/>
  </r>
  <r>
    <n v="4356"/>
    <n v="1224"/>
    <n v="28"/>
    <n v="140"/>
    <n v="0"/>
    <n v="14"/>
    <n v="168"/>
    <s v="Together"/>
    <n v="71819"/>
    <n v="0"/>
    <n v="1"/>
    <n v="0"/>
    <n v="1"/>
    <n v="0.91434245275982984"/>
    <x v="826"/>
  </r>
  <r>
    <n v="4368"/>
    <n v="42"/>
    <n v="7"/>
    <n v="43"/>
    <n v="20"/>
    <n v="12"/>
    <n v="10"/>
    <s v="Together"/>
    <n v="47850"/>
    <n v="1"/>
    <n v="0"/>
    <n v="0"/>
    <n v="1"/>
    <n v="-0.19464822123872863"/>
    <x v="827"/>
  </r>
  <r>
    <n v="4369"/>
    <n v="240"/>
    <n v="67"/>
    <n v="500"/>
    <n v="199"/>
    <n v="0"/>
    <n v="163"/>
    <s v="Single"/>
    <n v="65487"/>
    <n v="0"/>
    <n v="0"/>
    <n v="1"/>
    <n v="0"/>
    <n v="0.62137533073726436"/>
    <x v="828"/>
  </r>
  <r>
    <n v="4370"/>
    <n v="18"/>
    <n v="1"/>
    <n v="32"/>
    <n v="6"/>
    <n v="3"/>
    <n v="28"/>
    <s v="Together"/>
    <n v="43482"/>
    <n v="2"/>
    <n v="1"/>
    <n v="0"/>
    <n v="1"/>
    <n v="-0.39674556631051733"/>
    <x v="829"/>
  </r>
  <r>
    <n v="4376"/>
    <n v="10"/>
    <n v="24"/>
    <n v="15"/>
    <n v="13"/>
    <n v="1"/>
    <n v="30"/>
    <s v="Single"/>
    <n v="32218"/>
    <n v="0"/>
    <n v="0"/>
    <n v="1"/>
    <n v="0"/>
    <n v="-0.9179050202685366"/>
    <x v="830"/>
  </r>
  <r>
    <n v="4377"/>
    <n v="254"/>
    <n v="10"/>
    <n v="44"/>
    <n v="30"/>
    <n v="10"/>
    <n v="227"/>
    <s v="Together"/>
    <n v="52914"/>
    <n v="0"/>
    <n v="1"/>
    <n v="0"/>
    <n v="1"/>
    <n v="3.9651448047795641E-2"/>
    <x v="831"/>
  </r>
  <r>
    <n v="4381"/>
    <n v="163"/>
    <n v="2"/>
    <n v="40"/>
    <n v="8"/>
    <n v="11"/>
    <n v="11"/>
    <s v="Together"/>
    <n v="46463"/>
    <n v="1"/>
    <n v="1"/>
    <n v="0"/>
    <n v="1"/>
    <n v="-0.25882153113217438"/>
    <x v="832"/>
  </r>
  <r>
    <n v="4385"/>
    <n v="23"/>
    <n v="0"/>
    <n v="15"/>
    <n v="0"/>
    <n v="2"/>
    <n v="7"/>
    <s v="Single"/>
    <n v="36038"/>
    <n v="1"/>
    <n v="0"/>
    <n v="1"/>
    <n v="0"/>
    <n v="-0.74116237874513158"/>
    <x v="833"/>
  </r>
  <r>
    <n v="4390"/>
    <n v="459"/>
    <n v="15"/>
    <n v="171"/>
    <n v="142"/>
    <n v="23"/>
    <n v="31"/>
    <s v="Together"/>
    <n v="75315"/>
    <n v="0"/>
    <n v="1"/>
    <n v="0"/>
    <n v="1"/>
    <n v="1.0760943571487889"/>
    <x v="834"/>
  </r>
  <r>
    <n v="4394"/>
    <n v="1142"/>
    <n v="29"/>
    <n v="249"/>
    <n v="38"/>
    <n v="29"/>
    <n v="14"/>
    <s v="Together"/>
    <n v="81051"/>
    <n v="0"/>
    <n v="0"/>
    <n v="0"/>
    <n v="1"/>
    <n v="1.3414859256771268"/>
    <x v="835"/>
  </r>
  <r>
    <n v="4399"/>
    <n v="458"/>
    <n v="81"/>
    <n v="356"/>
    <n v="106"/>
    <n v="50"/>
    <n v="40"/>
    <s v="Together"/>
    <n v="68695"/>
    <n v="0"/>
    <n v="0"/>
    <n v="0"/>
    <n v="1"/>
    <n v="0.7698021354511605"/>
    <x v="836"/>
  </r>
  <r>
    <n v="4405"/>
    <n v="622"/>
    <n v="7"/>
    <n v="115"/>
    <n v="30"/>
    <n v="0"/>
    <n v="15"/>
    <s v="Together"/>
    <n v="63915"/>
    <n v="0"/>
    <n v="2"/>
    <n v="0"/>
    <n v="1"/>
    <n v="0.54864249501087892"/>
    <x v="837"/>
  </r>
  <r>
    <n v="4406"/>
    <n v="846"/>
    <n v="84"/>
    <n v="352"/>
    <n v="91"/>
    <n v="56"/>
    <n v="42"/>
    <s v="Together"/>
    <n v="67419"/>
    <n v="0"/>
    <n v="1"/>
    <n v="0"/>
    <n v="1"/>
    <n v="0.71076454105747855"/>
    <x v="838"/>
  </r>
  <r>
    <n v="4415"/>
    <n v="10"/>
    <n v="4"/>
    <n v="4"/>
    <n v="3"/>
    <n v="3"/>
    <n v="14"/>
    <s v="Together"/>
    <n v="16860"/>
    <n v="1"/>
    <n v="1"/>
    <n v="0"/>
    <n v="1"/>
    <n v="-1.6284844675241525"/>
    <x v="839"/>
  </r>
  <r>
    <n v="4418"/>
    <n v="671"/>
    <n v="47"/>
    <n v="655"/>
    <n v="145"/>
    <n v="111"/>
    <n v="15"/>
    <s v="Single"/>
    <n v="89616"/>
    <n v="0"/>
    <n v="0"/>
    <n v="1"/>
    <n v="0"/>
    <n v="1.7377688378886356"/>
    <x v="840"/>
  </r>
  <r>
    <n v="4426"/>
    <n v="367"/>
    <n v="4"/>
    <n v="51"/>
    <n v="6"/>
    <n v="4"/>
    <n v="95"/>
    <s v="Single"/>
    <n v="55801"/>
    <n v="1"/>
    <n v="1"/>
    <n v="1"/>
    <n v="0"/>
    <n v="0.1732263187488611"/>
    <x v="841"/>
  </r>
  <r>
    <n v="4427"/>
    <n v="536"/>
    <n v="27"/>
    <n v="590"/>
    <n v="38"/>
    <n v="107"/>
    <n v="67"/>
    <s v="Single"/>
    <n v="83257"/>
    <n v="0"/>
    <n v="0"/>
    <n v="1"/>
    <n v="0"/>
    <n v="1.4435524877715329"/>
    <x v="842"/>
  </r>
  <r>
    <n v="4432"/>
    <n v="2"/>
    <n v="3"/>
    <n v="20"/>
    <n v="6"/>
    <n v="11"/>
    <n v="9"/>
    <s v="Single"/>
    <n v="31615"/>
    <n v="1"/>
    <n v="0"/>
    <n v="1"/>
    <n v="0"/>
    <n v="-0.94580444771319971"/>
    <x v="843"/>
  </r>
  <r>
    <n v="4437"/>
    <n v="112"/>
    <n v="6"/>
    <n v="92"/>
    <n v="3"/>
    <n v="9"/>
    <n v="38"/>
    <s v="Together"/>
    <n v="65316"/>
    <n v="1"/>
    <n v="1"/>
    <n v="0"/>
    <n v="1"/>
    <n v="0.61346355280519571"/>
    <x v="844"/>
  </r>
  <r>
    <n v="4440"/>
    <n v="509"/>
    <n v="0"/>
    <n v="27"/>
    <n v="0"/>
    <n v="0"/>
    <n v="10"/>
    <s v="Together"/>
    <n v="64100"/>
    <n v="0"/>
    <n v="1"/>
    <n v="0"/>
    <n v="1"/>
    <n v="0.55720202084381865"/>
    <x v="845"/>
  </r>
  <r>
    <n v="4442"/>
    <n v="31"/>
    <n v="19"/>
    <n v="35"/>
    <n v="26"/>
    <n v="14"/>
    <n v="52"/>
    <s v="Single"/>
    <n v="46524"/>
    <n v="0"/>
    <n v="1"/>
    <n v="1"/>
    <n v="0"/>
    <n v="-0.25599920099266449"/>
    <x v="846"/>
  </r>
  <r>
    <n v="4444"/>
    <n v="11"/>
    <n v="0"/>
    <n v="16"/>
    <n v="7"/>
    <n v="6"/>
    <n v="21"/>
    <s v="Together"/>
    <n v="30023"/>
    <n v="1"/>
    <n v="0"/>
    <n v="0"/>
    <n v="1"/>
    <n v="-1.0194626375836868"/>
    <x v="847"/>
  </r>
  <r>
    <n v="4452"/>
    <n v="292"/>
    <n v="6"/>
    <n v="37"/>
    <n v="0"/>
    <n v="3"/>
    <n v="34"/>
    <s v="Single"/>
    <n v="50388"/>
    <n v="0"/>
    <n v="1"/>
    <n v="1"/>
    <n v="0"/>
    <n v="-7.7220780352236021E-2"/>
    <x v="848"/>
  </r>
  <r>
    <n v="4459"/>
    <n v="10"/>
    <n v="4"/>
    <n v="14"/>
    <n v="4"/>
    <n v="4"/>
    <n v="1"/>
    <s v="Single"/>
    <n v="30279"/>
    <n v="1"/>
    <n v="0"/>
    <n v="1"/>
    <n v="0"/>
    <n v="-1.0076181045391863"/>
    <x v="849"/>
  </r>
  <r>
    <n v="4470"/>
    <n v="62"/>
    <n v="1"/>
    <n v="44"/>
    <n v="6"/>
    <n v="5"/>
    <n v="22"/>
    <s v="Together"/>
    <n v="58646"/>
    <n v="0"/>
    <n v="1"/>
    <n v="0"/>
    <n v="1"/>
    <n v="0.30485794574731323"/>
    <x v="850"/>
  </r>
  <r>
    <n v="4472"/>
    <n v="23"/>
    <n v="0"/>
    <n v="8"/>
    <n v="6"/>
    <n v="2"/>
    <n v="18"/>
    <s v="Single"/>
    <n v="35682"/>
    <n v="1"/>
    <n v="0"/>
    <n v="1"/>
    <n v="0"/>
    <n v="-0.75763368251014007"/>
    <x v="851"/>
  </r>
  <r>
    <n v="4475"/>
    <n v="1315"/>
    <n v="22"/>
    <n v="780"/>
    <n v="145"/>
    <n v="0"/>
    <n v="178"/>
    <s v="Together"/>
    <n v="69098"/>
    <n v="0"/>
    <n v="0"/>
    <n v="0"/>
    <n v="1"/>
    <n v="0.78844802145480763"/>
    <x v="852"/>
  </r>
  <r>
    <n v="4477"/>
    <n v="247"/>
    <n v="49"/>
    <n v="159"/>
    <n v="7"/>
    <n v="82"/>
    <n v="109"/>
    <s v="Together"/>
    <n v="69096"/>
    <n v="0"/>
    <n v="1"/>
    <n v="0"/>
    <n v="1"/>
    <n v="0.78835548604039751"/>
    <x v="853"/>
  </r>
  <r>
    <n v="4478"/>
    <n v="457"/>
    <n v="5"/>
    <n v="106"/>
    <n v="15"/>
    <n v="17"/>
    <n v="53"/>
    <s v="Together"/>
    <n v="63777"/>
    <n v="1"/>
    <n v="1"/>
    <n v="0"/>
    <n v="1"/>
    <n v="0.54225755141657783"/>
    <x v="854"/>
  </r>
  <r>
    <n v="4480"/>
    <n v="365"/>
    <n v="3"/>
    <n v="15"/>
    <n v="4"/>
    <n v="3"/>
    <n v="11"/>
    <s v="Together"/>
    <n v="60432"/>
    <n v="0"/>
    <n v="1"/>
    <n v="0"/>
    <n v="1"/>
    <n v="0.38749207081558579"/>
    <x v="855"/>
  </r>
  <r>
    <n v="4483"/>
    <n v="315"/>
    <n v="26"/>
    <n v="473"/>
    <n v="220"/>
    <n v="12"/>
    <n v="182"/>
    <s v="Single"/>
    <n v="72354"/>
    <n v="0"/>
    <n v="0"/>
    <n v="1"/>
    <n v="0"/>
    <n v="0.93909567611454758"/>
    <x v="856"/>
  </r>
  <r>
    <n v="4487"/>
    <n v="15"/>
    <n v="20"/>
    <n v="25"/>
    <n v="2"/>
    <n v="7"/>
    <n v="26"/>
    <s v="Single"/>
    <n v="39858"/>
    <n v="1"/>
    <n v="0"/>
    <n v="1"/>
    <n v="0"/>
    <n v="-0.56441973722172667"/>
    <x v="857"/>
  </r>
  <r>
    <n v="4501"/>
    <n v="292"/>
    <n v="127"/>
    <n v="635"/>
    <n v="132"/>
    <n v="127"/>
    <n v="165"/>
    <s v="Single"/>
    <n v="69882"/>
    <n v="0"/>
    <n v="0"/>
    <n v="1"/>
    <n v="0"/>
    <n v="0.82472190390359024"/>
    <x v="858"/>
  </r>
  <r>
    <n v="4507"/>
    <n v="631"/>
    <n v="28"/>
    <n v="491"/>
    <n v="30"/>
    <n v="14"/>
    <n v="56"/>
    <s v="Single"/>
    <n v="72228"/>
    <n v="0"/>
    <n v="0"/>
    <n v="1"/>
    <n v="0"/>
    <n v="0.93326594500670745"/>
    <x v="859"/>
  </r>
  <r>
    <n v="4508"/>
    <n v="203"/>
    <n v="35"/>
    <n v="305"/>
    <n v="46"/>
    <n v="17"/>
    <n v="227"/>
    <s v="Single"/>
    <n v="75127"/>
    <n v="0"/>
    <n v="0"/>
    <n v="1"/>
    <n v="0"/>
    <n v="1.0673960281942338"/>
    <x v="860"/>
  </r>
  <r>
    <n v="4518"/>
    <n v="386"/>
    <n v="172"/>
    <n v="183"/>
    <n v="185"/>
    <n v="132"/>
    <n v="111"/>
    <s v="Together"/>
    <n v="85693"/>
    <n v="0"/>
    <n v="1"/>
    <n v="0"/>
    <n v="1"/>
    <n v="1.5562606225231075"/>
    <x v="861"/>
  </r>
  <r>
    <n v="4530"/>
    <n v="972"/>
    <n v="19"/>
    <n v="595"/>
    <n v="180"/>
    <n v="26"/>
    <n v="138"/>
    <s v="Single"/>
    <n v="78427"/>
    <n v="0"/>
    <n v="0"/>
    <n v="1"/>
    <n v="0"/>
    <n v="1.2200794619709974"/>
    <x v="862"/>
  </r>
  <r>
    <n v="4541"/>
    <n v="116"/>
    <n v="6"/>
    <n v="82"/>
    <n v="6"/>
    <n v="6"/>
    <n v="41"/>
    <s v="Together"/>
    <n v="38946"/>
    <n v="0"/>
    <n v="1"/>
    <n v="0"/>
    <n v="1"/>
    <n v="-0.60661588619275941"/>
    <x v="863"/>
  </r>
  <r>
    <n v="4543"/>
    <n v="777"/>
    <n v="129"/>
    <n v="573"/>
    <n v="216"/>
    <n v="21"/>
    <n v="203"/>
    <s v="Together"/>
    <n v="82497"/>
    <n v="0"/>
    <n v="0"/>
    <n v="0"/>
    <n v="1"/>
    <n v="1.4083890302956723"/>
    <x v="864"/>
  </r>
  <r>
    <n v="4547"/>
    <n v="6"/>
    <n v="2"/>
    <n v="9"/>
    <n v="2"/>
    <n v="1"/>
    <n v="5"/>
    <s v="Together"/>
    <n v="13672"/>
    <n v="1"/>
    <n v="1"/>
    <n v="0"/>
    <n v="1"/>
    <n v="-1.775985918093947"/>
    <x v="865"/>
  </r>
  <r>
    <n v="4548"/>
    <n v="23"/>
    <n v="4"/>
    <n v="10"/>
    <n v="0"/>
    <n v="2"/>
    <n v="15"/>
    <s v="Single"/>
    <n v="41967"/>
    <n v="1"/>
    <n v="1"/>
    <n v="1"/>
    <n v="0"/>
    <n v="-0.4668411427262133"/>
    <x v="866"/>
  </r>
  <r>
    <n v="4550"/>
    <n v="61"/>
    <n v="0"/>
    <n v="3"/>
    <n v="0"/>
    <n v="0"/>
    <n v="7"/>
    <s v="Together"/>
    <n v="33564"/>
    <n v="0"/>
    <n v="1"/>
    <n v="0"/>
    <n v="1"/>
    <n v="-0.85562868637049905"/>
    <x v="867"/>
  </r>
  <r>
    <n v="4552"/>
    <n v="83"/>
    <n v="2"/>
    <n v="101"/>
    <n v="64"/>
    <n v="26"/>
    <n v="117"/>
    <s v="Together"/>
    <n v="51373"/>
    <n v="0"/>
    <n v="0"/>
    <n v="0"/>
    <n v="1"/>
    <n v="-3.164708875523238E-2"/>
    <x v="868"/>
  </r>
  <r>
    <n v="4554"/>
    <n v="171"/>
    <n v="45"/>
    <n v="73"/>
    <n v="59"/>
    <n v="10"/>
    <n v="90"/>
    <s v="Together"/>
    <n v="47009"/>
    <n v="0"/>
    <n v="1"/>
    <n v="0"/>
    <n v="1"/>
    <n v="-0.23355936299820076"/>
    <x v="869"/>
  </r>
  <r>
    <n v="4557"/>
    <n v="10"/>
    <n v="7"/>
    <n v="19"/>
    <n v="8"/>
    <n v="2"/>
    <n v="21"/>
    <s v="Together"/>
    <n v="22070"/>
    <n v="1"/>
    <n v="0"/>
    <n v="0"/>
    <n v="1"/>
    <n v="-1.3874297129856867"/>
    <x v="870"/>
  </r>
  <r>
    <n v="4580"/>
    <n v="1394"/>
    <n v="22"/>
    <n v="708"/>
    <n v="89"/>
    <n v="91"/>
    <n v="182"/>
    <s v="Together"/>
    <n v="75759"/>
    <n v="0"/>
    <n v="0"/>
    <n v="0"/>
    <n v="1"/>
    <n v="1.0966372191478444"/>
    <x v="871"/>
  </r>
  <r>
    <n v="4587"/>
    <n v="162"/>
    <n v="25"/>
    <n v="53"/>
    <n v="16"/>
    <n v="0"/>
    <n v="10"/>
    <s v="Single"/>
    <n v="45006"/>
    <n v="0"/>
    <n v="0"/>
    <n v="1"/>
    <n v="0"/>
    <n v="-0.32623358052997564"/>
    <x v="872"/>
  </r>
  <r>
    <n v="4597"/>
    <n v="889"/>
    <n v="55"/>
    <n v="685"/>
    <n v="168"/>
    <n v="92"/>
    <n v="129"/>
    <s v="Together"/>
    <n v="82072"/>
    <n v="0"/>
    <n v="0"/>
    <n v="0"/>
    <n v="1"/>
    <n v="1.3887252547335134"/>
    <x v="873"/>
  </r>
  <r>
    <n v="4603"/>
    <n v="371"/>
    <n v="32"/>
    <n v="189"/>
    <n v="0"/>
    <n v="58"/>
    <n v="6"/>
    <s v="Together"/>
    <n v="65695"/>
    <n v="0"/>
    <n v="1"/>
    <n v="0"/>
    <n v="1"/>
    <n v="0.63099901383592094"/>
    <x v="874"/>
  </r>
  <r>
    <n v="4607"/>
    <n v="227"/>
    <n v="23"/>
    <n v="389"/>
    <n v="42"/>
    <n v="21"/>
    <n v="75"/>
    <s v="Together"/>
    <n v="71367"/>
    <n v="0"/>
    <n v="0"/>
    <n v="0"/>
    <n v="1"/>
    <n v="0.89342944910313382"/>
    <x v="875"/>
  </r>
  <r>
    <n v="4609"/>
    <n v="383"/>
    <n v="0"/>
    <n v="53"/>
    <n v="6"/>
    <n v="4"/>
    <n v="40"/>
    <s v="Together"/>
    <n v="57705"/>
    <n v="0"/>
    <n v="1"/>
    <n v="0"/>
    <n v="1"/>
    <n v="0.26132003326733311"/>
    <x v="876"/>
  </r>
  <r>
    <n v="4611"/>
    <n v="1009"/>
    <n v="181"/>
    <n v="104"/>
    <n v="202"/>
    <n v="21"/>
    <n v="207"/>
    <s v="Together"/>
    <n v="105471"/>
    <n v="0"/>
    <n v="0"/>
    <n v="0"/>
    <n v="1"/>
    <n v="2.4713433356251762"/>
    <x v="877"/>
  </r>
  <r>
    <n v="4619"/>
    <n v="6"/>
    <n v="2"/>
    <n v="3"/>
    <n v="1"/>
    <n v="262"/>
    <n v="3"/>
    <s v="Single"/>
    <n v="113734"/>
    <n v="0"/>
    <n v="0"/>
    <n v="1"/>
    <n v="0"/>
    <n v="2.8536534002607512"/>
    <x v="878"/>
  </r>
  <r>
    <n v="4637"/>
    <n v="960"/>
    <n v="64"/>
    <n v="464"/>
    <n v="146"/>
    <n v="0"/>
    <n v="16"/>
    <s v="Single"/>
    <n v="74637"/>
    <n v="0"/>
    <n v="0"/>
    <n v="1"/>
    <n v="0"/>
    <n v="1.0447248516637448"/>
    <x v="879"/>
  </r>
  <r>
    <n v="4640"/>
    <n v="561"/>
    <n v="85"/>
    <n v="171"/>
    <n v="25"/>
    <n v="123"/>
    <n v="114"/>
    <s v="Single"/>
    <n v="70647"/>
    <n v="0"/>
    <n v="1"/>
    <n v="1"/>
    <n v="0"/>
    <n v="0.86011669991547635"/>
    <x v="880"/>
  </r>
  <r>
    <n v="4643"/>
    <n v="8"/>
    <n v="26"/>
    <n v="46"/>
    <n v="38"/>
    <n v="9"/>
    <n v="49"/>
    <s v="Together"/>
    <n v="27803"/>
    <n v="1"/>
    <n v="0"/>
    <n v="0"/>
    <n v="1"/>
    <n v="-1.122176947578964"/>
    <x v="881"/>
  </r>
  <r>
    <n v="4646"/>
    <n v="207"/>
    <n v="26"/>
    <n v="447"/>
    <n v="75"/>
    <n v="0"/>
    <n v="223"/>
    <s v="Together"/>
    <n v="78497"/>
    <n v="0"/>
    <n v="0"/>
    <n v="0"/>
    <n v="1"/>
    <n v="1.223318201475353"/>
    <x v="882"/>
  </r>
  <r>
    <n v="4653"/>
    <n v="131"/>
    <n v="0"/>
    <n v="16"/>
    <n v="2"/>
    <n v="1"/>
    <n v="39"/>
    <s v="Together"/>
    <n v="42011"/>
    <n v="1"/>
    <n v="0"/>
    <n v="0"/>
    <n v="1"/>
    <n v="-0.46480536360918978"/>
    <x v="883"/>
  </r>
  <r>
    <n v="4654"/>
    <n v="571"/>
    <n v="12"/>
    <n v="523"/>
    <n v="63"/>
    <n v="60"/>
    <n v="24"/>
    <s v="Together"/>
    <n v="75114"/>
    <n v="0"/>
    <n v="0"/>
    <n v="0"/>
    <n v="1"/>
    <n v="1.0667945480005678"/>
    <x v="884"/>
  </r>
  <r>
    <n v="4656"/>
    <n v="342"/>
    <n v="32"/>
    <n v="230"/>
    <n v="34"/>
    <n v="32"/>
    <n v="40"/>
    <s v="Single"/>
    <n v="51250"/>
    <n v="1"/>
    <n v="0"/>
    <n v="1"/>
    <n v="0"/>
    <n v="-3.7338016741457203E-2"/>
    <x v="885"/>
  </r>
  <r>
    <n v="4669"/>
    <n v="4"/>
    <n v="19"/>
    <n v="9"/>
    <n v="28"/>
    <n v="25"/>
    <n v="17"/>
    <s v="Together"/>
    <n v="24480"/>
    <n v="1"/>
    <n v="0"/>
    <n v="0"/>
    <n v="1"/>
    <n v="-1.2759245386214444"/>
    <x v="886"/>
  </r>
  <r>
    <n v="4673"/>
    <n v="1004"/>
    <n v="12"/>
    <n v="145"/>
    <n v="32"/>
    <n v="12"/>
    <n v="36"/>
    <s v="Together"/>
    <n v="81300"/>
    <n v="0"/>
    <n v="1"/>
    <n v="0"/>
    <n v="1"/>
    <n v="1.3530065847711918"/>
    <x v="887"/>
  </r>
  <r>
    <n v="4676"/>
    <n v="612"/>
    <n v="91"/>
    <n v="520"/>
    <n v="258"/>
    <n v="107"/>
    <n v="107"/>
    <s v="Single"/>
    <n v="73705"/>
    <n v="0"/>
    <n v="2"/>
    <n v="1"/>
    <n v="0"/>
    <n v="1.0016033485486104"/>
    <x v="888"/>
  </r>
  <r>
    <n v="4679"/>
    <n v="721"/>
    <n v="0"/>
    <n v="152"/>
    <n v="119"/>
    <n v="50"/>
    <n v="50"/>
    <s v="Together"/>
    <n v="78710"/>
    <n v="0"/>
    <n v="1"/>
    <n v="0"/>
    <n v="1"/>
    <n v="1.233173223110035"/>
    <x v="889"/>
  </r>
  <r>
    <n v="4682"/>
    <n v="99"/>
    <n v="27"/>
    <n v="102"/>
    <n v="28"/>
    <n v="48"/>
    <n v="6"/>
    <s v="Together"/>
    <n v="51876"/>
    <n v="0"/>
    <n v="0"/>
    <n v="0"/>
    <n v="1"/>
    <n v="-8.3744320310772252E-3"/>
    <x v="890"/>
  </r>
  <r>
    <n v="4686"/>
    <n v="861"/>
    <n v="31"/>
    <n v="558"/>
    <n v="62"/>
    <n v="95"/>
    <n v="79"/>
    <s v="Single"/>
    <n v="82571"/>
    <n v="0"/>
    <n v="0"/>
    <n v="1"/>
    <n v="0"/>
    <n v="1.4118128406288482"/>
    <x v="891"/>
  </r>
  <r>
    <n v="4687"/>
    <n v="674"/>
    <n v="92"/>
    <n v="736"/>
    <n v="39"/>
    <n v="0"/>
    <n v="92"/>
    <s v="Together"/>
    <n v="80739"/>
    <n v="0"/>
    <n v="0"/>
    <n v="0"/>
    <n v="1"/>
    <n v="1.327050401029142"/>
    <x v="892"/>
  </r>
  <r>
    <n v="4690"/>
    <n v="443"/>
    <n v="10"/>
    <n v="75"/>
    <n v="0"/>
    <n v="10"/>
    <n v="48"/>
    <s v="Together"/>
    <n v="50725"/>
    <n v="0"/>
    <n v="1"/>
    <n v="0"/>
    <n v="1"/>
    <n v="-6.162856302412411E-2"/>
    <x v="893"/>
  </r>
  <r>
    <n v="4692"/>
    <n v="7"/>
    <n v="0"/>
    <n v="12"/>
    <n v="13"/>
    <n v="7"/>
    <n v="32"/>
    <s v="Together"/>
    <n v="7500"/>
    <n v="1"/>
    <n v="0"/>
    <n v="0"/>
    <n v="1"/>
    <n v="-2.0615502069636999"/>
    <x v="90"/>
  </r>
  <r>
    <n v="4697"/>
    <n v="248"/>
    <n v="3"/>
    <n v="81"/>
    <n v="4"/>
    <n v="3"/>
    <n v="51"/>
    <s v="Single"/>
    <n v="35416"/>
    <n v="0"/>
    <n v="0"/>
    <n v="1"/>
    <n v="0"/>
    <n v="-0.7699408926266913"/>
    <x v="894"/>
  </r>
  <r>
    <n v="4702"/>
    <n v="1000"/>
    <n v="155"/>
    <n v="379"/>
    <n v="224"/>
    <n v="17"/>
    <n v="120"/>
    <s v="Single"/>
    <n v="61839"/>
    <n v="0"/>
    <n v="0"/>
    <n v="1"/>
    <n v="0"/>
    <n v="0.45259073485313311"/>
    <x v="895"/>
  </r>
  <r>
    <n v="4706"/>
    <n v="29"/>
    <n v="0"/>
    <n v="5"/>
    <n v="0"/>
    <n v="1"/>
    <n v="5"/>
    <s v="Single"/>
    <n v="34704"/>
    <n v="0"/>
    <n v="1"/>
    <n v="1"/>
    <n v="0"/>
    <n v="-0.80288350015670806"/>
    <x v="896"/>
  </r>
  <r>
    <n v="4712"/>
    <n v="8"/>
    <n v="8"/>
    <n v="22"/>
    <n v="24"/>
    <n v="11"/>
    <n v="9"/>
    <s v="Together"/>
    <n v="20193"/>
    <n v="0"/>
    <n v="0"/>
    <n v="0"/>
    <n v="1"/>
    <n v="-1.4742741994096216"/>
    <x v="897"/>
  </r>
  <r>
    <n v="4713"/>
    <n v="74"/>
    <n v="0"/>
    <n v="42"/>
    <n v="2"/>
    <n v="1"/>
    <n v="6"/>
    <s v="Together"/>
    <n v="31605"/>
    <n v="1"/>
    <n v="0"/>
    <n v="0"/>
    <n v="1"/>
    <n v="-0.94626712478525044"/>
    <x v="898"/>
  </r>
  <r>
    <n v="4725"/>
    <n v="30"/>
    <n v="2"/>
    <n v="25"/>
    <n v="0"/>
    <n v="1"/>
    <n v="9"/>
    <s v="Together"/>
    <n v="50616"/>
    <n v="0"/>
    <n v="1"/>
    <n v="0"/>
    <n v="1"/>
    <n v="-6.6671743109477807E-2"/>
    <x v="899"/>
  </r>
  <r>
    <n v="4741"/>
    <n v="391"/>
    <n v="32"/>
    <n v="70"/>
    <n v="21"/>
    <n v="32"/>
    <n v="16"/>
    <s v="Together"/>
    <n v="65463"/>
    <n v="1"/>
    <n v="0"/>
    <n v="0"/>
    <n v="1"/>
    <n v="0.62026490576434246"/>
    <x v="900"/>
  </r>
  <r>
    <n v="4743"/>
    <n v="689"/>
    <n v="8"/>
    <n v="167"/>
    <n v="11"/>
    <n v="8"/>
    <n v="88"/>
    <s v="Together"/>
    <n v="56242"/>
    <n v="0"/>
    <n v="1"/>
    <n v="0"/>
    <n v="1"/>
    <n v="0.19363037762630131"/>
    <x v="901"/>
  </r>
  <r>
    <n v="4754"/>
    <n v="30"/>
    <n v="11"/>
    <n v="33"/>
    <n v="13"/>
    <n v="6"/>
    <n v="29"/>
    <s v="Together"/>
    <n v="33585"/>
    <n v="0"/>
    <n v="1"/>
    <n v="0"/>
    <n v="1"/>
    <n v="-0.85465706451919243"/>
    <x v="902"/>
  </r>
  <r>
    <n v="4756"/>
    <n v="176"/>
    <n v="29"/>
    <n v="818"/>
    <n v="0"/>
    <n v="33"/>
    <n v="112"/>
    <s v="Single"/>
    <n v="63998"/>
    <n v="0"/>
    <n v="0"/>
    <n v="1"/>
    <n v="0"/>
    <n v="0.55248271470890054"/>
    <x v="903"/>
  </r>
  <r>
    <n v="4764"/>
    <n v="45"/>
    <n v="12"/>
    <n v="52"/>
    <n v="25"/>
    <n v="22"/>
    <n v="13"/>
    <s v="Together"/>
    <n v="40442"/>
    <n v="1"/>
    <n v="1"/>
    <n v="0"/>
    <n v="1"/>
    <n v="-0.53739939621396005"/>
    <x v="904"/>
  </r>
  <r>
    <n v="4767"/>
    <n v="635"/>
    <n v="114"/>
    <n v="254"/>
    <n v="132"/>
    <n v="152"/>
    <n v="76"/>
    <s v="Together"/>
    <n v="70924"/>
    <n v="0"/>
    <n v="0"/>
    <n v="0"/>
    <n v="1"/>
    <n v="0.87293285481128335"/>
    <x v="905"/>
  </r>
  <r>
    <n v="4769"/>
    <n v="456"/>
    <n v="4"/>
    <n v="24"/>
    <n v="0"/>
    <n v="0"/>
    <n v="9"/>
    <s v="Together"/>
    <n v="57954"/>
    <n v="1"/>
    <n v="1"/>
    <n v="0"/>
    <n v="1"/>
    <n v="0.27284069236139796"/>
    <x v="906"/>
  </r>
  <r>
    <n v="4785"/>
    <n v="520"/>
    <n v="7"/>
    <n v="154"/>
    <n v="19"/>
    <n v="0"/>
    <n v="14"/>
    <s v="Together"/>
    <n v="77622"/>
    <n v="0"/>
    <n v="2"/>
    <n v="0"/>
    <n v="1"/>
    <n v="1.1828339576709082"/>
    <x v="907"/>
  </r>
  <r>
    <n v="4786"/>
    <n v="555"/>
    <n v="82"/>
    <n v="257"/>
    <n v="93"/>
    <n v="61"/>
    <n v="61"/>
    <s v="Together"/>
    <n v="75330"/>
    <n v="1"/>
    <n v="1"/>
    <n v="0"/>
    <n v="1"/>
    <n v="1.0767883727568652"/>
    <x v="908"/>
  </r>
  <r>
    <n v="4789"/>
    <n v="769"/>
    <n v="22"/>
    <n v="500"/>
    <n v="210"/>
    <n v="143"/>
    <n v="33"/>
    <s v="Together"/>
    <n v="80812"/>
    <n v="0"/>
    <n v="0"/>
    <n v="0"/>
    <n v="1"/>
    <n v="1.3304279436551127"/>
    <x v="909"/>
  </r>
  <r>
    <n v="4790"/>
    <n v="574"/>
    <n v="8"/>
    <n v="216"/>
    <n v="21"/>
    <n v="16"/>
    <n v="33"/>
    <s v="Single"/>
    <n v="79803"/>
    <n v="0"/>
    <n v="1"/>
    <n v="1"/>
    <n v="0"/>
    <n v="1.2837438270851873"/>
    <x v="910"/>
  </r>
  <r>
    <n v="4791"/>
    <n v="19"/>
    <n v="1"/>
    <n v="17"/>
    <n v="2"/>
    <n v="0"/>
    <n v="2"/>
    <s v="Together"/>
    <n v="44964"/>
    <n v="1"/>
    <n v="1"/>
    <n v="0"/>
    <n v="1"/>
    <n v="-0.32817682423258904"/>
    <x v="911"/>
  </r>
  <r>
    <n v="4796"/>
    <n v="18"/>
    <n v="10"/>
    <n v="3"/>
    <n v="3"/>
    <n v="5"/>
    <n v="0"/>
    <s v="Single"/>
    <n v="49638"/>
    <n v="0"/>
    <n v="1"/>
    <n v="1"/>
    <n v="0"/>
    <n v="-0.1119215607560459"/>
    <x v="912"/>
  </r>
  <r>
    <n v="4808"/>
    <n v="1"/>
    <n v="2"/>
    <n v="5"/>
    <n v="6"/>
    <n v="0"/>
    <n v="3"/>
    <s v="Together"/>
    <n v="15759"/>
    <n v="0"/>
    <n v="0"/>
    <n v="0"/>
    <n v="1"/>
    <n v="-1.6794252131569456"/>
    <x v="913"/>
  </r>
  <r>
    <n v="4817"/>
    <n v="3"/>
    <n v="2"/>
    <n v="7"/>
    <n v="0"/>
    <n v="4"/>
    <n v="2"/>
    <s v="Single"/>
    <n v="22304"/>
    <n v="0"/>
    <n v="0"/>
    <n v="1"/>
    <n v="0"/>
    <n v="-1.376603069499698"/>
    <x v="914"/>
  </r>
  <r>
    <n v="4827"/>
    <n v="154"/>
    <n v="22"/>
    <n v="202"/>
    <n v="39"/>
    <n v="30"/>
    <n v="8"/>
    <s v="Single"/>
    <n v="54998"/>
    <n v="0"/>
    <n v="1"/>
    <n v="1"/>
    <n v="0"/>
    <n v="0.13607334986318201"/>
    <x v="915"/>
  </r>
  <r>
    <n v="4828"/>
    <n v="71"/>
    <n v="99"/>
    <n v="278"/>
    <n v="185"/>
    <n v="121"/>
    <n v="38"/>
    <s v="Single"/>
    <n v="79865"/>
    <n v="0"/>
    <n v="1"/>
    <n v="1"/>
    <n v="0"/>
    <n v="1.2866124249319022"/>
    <x v="916"/>
  </r>
  <r>
    <n v="4832"/>
    <n v="6"/>
    <n v="5"/>
    <n v="17"/>
    <n v="3"/>
    <n v="24"/>
    <n v="46"/>
    <s v="Together"/>
    <n v="27244"/>
    <n v="1"/>
    <n v="0"/>
    <n v="0"/>
    <n v="1"/>
    <n v="-1.1480405959066036"/>
    <x v="917"/>
  </r>
  <r>
    <n v="4837"/>
    <n v="753"/>
    <n v="43"/>
    <n v="226"/>
    <n v="69"/>
    <n v="10"/>
    <n v="204"/>
    <s v="Together"/>
    <n v="71322"/>
    <n v="0"/>
    <n v="1"/>
    <n v="0"/>
    <n v="1"/>
    <n v="0.89134740227890519"/>
    <x v="598"/>
  </r>
  <r>
    <n v="4838"/>
    <n v="5"/>
    <n v="1"/>
    <n v="8"/>
    <n v="0"/>
    <n v="0"/>
    <n v="1"/>
    <s v="Together"/>
    <n v="22775"/>
    <n v="1"/>
    <n v="0"/>
    <n v="0"/>
    <n v="1"/>
    <n v="-1.3548109794061054"/>
    <x v="918"/>
  </r>
  <r>
    <n v="4855"/>
    <n v="14"/>
    <n v="0"/>
    <n v="24"/>
    <n v="3"/>
    <n v="3"/>
    <n v="2"/>
    <s v="Together"/>
    <n v="30351"/>
    <n v="1"/>
    <n v="0"/>
    <n v="0"/>
    <n v="1"/>
    <n v="-1.0042868296204206"/>
    <x v="919"/>
  </r>
  <r>
    <n v="4856"/>
    <n v="556"/>
    <n v="54"/>
    <n v="845"/>
    <n v="202"/>
    <n v="133"/>
    <n v="63"/>
    <s v="Together"/>
    <n v="82347"/>
    <n v="0"/>
    <n v="0"/>
    <n v="0"/>
    <n v="1"/>
    <n v="1.4014488742149103"/>
    <x v="920"/>
  </r>
  <r>
    <n v="4860"/>
    <n v="7"/>
    <n v="2"/>
    <n v="8"/>
    <n v="3"/>
    <n v="2"/>
    <n v="3"/>
    <s v="Single"/>
    <n v="24206"/>
    <n v="1"/>
    <n v="0"/>
    <n v="1"/>
    <n v="0"/>
    <n v="-1.2886018903956362"/>
    <x v="921"/>
  </r>
  <r>
    <n v="4864"/>
    <n v="72"/>
    <n v="7"/>
    <n v="58"/>
    <n v="13"/>
    <n v="1"/>
    <n v="24"/>
    <s v="Together"/>
    <n v="34380"/>
    <n v="1"/>
    <n v="0"/>
    <n v="0"/>
    <n v="1"/>
    <n v="-0.81787423729115394"/>
    <x v="922"/>
  </r>
  <r>
    <n v="4865"/>
    <n v="229"/>
    <n v="7"/>
    <n v="140"/>
    <n v="10"/>
    <n v="3"/>
    <n v="11"/>
    <s v="Single"/>
    <n v="53367"/>
    <n v="1"/>
    <n v="1"/>
    <n v="1"/>
    <n v="0"/>
    <n v="6.0610719411696802E-2"/>
    <x v="923"/>
  </r>
  <r>
    <n v="4867"/>
    <n v="58"/>
    <n v="0"/>
    <n v="18"/>
    <n v="2"/>
    <n v="0"/>
    <n v="10"/>
    <s v="Single"/>
    <n v="38236"/>
    <n v="1"/>
    <n v="1"/>
    <n v="1"/>
    <n v="0"/>
    <n v="-0.63946595830836617"/>
    <x v="924"/>
  </r>
  <r>
    <n v="4877"/>
    <n v="34"/>
    <n v="0"/>
    <n v="7"/>
    <n v="0"/>
    <n v="0"/>
    <n v="0"/>
    <s v="Together"/>
    <n v="38576"/>
    <n v="0"/>
    <n v="1"/>
    <n v="0"/>
    <n v="1"/>
    <n v="-0.62373493785863898"/>
    <x v="925"/>
  </r>
  <r>
    <n v="4887"/>
    <n v="10"/>
    <n v="5"/>
    <n v="28"/>
    <n v="11"/>
    <n v="1"/>
    <n v="8"/>
    <s v="Single"/>
    <n v="55412"/>
    <n v="1"/>
    <n v="1"/>
    <n v="1"/>
    <n v="0"/>
    <n v="0.15522818064608507"/>
    <x v="926"/>
  </r>
  <r>
    <n v="4910"/>
    <n v="1132"/>
    <n v="134"/>
    <n v="384"/>
    <n v="175"/>
    <n v="134"/>
    <n v="115"/>
    <s v="Single"/>
    <n v="68743"/>
    <n v="0"/>
    <n v="0"/>
    <n v="1"/>
    <n v="0"/>
    <n v="0.77202298539700431"/>
    <x v="927"/>
  </r>
  <r>
    <n v="4915"/>
    <n v="176"/>
    <n v="72"/>
    <n v="98"/>
    <n v="136"/>
    <n v="21"/>
    <n v="229"/>
    <s v="Together"/>
    <n v="53230"/>
    <n v="0"/>
    <n v="1"/>
    <n v="0"/>
    <n v="1"/>
    <n v="5.4272043524600869E-2"/>
    <x v="928"/>
  </r>
  <r>
    <n v="4927"/>
    <n v="8"/>
    <n v="3"/>
    <n v="22"/>
    <n v="21"/>
    <n v="1"/>
    <n v="13"/>
    <s v="Together"/>
    <n v="16626"/>
    <n v="2"/>
    <n v="0"/>
    <n v="0"/>
    <n v="1"/>
    <n v="-1.6393111110101413"/>
    <x v="929"/>
  </r>
  <r>
    <n v="4931"/>
    <n v="1"/>
    <n v="0"/>
    <n v="1725"/>
    <n v="2"/>
    <n v="1"/>
    <n v="1"/>
    <s v="Together"/>
    <n v="157146"/>
    <n v="0"/>
    <n v="0"/>
    <n v="0"/>
    <n v="1"/>
    <n v="4.8622271054476762"/>
    <x v="930"/>
  </r>
  <r>
    <n v="4937"/>
    <n v="12"/>
    <n v="2"/>
    <n v="20"/>
    <n v="3"/>
    <n v="2"/>
    <n v="5"/>
    <s v="Together"/>
    <n v="46094"/>
    <n v="1"/>
    <n v="1"/>
    <n v="0"/>
    <n v="1"/>
    <n v="-0.27589431509084883"/>
    <x v="931"/>
  </r>
  <r>
    <n v="4939"/>
    <n v="84"/>
    <n v="5"/>
    <n v="38"/>
    <n v="150"/>
    <n v="12"/>
    <n v="28"/>
    <s v="Together"/>
    <n v="37760"/>
    <n v="0"/>
    <n v="0"/>
    <n v="0"/>
    <n v="1"/>
    <n v="-0.66148938693798409"/>
    <x v="932"/>
  </r>
  <r>
    <n v="4943"/>
    <n v="1379"/>
    <n v="33"/>
    <n v="216"/>
    <n v="0"/>
    <n v="33"/>
    <n v="66"/>
    <s v="Together"/>
    <n v="70503"/>
    <n v="0"/>
    <n v="0"/>
    <n v="0"/>
    <n v="1"/>
    <n v="0.85345415007794478"/>
    <x v="933"/>
  </r>
  <r>
    <n v="4945"/>
    <n v="815"/>
    <n v="10"/>
    <n v="239"/>
    <n v="28"/>
    <n v="10"/>
    <n v="108"/>
    <s v="Single"/>
    <n v="53653"/>
    <n v="0"/>
    <n v="0"/>
    <n v="1"/>
    <n v="0"/>
    <n v="7.384328367234963E-2"/>
    <x v="934"/>
  </r>
  <r>
    <n v="4947"/>
    <n v="606"/>
    <n v="24"/>
    <n v="974"/>
    <n v="197"/>
    <n v="194"/>
    <n v="64"/>
    <s v="Single"/>
    <n v="89572"/>
    <n v="0"/>
    <n v="0"/>
    <n v="1"/>
    <n v="0"/>
    <n v="1.735733058771612"/>
    <x v="935"/>
  </r>
  <r>
    <n v="4954"/>
    <n v="106"/>
    <n v="27"/>
    <n v="68"/>
    <n v="52"/>
    <n v="7"/>
    <n v="5"/>
    <s v="Together"/>
    <n v="48195"/>
    <n v="1"/>
    <n v="1"/>
    <n v="0"/>
    <n v="1"/>
    <n v="-0.17868586225297609"/>
    <x v="936"/>
  </r>
  <r>
    <n v="4961"/>
    <n v="29"/>
    <n v="0"/>
    <n v="25"/>
    <n v="2"/>
    <n v="2"/>
    <n v="3"/>
    <s v="Together"/>
    <n v="21255"/>
    <n v="1"/>
    <n v="0"/>
    <n v="0"/>
    <n v="1"/>
    <n v="-1.4251378943578268"/>
    <x v="937"/>
  </r>
  <r>
    <n v="4964"/>
    <n v="680"/>
    <n v="11"/>
    <n v="392"/>
    <n v="75"/>
    <n v="0"/>
    <n v="0"/>
    <s v="Together"/>
    <n v="74250"/>
    <n v="0"/>
    <n v="0"/>
    <n v="0"/>
    <n v="1"/>
    <n v="1.0268192489753789"/>
    <x v="938"/>
  </r>
  <r>
    <n v="4967"/>
    <n v="233"/>
    <n v="0"/>
    <n v="23"/>
    <n v="0"/>
    <n v="0"/>
    <n v="12"/>
    <s v="Together"/>
    <n v="38201"/>
    <n v="0"/>
    <n v="1"/>
    <n v="0"/>
    <n v="1"/>
    <n v="-0.64108532806054397"/>
    <x v="939"/>
  </r>
  <r>
    <n v="4974"/>
    <n v="433"/>
    <n v="89"/>
    <n v="650"/>
    <n v="16"/>
    <n v="102"/>
    <n v="102"/>
    <s v="Single"/>
    <n v="83273"/>
    <n v="1"/>
    <n v="2"/>
    <n v="1"/>
    <n v="0"/>
    <n v="1.4442927710868143"/>
    <x v="940"/>
  </r>
  <r>
    <n v="4988"/>
    <n v="19"/>
    <n v="6"/>
    <n v="20"/>
    <n v="0"/>
    <n v="5"/>
    <n v="12"/>
    <s v="Together"/>
    <n v="34469"/>
    <n v="1"/>
    <n v="1"/>
    <n v="0"/>
    <n v="1"/>
    <n v="-0.81375641134990184"/>
    <x v="941"/>
  </r>
  <r>
    <n v="4990"/>
    <n v="524"/>
    <n v="0"/>
    <n v="134"/>
    <n v="28"/>
    <n v="28"/>
    <n v="155"/>
    <s v="Together"/>
    <n v="59111"/>
    <n v="0"/>
    <n v="0"/>
    <n v="0"/>
    <n v="1"/>
    <n v="0.32637242959767537"/>
    <x v="942"/>
  </r>
  <r>
    <n v="4992"/>
    <n v="6"/>
    <n v="4"/>
    <n v="16"/>
    <n v="3"/>
    <n v="10"/>
    <n v="30"/>
    <s v="Together"/>
    <n v="17459"/>
    <n v="1"/>
    <n v="0"/>
    <n v="0"/>
    <n v="1"/>
    <n v="-1.6007701109083099"/>
    <x v="943"/>
  </r>
  <r>
    <n v="4994"/>
    <n v="1193"/>
    <n v="33"/>
    <n v="281"/>
    <n v="129"/>
    <n v="66"/>
    <n v="33"/>
    <s v="Single"/>
    <n v="77598"/>
    <n v="0"/>
    <n v="0"/>
    <n v="1"/>
    <n v="0"/>
    <n v="1.1817235326979862"/>
    <x v="944"/>
  </r>
  <r>
    <n v="4998"/>
    <n v="292"/>
    <n v="30"/>
    <n v="415"/>
    <n v="63"/>
    <n v="33"/>
    <n v="200"/>
    <s v="Together"/>
    <n v="76081"/>
    <n v="0"/>
    <n v="0"/>
    <n v="0"/>
    <n v="1"/>
    <n v="1.11153542086788"/>
    <x v="945"/>
  </r>
  <r>
    <n v="5010"/>
    <n v="2"/>
    <n v="8"/>
    <n v="8"/>
    <n v="6"/>
    <n v="1"/>
    <n v="9"/>
    <s v="Single"/>
    <n v="25008"/>
    <n v="1"/>
    <n v="0"/>
    <n v="1"/>
    <n v="0"/>
    <n v="-1.2514951892171622"/>
    <x v="946"/>
  </r>
  <r>
    <n v="5012"/>
    <n v="5"/>
    <n v="4"/>
    <n v="13"/>
    <n v="8"/>
    <n v="0"/>
    <n v="4"/>
    <s v="Together"/>
    <n v="28691"/>
    <n v="1"/>
    <n v="0"/>
    <n v="0"/>
    <n v="1"/>
    <n v="-1.0810912235808532"/>
    <x v="947"/>
  </r>
  <r>
    <n v="5015"/>
    <n v="68"/>
    <n v="6"/>
    <n v="38"/>
    <n v="3"/>
    <n v="6"/>
    <n v="41"/>
    <s v="Together"/>
    <n v="34529"/>
    <n v="1"/>
    <n v="0"/>
    <n v="0"/>
    <n v="1"/>
    <n v="-0.81098034891759707"/>
    <x v="948"/>
  </r>
  <r>
    <n v="5025"/>
    <n v="23"/>
    <n v="17"/>
    <n v="23"/>
    <n v="43"/>
    <n v="20"/>
    <n v="9"/>
    <s v="Single"/>
    <n v="48526"/>
    <n v="1"/>
    <n v="0"/>
    <n v="1"/>
    <n v="0"/>
    <n v="-0.16337125116809467"/>
    <x v="949"/>
  </r>
  <r>
    <n v="5029"/>
    <n v="3"/>
    <n v="1"/>
    <n v="2"/>
    <n v="4"/>
    <n v="3"/>
    <n v="1"/>
    <s v="Together"/>
    <n v="18100"/>
    <n v="0"/>
    <n v="0"/>
    <n v="0"/>
    <n v="1"/>
    <n v="-1.5711125105898536"/>
    <x v="950"/>
  </r>
  <r>
    <n v="5031"/>
    <n v="777"/>
    <n v="35"/>
    <n v="731"/>
    <n v="39"/>
    <n v="137"/>
    <n v="114"/>
    <s v="Together"/>
    <n v="83145"/>
    <n v="0"/>
    <n v="0"/>
    <n v="0"/>
    <n v="1"/>
    <n v="1.4383705045645641"/>
    <x v="951"/>
  </r>
  <r>
    <n v="5036"/>
    <n v="252"/>
    <n v="3"/>
    <n v="42"/>
    <n v="4"/>
    <n v="3"/>
    <n v="102"/>
    <s v="Single"/>
    <n v="42710"/>
    <n v="1"/>
    <n v="0"/>
    <n v="1"/>
    <n v="0"/>
    <n v="-0.43246423627283898"/>
    <x v="952"/>
  </r>
  <r>
    <n v="5043"/>
    <n v="7"/>
    <n v="23"/>
    <n v="78"/>
    <n v="133"/>
    <n v="49"/>
    <n v="144"/>
    <s v="Together"/>
    <n v="26997"/>
    <n v="0"/>
    <n v="0"/>
    <n v="0"/>
    <n v="1"/>
    <n v="-1.1594687195862583"/>
    <x v="953"/>
  </r>
  <r>
    <n v="5046"/>
    <n v="756"/>
    <n v="138"/>
    <n v="354"/>
    <n v="160"/>
    <n v="169"/>
    <n v="61"/>
    <s v="Single"/>
    <n v="78331"/>
    <n v="0"/>
    <n v="1"/>
    <n v="1"/>
    <n v="0"/>
    <n v="1.2156377620793097"/>
    <x v="954"/>
  </r>
  <r>
    <n v="5048"/>
    <n v="20"/>
    <n v="6"/>
    <n v="43"/>
    <n v="19"/>
    <n v="5"/>
    <n v="38"/>
    <s v="Single"/>
    <n v="42767"/>
    <n v="2"/>
    <n v="0"/>
    <n v="1"/>
    <n v="0"/>
    <n v="-0.42982697696214939"/>
    <x v="955"/>
  </r>
  <r>
    <n v="5057"/>
    <n v="264"/>
    <n v="47"/>
    <n v="188"/>
    <n v="54"/>
    <n v="47"/>
    <n v="11"/>
    <s v="Together"/>
    <n v="61794"/>
    <n v="0"/>
    <n v="1"/>
    <n v="0"/>
    <n v="1"/>
    <n v="0.45050868802890454"/>
    <x v="956"/>
  </r>
  <r>
    <n v="5062"/>
    <n v="35"/>
    <n v="0"/>
    <n v="4"/>
    <n v="0"/>
    <n v="0"/>
    <n v="0"/>
    <s v="Together"/>
    <n v="54072"/>
    <n v="1"/>
    <n v="1"/>
    <n v="0"/>
    <n v="1"/>
    <n v="9.3229452991278078E-2"/>
    <x v="957"/>
  </r>
  <r>
    <n v="5063"/>
    <n v="41"/>
    <n v="5"/>
    <n v="129"/>
    <n v="10"/>
    <n v="3"/>
    <n v="3"/>
    <s v="Single"/>
    <n v="28769"/>
    <n v="1"/>
    <n v="0"/>
    <n v="1"/>
    <n v="0"/>
    <n v="-1.0774823424188569"/>
    <x v="958"/>
  </r>
  <r>
    <n v="5067"/>
    <n v="966"/>
    <n v="26"/>
    <n v="282"/>
    <n v="52"/>
    <n v="26"/>
    <n v="26"/>
    <s v="Together"/>
    <n v="80134"/>
    <n v="0"/>
    <n v="0"/>
    <n v="0"/>
    <n v="1"/>
    <n v="1.2990584381700687"/>
    <x v="959"/>
  </r>
  <r>
    <n v="5068"/>
    <n v="14"/>
    <n v="1"/>
    <n v="7"/>
    <n v="2"/>
    <n v="1"/>
    <n v="1"/>
    <s v="Single"/>
    <n v="22804"/>
    <n v="1"/>
    <n v="0"/>
    <n v="1"/>
    <n v="0"/>
    <n v="-1.3534692158971582"/>
    <x v="960"/>
  </r>
  <r>
    <n v="5074"/>
    <n v="30"/>
    <n v="0"/>
    <n v="10"/>
    <n v="2"/>
    <n v="0"/>
    <n v="5"/>
    <s v="Together"/>
    <n v="28072"/>
    <n v="1"/>
    <n v="0"/>
    <n v="0"/>
    <n v="1"/>
    <n v="-1.1097309343407975"/>
    <x v="961"/>
  </r>
  <r>
    <n v="5077"/>
    <n v="425"/>
    <n v="115"/>
    <n v="292"/>
    <n v="23"/>
    <n v="35"/>
    <n v="79"/>
    <s v="Together"/>
    <n v="77298"/>
    <n v="0"/>
    <n v="1"/>
    <n v="0"/>
    <n v="1"/>
    <n v="1.1678432205364622"/>
    <x v="962"/>
  </r>
  <r>
    <n v="5080"/>
    <n v="420"/>
    <n v="0"/>
    <n v="452"/>
    <n v="182"/>
    <n v="64"/>
    <n v="140"/>
    <s v="Single"/>
    <n v="70515"/>
    <n v="0"/>
    <n v="0"/>
    <n v="1"/>
    <n v="0"/>
    <n v="0.85400936256440574"/>
    <x v="963"/>
  </r>
  <r>
    <n v="5081"/>
    <n v="9"/>
    <n v="0"/>
    <n v="16"/>
    <n v="6"/>
    <n v="6"/>
    <n v="10"/>
    <s v="Together"/>
    <n v="47821"/>
    <n v="1"/>
    <n v="1"/>
    <n v="0"/>
    <n v="1"/>
    <n v="-0.19598998474767595"/>
    <x v="964"/>
  </r>
  <r>
    <n v="5084"/>
    <n v="445"/>
    <n v="53"/>
    <n v="213"/>
    <n v="104"/>
    <n v="98"/>
    <n v="151"/>
    <s v="Single"/>
    <n v="58330"/>
    <n v="0"/>
    <n v="1"/>
    <n v="1"/>
    <n v="0"/>
    <n v="0.29023735027050801"/>
    <x v="965"/>
  </r>
  <r>
    <n v="5092"/>
    <n v="380"/>
    <n v="0"/>
    <n v="47"/>
    <n v="6"/>
    <n v="0"/>
    <n v="34"/>
    <s v="Single"/>
    <n v="51569"/>
    <n v="0"/>
    <n v="1"/>
    <n v="1"/>
    <n v="0"/>
    <n v="-2.2578618143036733E-2"/>
    <x v="966"/>
  </r>
  <r>
    <n v="5093"/>
    <n v="40"/>
    <n v="3"/>
    <n v="30"/>
    <n v="10"/>
    <n v="7"/>
    <n v="11"/>
    <s v="Single"/>
    <n v="25509"/>
    <n v="1"/>
    <n v="0"/>
    <n v="1"/>
    <n v="0"/>
    <n v="-1.2283150679074171"/>
    <x v="967"/>
  </r>
  <r>
    <n v="5113"/>
    <n v="584"/>
    <n v="100"/>
    <n v="835"/>
    <n v="65"/>
    <n v="83"/>
    <n v="35"/>
    <s v="Single"/>
    <n v="86979"/>
    <n v="0"/>
    <n v="0"/>
    <n v="1"/>
    <n v="0"/>
    <n v="1.6157608939888402"/>
    <x v="968"/>
  </r>
  <r>
    <n v="5114"/>
    <n v="670"/>
    <n v="9"/>
    <n v="249"/>
    <n v="0"/>
    <n v="28"/>
    <n v="9"/>
    <s v="Together"/>
    <n v="74806"/>
    <n v="0"/>
    <n v="1"/>
    <n v="0"/>
    <n v="1"/>
    <n v="1.0525440941814033"/>
    <x v="969"/>
  </r>
  <r>
    <n v="5117"/>
    <n v="63"/>
    <n v="151"/>
    <n v="137"/>
    <n v="153"/>
    <n v="19"/>
    <n v="53"/>
    <s v="Together"/>
    <n v="32632"/>
    <n v="0"/>
    <n v="0"/>
    <n v="0"/>
    <n v="1"/>
    <n v="-0.89875018948563345"/>
    <x v="970"/>
  </r>
  <r>
    <n v="5120"/>
    <n v="398"/>
    <n v="96"/>
    <n v="447"/>
    <n v="220"/>
    <n v="96"/>
    <n v="32"/>
    <s v="Together"/>
    <n v="66664"/>
    <n v="0"/>
    <n v="0"/>
    <n v="0"/>
    <n v="1"/>
    <n v="0.67583242211764327"/>
    <x v="971"/>
  </r>
  <r>
    <n v="5121"/>
    <n v="479"/>
    <n v="5"/>
    <n v="82"/>
    <n v="7"/>
    <n v="17"/>
    <n v="171"/>
    <s v="Single"/>
    <n v="56628"/>
    <n v="0"/>
    <n v="1"/>
    <n v="1"/>
    <n v="0"/>
    <n v="0.21148971260746213"/>
    <x v="972"/>
  </r>
  <r>
    <n v="5123"/>
    <n v="37"/>
    <n v="12"/>
    <n v="23"/>
    <n v="8"/>
    <n v="11"/>
    <n v="52"/>
    <s v="Together"/>
    <n v="27450"/>
    <n v="0"/>
    <n v="0"/>
    <n v="0"/>
    <n v="1"/>
    <n v="-1.1385094482223572"/>
    <x v="973"/>
  </r>
  <r>
    <n v="5125"/>
    <n v="333"/>
    <n v="0"/>
    <n v="815"/>
    <n v="129"/>
    <n v="42"/>
    <n v="29"/>
    <s v="Together"/>
    <n v="79530"/>
    <n v="0"/>
    <n v="0"/>
    <n v="0"/>
    <n v="1"/>
    <n v="1.2711127430182005"/>
    <x v="974"/>
  </r>
  <r>
    <n v="5136"/>
    <n v="654"/>
    <n v="7"/>
    <n v="92"/>
    <n v="0"/>
    <n v="15"/>
    <n v="30"/>
    <s v="Single"/>
    <n v="65333"/>
    <n v="0"/>
    <n v="1"/>
    <n v="1"/>
    <n v="0"/>
    <n v="0.61425010382768208"/>
    <x v="975"/>
  </r>
  <r>
    <n v="5138"/>
    <n v="19"/>
    <n v="1"/>
    <n v="14"/>
    <n v="3"/>
    <n v="2"/>
    <n v="4"/>
    <s v="Together"/>
    <n v="28320"/>
    <n v="0"/>
    <n v="1"/>
    <n v="0"/>
    <n v="1"/>
    <n v="-1.0982565429539377"/>
    <x v="976"/>
  </r>
  <r>
    <n v="5140"/>
    <n v="1047"/>
    <n v="0"/>
    <n v="140"/>
    <n v="67"/>
    <n v="38"/>
    <n v="153"/>
    <s v="Together"/>
    <n v="64355"/>
    <n v="1"/>
    <n v="0"/>
    <n v="0"/>
    <n v="1"/>
    <n v="0.56900028618111398"/>
    <x v="977"/>
  </r>
  <r>
    <n v="5147"/>
    <n v="774"/>
    <n v="70"/>
    <n v="118"/>
    <n v="182"/>
    <n v="187"/>
    <n v="93"/>
    <s v="Single"/>
    <n v="90842"/>
    <n v="0"/>
    <n v="0"/>
    <n v="1"/>
    <n v="0"/>
    <n v="1.7944930469220635"/>
    <x v="978"/>
  </r>
  <r>
    <n v="5150"/>
    <n v="0"/>
    <n v="4"/>
    <n v="7"/>
    <n v="11"/>
    <n v="10"/>
    <n v="15"/>
    <s v="Single"/>
    <n v="20194"/>
    <n v="1"/>
    <n v="0"/>
    <n v="1"/>
    <n v="0"/>
    <n v="-1.4742279317024165"/>
    <x v="979"/>
  </r>
  <r>
    <n v="5154"/>
    <n v="26"/>
    <n v="3"/>
    <n v="13"/>
    <n v="2"/>
    <n v="10"/>
    <n v="0"/>
    <s v="Single"/>
    <n v="37760"/>
    <n v="1"/>
    <n v="0"/>
    <n v="1"/>
    <n v="0"/>
    <n v="-0.66148938693798409"/>
    <x v="980"/>
  </r>
  <r>
    <n v="5156"/>
    <n v="129"/>
    <n v="129"/>
    <n v="259"/>
    <n v="168"/>
    <n v="121"/>
    <n v="83"/>
    <s v="Together"/>
    <n v="62466"/>
    <n v="0"/>
    <n v="1"/>
    <n v="0"/>
    <n v="1"/>
    <n v="0.48160058727071819"/>
    <x v="981"/>
  </r>
  <r>
    <n v="5172"/>
    <n v="738"/>
    <n v="0"/>
    <n v="232"/>
    <n v="13"/>
    <n v="20"/>
    <n v="50"/>
    <s v="Together"/>
    <n v="65104"/>
    <n v="0"/>
    <n v="1"/>
    <n v="0"/>
    <n v="1"/>
    <n v="0.60365479887771878"/>
    <x v="982"/>
  </r>
  <r>
    <n v="5176"/>
    <n v="7"/>
    <n v="6"/>
    <n v="13"/>
    <n v="7"/>
    <n v="6"/>
    <n v="14"/>
    <s v="Together"/>
    <n v="29604"/>
    <n v="1"/>
    <n v="0"/>
    <n v="0"/>
    <n v="1"/>
    <n v="-1.0388488069026152"/>
    <x v="983"/>
  </r>
  <r>
    <n v="5177"/>
    <n v="298"/>
    <n v="7"/>
    <n v="68"/>
    <n v="4"/>
    <n v="0"/>
    <n v="19"/>
    <s v="Together"/>
    <n v="58494"/>
    <n v="0"/>
    <n v="1"/>
    <n v="0"/>
    <n v="1"/>
    <n v="0.29782525425214113"/>
    <x v="984"/>
  </r>
  <r>
    <n v="5180"/>
    <n v="128"/>
    <n v="0"/>
    <n v="16"/>
    <n v="0"/>
    <n v="1"/>
    <n v="4"/>
    <s v="Single"/>
    <n v="50616"/>
    <n v="0"/>
    <n v="1"/>
    <n v="1"/>
    <n v="0"/>
    <n v="-6.6671743109477807E-2"/>
    <x v="985"/>
  </r>
  <r>
    <n v="5181"/>
    <n v="2"/>
    <n v="4"/>
    <n v="2"/>
    <n v="0"/>
    <n v="11"/>
    <n v="5"/>
    <s v="Single"/>
    <n v="24367"/>
    <n v="1"/>
    <n v="0"/>
    <n v="1"/>
    <n v="0"/>
    <n v="-1.2811527895356183"/>
    <x v="986"/>
  </r>
  <r>
    <n v="5184"/>
    <n v="4"/>
    <n v="2"/>
    <n v="11"/>
    <n v="2"/>
    <n v="0"/>
    <n v="4"/>
    <s v="Single"/>
    <n v="34824"/>
    <n v="0"/>
    <n v="0"/>
    <n v="1"/>
    <n v="0"/>
    <n v="-0.79733137529209852"/>
    <x v="987"/>
  </r>
  <r>
    <n v="5185"/>
    <n v="199"/>
    <n v="66"/>
    <n v="315"/>
    <n v="97"/>
    <n v="174"/>
    <n v="41"/>
    <s v="Together"/>
    <n v="74268"/>
    <n v="0"/>
    <n v="0"/>
    <n v="0"/>
    <n v="1"/>
    <n v="1.0276520677050704"/>
    <x v="988"/>
  </r>
  <r>
    <n v="5186"/>
    <n v="576"/>
    <n v="7"/>
    <n v="115"/>
    <n v="19"/>
    <n v="7"/>
    <n v="7"/>
    <s v="Together"/>
    <n v="58482"/>
    <n v="0"/>
    <n v="1"/>
    <n v="0"/>
    <n v="1"/>
    <n v="0.29727004176568012"/>
    <x v="989"/>
  </r>
  <r>
    <n v="5204"/>
    <n v="380"/>
    <n v="98"/>
    <n v="733"/>
    <n v="110"/>
    <n v="112"/>
    <n v="28"/>
    <s v="Together"/>
    <n v="74538"/>
    <n v="0"/>
    <n v="0"/>
    <n v="0"/>
    <n v="1"/>
    <n v="1.0401443486504418"/>
    <x v="990"/>
  </r>
  <r>
    <n v="5207"/>
    <n v="489"/>
    <n v="6"/>
    <n v="152"/>
    <n v="8"/>
    <n v="6"/>
    <n v="132"/>
    <s v="Together"/>
    <n v="53378"/>
    <n v="1"/>
    <n v="1"/>
    <n v="0"/>
    <n v="1"/>
    <n v="6.1119664190952681E-2"/>
    <x v="991"/>
  </r>
  <r>
    <n v="5209"/>
    <n v="443"/>
    <n v="5"/>
    <n v="71"/>
    <n v="21"/>
    <n v="16"/>
    <n v="82"/>
    <s v="Single"/>
    <n v="50002"/>
    <n v="0"/>
    <n v="1"/>
    <n v="1"/>
    <n v="0"/>
    <n v="-9.5080115333396831E-2"/>
    <x v="992"/>
  </r>
  <r>
    <n v="5221"/>
    <n v="714"/>
    <n v="8"/>
    <n v="99"/>
    <n v="11"/>
    <n v="0"/>
    <n v="47"/>
    <s v="Together"/>
    <n v="52852"/>
    <n v="0"/>
    <n v="1"/>
    <n v="0"/>
    <n v="1"/>
    <n v="3.6782850201080693E-2"/>
    <x v="993"/>
  </r>
  <r>
    <n v="5223"/>
    <n v="33"/>
    <n v="8"/>
    <n v="10"/>
    <n v="2"/>
    <n v="10"/>
    <n v="3"/>
    <s v="Together"/>
    <n v="45903"/>
    <n v="0"/>
    <n v="1"/>
    <n v="0"/>
    <n v="1"/>
    <n v="-0.28473144716701904"/>
    <x v="994"/>
  </r>
  <r>
    <n v="5229"/>
    <n v="30"/>
    <n v="1"/>
    <n v="8"/>
    <n v="0"/>
    <n v="0"/>
    <n v="3"/>
    <s v="Together"/>
    <n v="54132"/>
    <n v="0"/>
    <n v="1"/>
    <n v="0"/>
    <n v="1"/>
    <n v="9.6005515423582877E-2"/>
    <x v="995"/>
  </r>
  <r>
    <n v="5231"/>
    <n v="27"/>
    <n v="2"/>
    <n v="7"/>
    <n v="0"/>
    <n v="2"/>
    <n v="13"/>
    <s v="Together"/>
    <n v="45894"/>
    <n v="0"/>
    <n v="2"/>
    <n v="0"/>
    <n v="1"/>
    <n v="-0.28514785653186475"/>
    <x v="996"/>
  </r>
  <r>
    <n v="5234"/>
    <n v="12"/>
    <n v="5"/>
    <n v="25"/>
    <n v="0"/>
    <n v="9"/>
    <n v="30"/>
    <s v="Together"/>
    <n v="30753"/>
    <n v="1"/>
    <n v="1"/>
    <n v="0"/>
    <n v="1"/>
    <n v="-0.98568721132397852"/>
    <x v="997"/>
  </r>
  <r>
    <n v="5236"/>
    <n v="1230"/>
    <n v="0"/>
    <n v="396"/>
    <n v="232"/>
    <n v="178"/>
    <n v="158"/>
    <s v="Together"/>
    <n v="77568"/>
    <n v="0"/>
    <n v="1"/>
    <n v="0"/>
    <n v="1"/>
    <n v="1.1803355014818337"/>
    <x v="998"/>
  </r>
  <r>
    <n v="5237"/>
    <n v="28"/>
    <n v="1"/>
    <n v="21"/>
    <n v="3"/>
    <n v="0"/>
    <n v="10"/>
    <s v="Single"/>
    <n v="48767"/>
    <n v="1"/>
    <n v="2"/>
    <n v="1"/>
    <n v="0"/>
    <n v="-0.15222073373167042"/>
    <x v="999"/>
  </r>
  <r>
    <n v="5247"/>
    <n v="31"/>
    <n v="0"/>
    <n v="6"/>
    <n v="2"/>
    <n v="1"/>
    <n v="5"/>
    <s v="Together"/>
    <n v="38725"/>
    <n v="1"/>
    <n v="1"/>
    <n v="0"/>
    <n v="1"/>
    <n v="-0.61684104948508212"/>
    <x v="1000"/>
  </r>
  <r>
    <n v="5252"/>
    <n v="16"/>
    <n v="12"/>
    <n v="18"/>
    <n v="7"/>
    <n v="1"/>
    <n v="13"/>
    <s v="Single"/>
    <n v="23910"/>
    <n v="1"/>
    <n v="0"/>
    <n v="1"/>
    <n v="0"/>
    <n v="-1.3022971317283398"/>
    <x v="1001"/>
  </r>
  <r>
    <n v="5253"/>
    <n v="145"/>
    <n v="13"/>
    <n v="46"/>
    <n v="17"/>
    <n v="2"/>
    <n v="4"/>
    <s v="Together"/>
    <n v="54603"/>
    <n v="1"/>
    <n v="1"/>
    <n v="0"/>
    <n v="1"/>
    <n v="0.11779760551717547"/>
    <x v="1002"/>
  </r>
  <r>
    <n v="5263"/>
    <n v="5"/>
    <n v="10"/>
    <n v="13"/>
    <n v="3"/>
    <n v="8"/>
    <n v="16"/>
    <s v="Together"/>
    <n v="31056"/>
    <n v="1"/>
    <n v="0"/>
    <n v="0"/>
    <n v="1"/>
    <n v="-0.97166809604083937"/>
    <x v="1003"/>
  </r>
  <r>
    <n v="5267"/>
    <n v="16"/>
    <n v="2"/>
    <n v="18"/>
    <n v="2"/>
    <n v="1"/>
    <n v="5"/>
    <s v="Single"/>
    <n v="33986"/>
    <n v="1"/>
    <n v="0"/>
    <n v="1"/>
    <n v="0"/>
    <n v="-0.83610371392995542"/>
    <x v="1004"/>
  </r>
  <r>
    <n v="5268"/>
    <n v="17"/>
    <n v="8"/>
    <n v="14"/>
    <n v="10"/>
    <n v="4"/>
    <n v="3"/>
    <s v="Together"/>
    <n v="29440"/>
    <n v="1"/>
    <n v="1"/>
    <n v="0"/>
    <n v="1"/>
    <n v="-1.0464367108842483"/>
    <x v="1005"/>
  </r>
  <r>
    <n v="5272"/>
    <n v="378"/>
    <n v="0"/>
    <n v="88"/>
    <n v="19"/>
    <n v="4"/>
    <n v="73"/>
    <s v="Together"/>
    <n v="53843"/>
    <n v="0"/>
    <n v="1"/>
    <n v="0"/>
    <n v="1"/>
    <n v="8.2634148041314803E-2"/>
    <x v="1006"/>
  </r>
  <r>
    <n v="5278"/>
    <n v="307"/>
    <n v="26"/>
    <n v="360"/>
    <n v="138"/>
    <n v="31"/>
    <n v="40"/>
    <s v="Together"/>
    <n v="82224"/>
    <n v="0"/>
    <n v="0"/>
    <n v="0"/>
    <n v="1"/>
    <n v="1.3957579462286855"/>
    <x v="1007"/>
  </r>
  <r>
    <n v="5283"/>
    <n v="93"/>
    <n v="1"/>
    <n v="21"/>
    <n v="0"/>
    <n v="4"/>
    <n v="25"/>
    <s v="Single"/>
    <n v="42473"/>
    <n v="1"/>
    <n v="1"/>
    <n v="1"/>
    <n v="0"/>
    <n v="-0.44342968288044288"/>
    <x v="1008"/>
  </r>
  <r>
    <n v="5286"/>
    <n v="112"/>
    <n v="1"/>
    <n v="54"/>
    <n v="7"/>
    <n v="7"/>
    <n v="36"/>
    <s v="Single"/>
    <n v="41020"/>
    <n v="0"/>
    <n v="0"/>
    <n v="1"/>
    <n v="0"/>
    <n v="-0.5106566614494239"/>
    <x v="1009"/>
  </r>
  <r>
    <n v="5287"/>
    <n v="45"/>
    <n v="2"/>
    <n v="26"/>
    <n v="4"/>
    <n v="1"/>
    <n v="1"/>
    <s v="Together"/>
    <n v="34961"/>
    <n v="1"/>
    <n v="0"/>
    <n v="0"/>
    <n v="1"/>
    <n v="-0.79099269940500261"/>
    <x v="1010"/>
  </r>
  <r>
    <n v="5289"/>
    <n v="8"/>
    <n v="4"/>
    <n v="12"/>
    <n v="15"/>
    <n v="4"/>
    <n v="29"/>
    <s v="Single"/>
    <n v="41658"/>
    <n v="1"/>
    <n v="1"/>
    <n v="1"/>
    <n v="0"/>
    <n v="-0.48113786425258293"/>
    <x v="1011"/>
  </r>
  <r>
    <n v="5290"/>
    <n v="220"/>
    <n v="0"/>
    <n v="33"/>
    <n v="3"/>
    <n v="0"/>
    <n v="23"/>
    <s v="Together"/>
    <n v="41551"/>
    <n v="1"/>
    <n v="1"/>
    <n v="0"/>
    <n v="1"/>
    <n v="-0.48608850892352651"/>
    <x v="1012"/>
  </r>
  <r>
    <n v="5294"/>
    <n v="6"/>
    <n v="8"/>
    <n v="19"/>
    <n v="16"/>
    <n v="4"/>
    <n v="4"/>
    <s v="Single"/>
    <n v="18358"/>
    <n v="1"/>
    <n v="0"/>
    <n v="1"/>
    <n v="0"/>
    <n v="-1.5591754421309429"/>
    <x v="1013"/>
  </r>
  <r>
    <n v="5299"/>
    <n v="1181"/>
    <n v="107"/>
    <n v="199"/>
    <n v="39"/>
    <n v="30"/>
    <n v="30"/>
    <s v="Together"/>
    <n v="69084"/>
    <n v="1"/>
    <n v="0"/>
    <n v="0"/>
    <n v="1"/>
    <n v="0.78780027355393656"/>
    <x v="1014"/>
  </r>
  <r>
    <n v="5300"/>
    <n v="19"/>
    <n v="7"/>
    <n v="19"/>
    <n v="0"/>
    <n v="1"/>
    <n v="24"/>
    <s v="Together"/>
    <n v="38961"/>
    <n v="1"/>
    <n v="0"/>
    <n v="0"/>
    <n v="1"/>
    <n v="-0.60592187058468328"/>
    <x v="1015"/>
  </r>
  <r>
    <n v="5302"/>
    <n v="298"/>
    <n v="27"/>
    <n v="697"/>
    <n v="216"/>
    <n v="24"/>
    <n v="166"/>
    <s v="Together"/>
    <n v="78394"/>
    <n v="0"/>
    <n v="0"/>
    <n v="0"/>
    <n v="1"/>
    <n v="1.2185526276332297"/>
    <x v="1016"/>
  </r>
  <r>
    <n v="5303"/>
    <n v="471"/>
    <n v="0"/>
    <n v="510"/>
    <n v="99"/>
    <n v="21"/>
    <n v="12"/>
    <s v="Together"/>
    <n v="79632"/>
    <n v="0"/>
    <n v="0"/>
    <n v="0"/>
    <n v="1"/>
    <n v="1.2758320491531185"/>
    <x v="1017"/>
  </r>
  <r>
    <n v="5304"/>
    <n v="24"/>
    <n v="0"/>
    <n v="8"/>
    <n v="0"/>
    <n v="0"/>
    <n v="1"/>
    <s v="Single"/>
    <n v="30899"/>
    <n v="1"/>
    <n v="0"/>
    <n v="1"/>
    <n v="0"/>
    <n v="-0.97893212607203683"/>
    <x v="1018"/>
  </r>
  <r>
    <n v="5313"/>
    <n v="30"/>
    <n v="0"/>
    <n v="11"/>
    <n v="0"/>
    <n v="0"/>
    <n v="3"/>
    <s v="Together"/>
    <n v="38196"/>
    <n v="1"/>
    <n v="1"/>
    <n v="0"/>
    <n v="1"/>
    <n v="-0.64131666659656927"/>
    <x v="1019"/>
  </r>
  <r>
    <n v="5316"/>
    <n v="36"/>
    <n v="4"/>
    <n v="18"/>
    <n v="6"/>
    <n v="2"/>
    <n v="18"/>
    <s v="Together"/>
    <n v="21024"/>
    <n v="0"/>
    <n v="0"/>
    <n v="0"/>
    <n v="1"/>
    <n v="-1.4358257347222001"/>
    <x v="1020"/>
  </r>
  <r>
    <n v="5320"/>
    <n v="79"/>
    <n v="7"/>
    <n v="58"/>
    <n v="6"/>
    <n v="3"/>
    <n v="18"/>
    <s v="Single"/>
    <n v="44051"/>
    <n v="1"/>
    <n v="1"/>
    <n v="1"/>
    <n v="0"/>
    <n v="-0.3704192409108269"/>
    <x v="1021"/>
  </r>
  <r>
    <n v="5324"/>
    <n v="173"/>
    <n v="43"/>
    <n v="118"/>
    <n v="46"/>
    <n v="27"/>
    <n v="15"/>
    <s v="Together"/>
    <n v="58293"/>
    <n v="1"/>
    <n v="0"/>
    <n v="0"/>
    <n v="1"/>
    <n v="0.28852544510392003"/>
    <x v="1022"/>
  </r>
  <r>
    <n v="5329"/>
    <n v="8"/>
    <n v="0"/>
    <n v="3"/>
    <n v="0"/>
    <n v="0"/>
    <n v="0"/>
    <s v="Single"/>
    <n v="35946"/>
    <n v="1"/>
    <n v="1"/>
    <n v="1"/>
    <n v="0"/>
    <n v="-0.74541900780799897"/>
    <x v="1023"/>
  </r>
  <r>
    <n v="5331"/>
    <n v="587"/>
    <n v="51"/>
    <n v="898"/>
    <n v="247"/>
    <n v="0"/>
    <n v="86"/>
    <s v="Together"/>
    <n v="74985"/>
    <n v="0"/>
    <n v="0"/>
    <n v="0"/>
    <n v="1"/>
    <n v="1.0608260137711125"/>
    <x v="1024"/>
  </r>
  <r>
    <n v="5332"/>
    <n v="362"/>
    <n v="50"/>
    <n v="431"/>
    <n v="134"/>
    <n v="35"/>
    <n v="54"/>
    <s v="Together"/>
    <n v="82504"/>
    <n v="0"/>
    <n v="0"/>
    <n v="0"/>
    <n v="1"/>
    <n v="1.408712904246108"/>
    <x v="1025"/>
  </r>
  <r>
    <n v="5336"/>
    <n v="39"/>
    <n v="1"/>
    <n v="9"/>
    <n v="2"/>
    <n v="0"/>
    <n v="8"/>
    <s v="Together"/>
    <n v="157733"/>
    <n v="1"/>
    <n v="0"/>
    <n v="0"/>
    <n v="1"/>
    <n v="4.8893862495770586"/>
    <x v="1026"/>
  </r>
  <r>
    <n v="5341"/>
    <n v="983"/>
    <n v="76"/>
    <n v="184"/>
    <n v="180"/>
    <n v="138"/>
    <n v="27"/>
    <s v="Single"/>
    <n v="81975"/>
    <n v="0"/>
    <n v="1"/>
    <n v="1"/>
    <n v="0"/>
    <n v="1.3842372871346207"/>
    <x v="1027"/>
  </r>
  <r>
    <n v="5342"/>
    <n v="0"/>
    <n v="1"/>
    <n v="3"/>
    <n v="10"/>
    <n v="6"/>
    <n v="9"/>
    <s v="Single"/>
    <n v="9548"/>
    <n v="1"/>
    <n v="0"/>
    <n v="1"/>
    <n v="0"/>
    <n v="-1.9667939426076964"/>
    <x v="1028"/>
  </r>
  <r>
    <n v="5346"/>
    <n v="25"/>
    <n v="5"/>
    <n v="19"/>
    <n v="7"/>
    <n v="0"/>
    <n v="23"/>
    <s v="Together"/>
    <n v="23559"/>
    <n v="1"/>
    <n v="0"/>
    <n v="0"/>
    <n v="1"/>
    <n v="-1.3185370969573229"/>
    <x v="1029"/>
  </r>
  <r>
    <n v="5350"/>
    <n v="1156"/>
    <n v="120"/>
    <n v="915"/>
    <n v="94"/>
    <n v="144"/>
    <n v="96"/>
    <s v="Single"/>
    <n v="90638"/>
    <n v="0"/>
    <n v="0"/>
    <n v="1"/>
    <n v="0"/>
    <n v="1.7850544346522272"/>
    <x v="1030"/>
  </r>
  <r>
    <n v="5370"/>
    <n v="239"/>
    <n v="3"/>
    <n v="141"/>
    <n v="0"/>
    <n v="7"/>
    <n v="23"/>
    <s v="Together"/>
    <n v="32644"/>
    <n v="1"/>
    <n v="0"/>
    <n v="0"/>
    <n v="1"/>
    <n v="-0.8981949769991725"/>
    <x v="1031"/>
  </r>
  <r>
    <n v="5371"/>
    <n v="6"/>
    <n v="16"/>
    <n v="24"/>
    <n v="11"/>
    <n v="0"/>
    <n v="34"/>
    <s v="Single"/>
    <n v="21474"/>
    <n v="1"/>
    <n v="0"/>
    <n v="1"/>
    <n v="0"/>
    <n v="-1.4150052664799142"/>
    <x v="1032"/>
  </r>
  <r>
    <n v="5376"/>
    <n v="1"/>
    <n v="1"/>
    <n v="1725"/>
    <n v="1"/>
    <n v="1"/>
    <n v="1"/>
    <s v="Together"/>
    <n v="2447"/>
    <n v="1"/>
    <n v="0"/>
    <n v="0"/>
    <n v="1"/>
    <n v="-2.2953409314709683"/>
    <x v="1033"/>
  </r>
  <r>
    <n v="5386"/>
    <n v="1111"/>
    <n v="24"/>
    <n v="790"/>
    <n v="160"/>
    <n v="45"/>
    <n v="172"/>
    <s v="Together"/>
    <n v="94384"/>
    <n v="0"/>
    <n v="0"/>
    <n v="0"/>
    <n v="1"/>
    <n v="1.9583732658424562"/>
    <x v="1034"/>
  </r>
  <r>
    <n v="5389"/>
    <n v="238"/>
    <n v="17"/>
    <n v="68"/>
    <n v="8"/>
    <n v="10"/>
    <n v="6"/>
    <s v="Together"/>
    <n v="48920"/>
    <n v="0"/>
    <n v="2"/>
    <n v="0"/>
    <n v="1"/>
    <n v="-0.14514177452929322"/>
    <x v="1035"/>
  </r>
  <r>
    <n v="5393"/>
    <n v="22"/>
    <n v="0"/>
    <n v="6"/>
    <n v="6"/>
    <n v="2"/>
    <n v="6"/>
    <s v="Single"/>
    <n v="23763"/>
    <n v="1"/>
    <n v="0"/>
    <n v="1"/>
    <n v="0"/>
    <n v="-1.3090984846874865"/>
    <x v="1036"/>
  </r>
  <r>
    <n v="5394"/>
    <n v="3"/>
    <n v="9"/>
    <n v="4"/>
    <n v="7"/>
    <n v="8"/>
    <n v="7"/>
    <s v="Single"/>
    <n v="16014"/>
    <n v="1"/>
    <n v="1"/>
    <n v="1"/>
    <n v="0"/>
    <n v="-1.6676269478196502"/>
    <x v="1037"/>
  </r>
  <r>
    <n v="5396"/>
    <n v="758"/>
    <n v="12"/>
    <n v="385"/>
    <n v="33"/>
    <n v="89"/>
    <n v="89"/>
    <s v="Together"/>
    <n v="68487"/>
    <n v="0"/>
    <n v="0"/>
    <n v="0"/>
    <n v="1"/>
    <n v="0.76017845235250381"/>
    <x v="1038"/>
  </r>
  <r>
    <n v="5407"/>
    <n v="729"/>
    <n v="17"/>
    <n v="133"/>
    <n v="11"/>
    <n v="0"/>
    <n v="195"/>
    <s v="Together"/>
    <n v="53103"/>
    <n v="0"/>
    <n v="1"/>
    <n v="0"/>
    <n v="1"/>
    <n v="4.8396044709555726E-2"/>
    <x v="1039"/>
  </r>
  <r>
    <n v="5423"/>
    <n v="6"/>
    <n v="0"/>
    <n v="5"/>
    <n v="2"/>
    <n v="1"/>
    <n v="2"/>
    <s v="Together"/>
    <n v="28359"/>
    <n v="1"/>
    <n v="0"/>
    <n v="0"/>
    <n v="1"/>
    <n v="-1.0964521023729397"/>
    <x v="1040"/>
  </r>
  <r>
    <n v="5429"/>
    <n v="145"/>
    <n v="1"/>
    <n v="33"/>
    <n v="2"/>
    <n v="1"/>
    <n v="1"/>
    <s v="Together"/>
    <n v="45579"/>
    <n v="0"/>
    <n v="1"/>
    <n v="0"/>
    <n v="1"/>
    <n v="-0.29972218430146491"/>
    <x v="1041"/>
  </r>
  <r>
    <n v="5430"/>
    <n v="454"/>
    <n v="0"/>
    <n v="171"/>
    <n v="8"/>
    <n v="19"/>
    <n v="32"/>
    <s v="Together"/>
    <n v="54450"/>
    <n v="1"/>
    <n v="1"/>
    <n v="0"/>
    <n v="1"/>
    <n v="0.11071864631479826"/>
    <x v="1042"/>
  </r>
  <r>
    <n v="5441"/>
    <n v="267"/>
    <n v="6"/>
    <n v="54"/>
    <n v="8"/>
    <n v="3"/>
    <n v="50"/>
    <s v="Single"/>
    <n v="54111"/>
    <n v="0"/>
    <n v="1"/>
    <n v="1"/>
    <n v="0"/>
    <n v="9.5033893572276193E-2"/>
    <x v="1043"/>
  </r>
  <r>
    <n v="5453"/>
    <n v="1083"/>
    <n v="108"/>
    <n v="649"/>
    <n v="253"/>
    <n v="151"/>
    <n v="108"/>
    <s v="Together"/>
    <n v="90226"/>
    <n v="0"/>
    <n v="0"/>
    <n v="0"/>
    <n v="1"/>
    <n v="1.7659921392837343"/>
    <x v="1044"/>
  </r>
  <r>
    <n v="5454"/>
    <n v="37"/>
    <n v="0"/>
    <n v="7"/>
    <n v="3"/>
    <n v="0"/>
    <n v="3"/>
    <s v="Together"/>
    <n v="45057"/>
    <n v="1"/>
    <n v="0"/>
    <n v="0"/>
    <n v="1"/>
    <n v="-0.32387392746251659"/>
    <x v="1045"/>
  </r>
  <r>
    <n v="5455"/>
    <n v="99"/>
    <n v="0"/>
    <n v="15"/>
    <n v="2"/>
    <n v="1"/>
    <n v="5"/>
    <s v="Together"/>
    <n v="32011"/>
    <n v="1"/>
    <n v="0"/>
    <n v="0"/>
    <n v="1"/>
    <n v="-0.92748243565998811"/>
    <x v="1046"/>
  </r>
  <r>
    <n v="5462"/>
    <n v="757"/>
    <n v="80"/>
    <n v="217"/>
    <n v="29"/>
    <n v="80"/>
    <n v="11"/>
    <s v="Together"/>
    <n v="67445"/>
    <n v="0"/>
    <n v="1"/>
    <n v="0"/>
    <n v="1"/>
    <n v="0.71196750144481069"/>
    <x v="1047"/>
  </r>
  <r>
    <n v="5474"/>
    <n v="45"/>
    <n v="7"/>
    <n v="99"/>
    <n v="4"/>
    <n v="25"/>
    <n v="43"/>
    <s v="Single"/>
    <n v="43020"/>
    <n v="1"/>
    <n v="0"/>
    <n v="1"/>
    <n v="0"/>
    <n v="-0.41812124703926423"/>
    <x v="1048"/>
  </r>
  <r>
    <n v="5491"/>
    <n v="172"/>
    <n v="12"/>
    <n v="112"/>
    <n v="8"/>
    <n v="0"/>
    <n v="15"/>
    <s v="Together"/>
    <n v="47352"/>
    <n v="0"/>
    <n v="1"/>
    <n v="0"/>
    <n v="1"/>
    <n v="-0.2176895394268584"/>
    <x v="1049"/>
  </r>
  <r>
    <n v="5493"/>
    <n v="15"/>
    <n v="0"/>
    <n v="2"/>
    <n v="0"/>
    <n v="0"/>
    <n v="6"/>
    <s v="Together"/>
    <n v="39356"/>
    <n v="1"/>
    <n v="1"/>
    <n v="0"/>
    <n v="1"/>
    <n v="-0.58764612623867674"/>
    <x v="1050"/>
  </r>
  <r>
    <n v="5510"/>
    <n v="262"/>
    <n v="6"/>
    <n v="61"/>
    <n v="0"/>
    <n v="10"/>
    <n v="102"/>
    <s v="Together"/>
    <n v="43263"/>
    <n v="0"/>
    <n v="1"/>
    <n v="0"/>
    <n v="1"/>
    <n v="-0.4068781941884298"/>
    <x v="1051"/>
  </r>
  <r>
    <n v="5512"/>
    <n v="451"/>
    <n v="0"/>
    <n v="39"/>
    <n v="0"/>
    <n v="4"/>
    <n v="24"/>
    <s v="Together"/>
    <n v="55842"/>
    <n v="0"/>
    <n v="1"/>
    <n v="0"/>
    <n v="1"/>
    <n v="0.17512329474426938"/>
    <x v="1052"/>
  </r>
  <r>
    <n v="5519"/>
    <n v="316"/>
    <n v="58"/>
    <n v="161"/>
    <n v="76"/>
    <n v="51"/>
    <n v="135"/>
    <s v="Together"/>
    <n v="64090"/>
    <n v="0"/>
    <n v="1"/>
    <n v="0"/>
    <n v="1"/>
    <n v="0.55673934377176781"/>
    <x v="1053"/>
  </r>
  <r>
    <n v="5524"/>
    <n v="635"/>
    <n v="88"/>
    <n v="546"/>
    <n v="172"/>
    <n v="88"/>
    <n v="88"/>
    <s v="Single"/>
    <n v="58138"/>
    <n v="0"/>
    <n v="0"/>
    <n v="1"/>
    <n v="0"/>
    <n v="0.28135395048713269"/>
    <x v="1054"/>
  </r>
  <r>
    <n v="5527"/>
    <n v="4"/>
    <n v="12"/>
    <n v="11"/>
    <n v="3"/>
    <n v="13"/>
    <n v="15"/>
    <s v="Together"/>
    <n v="22434"/>
    <n v="1"/>
    <n v="0"/>
    <n v="0"/>
    <n v="1"/>
    <n v="-1.3705882675630376"/>
    <x v="1055"/>
  </r>
  <r>
    <n v="5534"/>
    <n v="123"/>
    <n v="1"/>
    <n v="26"/>
    <n v="2"/>
    <n v="0"/>
    <n v="72"/>
    <s v="Together"/>
    <n v="47808"/>
    <n v="0"/>
    <n v="1"/>
    <n v="0"/>
    <n v="1"/>
    <n v="-0.19659146494134197"/>
    <x v="1056"/>
  </r>
  <r>
    <n v="5543"/>
    <n v="545"/>
    <n v="7"/>
    <n v="114"/>
    <n v="37"/>
    <n v="21"/>
    <n v="78"/>
    <s v="Together"/>
    <n v="57811"/>
    <n v="0"/>
    <n v="1"/>
    <n v="0"/>
    <n v="1"/>
    <n v="0.26622441023107157"/>
    <x v="1057"/>
  </r>
  <r>
    <n v="5544"/>
    <n v="957"/>
    <n v="40"/>
    <n v="175"/>
    <n v="158"/>
    <n v="53"/>
    <n v="107"/>
    <s v="Single"/>
    <n v="67384"/>
    <n v="0"/>
    <n v="1"/>
    <n v="1"/>
    <n v="0"/>
    <n v="0.70914517130530075"/>
    <x v="1058"/>
  </r>
  <r>
    <n v="5545"/>
    <n v="572"/>
    <n v="8"/>
    <n v="259"/>
    <n v="34"/>
    <n v="35"/>
    <n v="80"/>
    <s v="Together"/>
    <n v="78075"/>
    <n v="0"/>
    <n v="0"/>
    <n v="0"/>
    <n v="1"/>
    <n v="1.2037932290348092"/>
    <x v="1059"/>
  </r>
  <r>
    <n v="5547"/>
    <n v="1478"/>
    <n v="19"/>
    <n v="403"/>
    <n v="0"/>
    <n v="19"/>
    <n v="0"/>
    <s v="Together"/>
    <n v="84169"/>
    <n v="0"/>
    <n v="0"/>
    <n v="0"/>
    <n v="1"/>
    <n v="1.4857486367425659"/>
    <x v="1060"/>
  </r>
  <r>
    <n v="5552"/>
    <n v="81"/>
    <n v="18"/>
    <n v="113"/>
    <n v="47"/>
    <n v="13"/>
    <n v="21"/>
    <s v="Single"/>
    <n v="48721"/>
    <n v="1"/>
    <n v="1"/>
    <n v="1"/>
    <n v="0"/>
    <n v="-0.15434904826310408"/>
    <x v="1061"/>
  </r>
  <r>
    <n v="5555"/>
    <n v="1"/>
    <n v="1"/>
    <n v="1"/>
    <n v="1"/>
    <n v="1"/>
    <n v="1"/>
    <s v="Single"/>
    <n v="153924"/>
    <n v="0"/>
    <n v="0"/>
    <n v="1"/>
    <n v="0"/>
    <n v="4.7131525528329092"/>
    <x v="1062"/>
  </r>
  <r>
    <n v="5558"/>
    <n v="1020"/>
    <n v="31"/>
    <n v="430"/>
    <n v="62"/>
    <n v="63"/>
    <n v="79"/>
    <s v="Single"/>
    <n v="90933"/>
    <n v="0"/>
    <n v="0"/>
    <n v="1"/>
    <n v="0"/>
    <n v="1.7987034082777258"/>
    <x v="1063"/>
  </r>
  <r>
    <n v="5562"/>
    <n v="502"/>
    <n v="12"/>
    <n v="109"/>
    <n v="16"/>
    <n v="6"/>
    <n v="90"/>
    <s v="Together"/>
    <n v="60093"/>
    <n v="0"/>
    <n v="1"/>
    <n v="0"/>
    <n v="1"/>
    <n v="0.37180731807306378"/>
    <x v="1064"/>
  </r>
  <r>
    <n v="5564"/>
    <n v="509"/>
    <n v="133"/>
    <n v="497"/>
    <n v="78"/>
    <n v="24"/>
    <n v="97"/>
    <s v="Together"/>
    <n v="62882"/>
    <n v="0"/>
    <n v="1"/>
    <n v="0"/>
    <n v="1"/>
    <n v="0.50084795346803135"/>
    <x v="1065"/>
  </r>
  <r>
    <n v="5577"/>
    <n v="8"/>
    <n v="0"/>
    <n v="9"/>
    <n v="2"/>
    <n v="1"/>
    <n v="3"/>
    <s v="Together"/>
    <n v="43776"/>
    <n v="1"/>
    <n v="0"/>
    <n v="0"/>
    <n v="1"/>
    <n v="-0.38314286039222384"/>
    <x v="1066"/>
  </r>
  <r>
    <n v="5585"/>
    <n v="12"/>
    <n v="2"/>
    <n v="17"/>
    <n v="6"/>
    <n v="1"/>
    <n v="10"/>
    <s v="Single"/>
    <n v="21359"/>
    <n v="1"/>
    <n v="0"/>
    <n v="1"/>
    <n v="0"/>
    <n v="-1.4203260528084984"/>
    <x v="1067"/>
  </r>
  <r>
    <n v="5589"/>
    <n v="631"/>
    <n v="0"/>
    <n v="115"/>
    <n v="10"/>
    <n v="7"/>
    <n v="30"/>
    <s v="Single"/>
    <n v="51983"/>
    <n v="0"/>
    <n v="1"/>
    <n v="1"/>
    <n v="0"/>
    <n v="-3.4237873601336839E-3"/>
    <x v="1068"/>
  </r>
  <r>
    <n v="5596"/>
    <n v="513"/>
    <n v="14"/>
    <n v="154"/>
    <n v="19"/>
    <n v="0"/>
    <n v="28"/>
    <s v="Together"/>
    <n v="58821"/>
    <n v="0"/>
    <n v="1"/>
    <n v="0"/>
    <n v="1"/>
    <n v="0.31295479450820218"/>
    <x v="1069"/>
  </r>
  <r>
    <n v="5602"/>
    <n v="466"/>
    <n v="22"/>
    <n v="432"/>
    <n v="147"/>
    <n v="113"/>
    <n v="102"/>
    <s v="Together"/>
    <n v="66973"/>
    <n v="0"/>
    <n v="0"/>
    <n v="0"/>
    <n v="1"/>
    <n v="0.69012914364401301"/>
    <x v="1070"/>
  </r>
  <r>
    <n v="5610"/>
    <n v="7"/>
    <n v="3"/>
    <n v="10"/>
    <n v="8"/>
    <n v="1"/>
    <n v="7"/>
    <s v="Together"/>
    <n v="33456"/>
    <n v="1"/>
    <n v="1"/>
    <n v="0"/>
    <n v="1"/>
    <n v="-0.86062559874864775"/>
    <x v="1071"/>
  </r>
  <r>
    <n v="5621"/>
    <n v="73"/>
    <n v="57"/>
    <n v="100"/>
    <n v="71"/>
    <n v="15"/>
    <n v="0"/>
    <s v="Together"/>
    <n v="48752"/>
    <n v="1"/>
    <n v="1"/>
    <n v="0"/>
    <n v="1"/>
    <n v="-0.15291474933974661"/>
    <x v="1072"/>
  </r>
  <r>
    <n v="5623"/>
    <n v="15"/>
    <n v="4"/>
    <n v="13"/>
    <n v="0"/>
    <n v="0"/>
    <n v="19"/>
    <s v="Together"/>
    <n v="31535"/>
    <n v="1"/>
    <n v="0"/>
    <n v="0"/>
    <n v="1"/>
    <n v="-0.94950586428960604"/>
    <x v="1073"/>
  </r>
  <r>
    <n v="5626"/>
    <n v="338"/>
    <n v="4"/>
    <n v="89"/>
    <n v="11"/>
    <n v="8"/>
    <n v="13"/>
    <s v="Single"/>
    <n v="61798"/>
    <n v="0"/>
    <n v="0"/>
    <n v="1"/>
    <n v="0"/>
    <n v="0.45069375885772484"/>
    <x v="1074"/>
  </r>
  <r>
    <n v="5628"/>
    <n v="848"/>
    <n v="154"/>
    <n v="323"/>
    <n v="201"/>
    <n v="61"/>
    <n v="78"/>
    <s v="Together"/>
    <n v="61416"/>
    <n v="0"/>
    <n v="0"/>
    <n v="0"/>
    <n v="1"/>
    <n v="0.43301949470538437"/>
    <x v="1075"/>
  </r>
  <r>
    <n v="5631"/>
    <n v="202"/>
    <n v="47"/>
    <n v="197"/>
    <n v="55"/>
    <n v="42"/>
    <n v="149"/>
    <s v="Single"/>
    <n v="49767"/>
    <n v="0"/>
    <n v="0"/>
    <n v="1"/>
    <n v="0"/>
    <n v="-0.1059530265265906"/>
    <x v="1076"/>
  </r>
  <r>
    <n v="5633"/>
    <n v="97"/>
    <n v="12"/>
    <n v="84"/>
    <n v="13"/>
    <n v="10"/>
    <n v="15"/>
    <s v="Together"/>
    <n v="50183"/>
    <n v="1"/>
    <n v="1"/>
    <n v="0"/>
    <n v="1"/>
    <n v="-8.6705660329277387E-2"/>
    <x v="1077"/>
  </r>
  <r>
    <n v="5636"/>
    <n v="51"/>
    <n v="4"/>
    <n v="50"/>
    <n v="12"/>
    <n v="1"/>
    <n v="49"/>
    <s v="Single"/>
    <n v="30983"/>
    <n v="0"/>
    <n v="0"/>
    <n v="1"/>
    <n v="0"/>
    <n v="-0.97504563866681015"/>
    <x v="1078"/>
  </r>
  <r>
    <n v="5642"/>
    <n v="140"/>
    <n v="4"/>
    <n v="61"/>
    <n v="0"/>
    <n v="13"/>
    <n v="4"/>
    <s v="Together"/>
    <n v="62499"/>
    <n v="1"/>
    <n v="0"/>
    <n v="0"/>
    <n v="1"/>
    <n v="0.48312742160848582"/>
    <x v="1079"/>
  </r>
  <r>
    <n v="5644"/>
    <n v="309"/>
    <n v="3"/>
    <n v="24"/>
    <n v="4"/>
    <n v="3"/>
    <n v="20"/>
    <s v="Together"/>
    <n v="42213"/>
    <n v="0"/>
    <n v="1"/>
    <n v="0"/>
    <n v="1"/>
    <n v="-0.45545928675376363"/>
    <x v="1080"/>
  </r>
  <r>
    <n v="5654"/>
    <n v="20"/>
    <n v="4"/>
    <n v="10"/>
    <n v="6"/>
    <n v="4"/>
    <n v="17"/>
    <s v="Together"/>
    <n v="36026"/>
    <n v="2"/>
    <n v="1"/>
    <n v="0"/>
    <n v="1"/>
    <n v="-0.74171759123159253"/>
    <x v="1081"/>
  </r>
  <r>
    <n v="5667"/>
    <n v="1013"/>
    <n v="30"/>
    <n v="399"/>
    <n v="60"/>
    <n v="46"/>
    <n v="153"/>
    <s v="Together"/>
    <n v="60896"/>
    <n v="0"/>
    <n v="1"/>
    <n v="0"/>
    <n v="1"/>
    <n v="0.40896028695874287"/>
    <x v="1082"/>
  </r>
  <r>
    <n v="5675"/>
    <n v="459"/>
    <n v="0"/>
    <n v="24"/>
    <n v="6"/>
    <n v="0"/>
    <n v="4"/>
    <s v="Single"/>
    <n v="50611"/>
    <n v="0"/>
    <n v="1"/>
    <n v="1"/>
    <n v="0"/>
    <n v="-6.690308164550321E-2"/>
    <x v="1083"/>
  </r>
  <r>
    <n v="5680"/>
    <n v="10"/>
    <n v="4"/>
    <n v="7"/>
    <n v="0"/>
    <n v="6"/>
    <n v="3"/>
    <s v="Together"/>
    <n v="35684"/>
    <n v="1"/>
    <n v="0"/>
    <n v="0"/>
    <n v="1"/>
    <n v="-0.75754114709572984"/>
    <x v="1084"/>
  </r>
  <r>
    <n v="5682"/>
    <n v="948"/>
    <n v="10"/>
    <n v="86"/>
    <n v="13"/>
    <n v="21"/>
    <n v="21"/>
    <s v="Single"/>
    <n v="64108"/>
    <n v="0"/>
    <n v="1"/>
    <n v="1"/>
    <n v="0"/>
    <n v="0.55757216250145925"/>
    <x v="1085"/>
  </r>
  <r>
    <n v="5684"/>
    <n v="56"/>
    <n v="0"/>
    <n v="9"/>
    <n v="0"/>
    <n v="0"/>
    <n v="3"/>
    <s v="Single"/>
    <n v="44635"/>
    <n v="1"/>
    <n v="1"/>
    <n v="1"/>
    <n v="0"/>
    <n v="-0.34339889990306027"/>
    <x v="1086"/>
  </r>
  <r>
    <n v="5687"/>
    <n v="563"/>
    <n v="50"/>
    <n v="774"/>
    <n v="28"/>
    <n v="31"/>
    <n v="187"/>
    <s v="Single"/>
    <n v="81702"/>
    <n v="0"/>
    <n v="0"/>
    <n v="1"/>
    <n v="0"/>
    <n v="1.3716062030676339"/>
    <x v="1087"/>
  </r>
  <r>
    <n v="5692"/>
    <n v="1"/>
    <n v="4"/>
    <n v="3"/>
    <n v="8"/>
    <n v="9"/>
    <n v="7"/>
    <s v="Together"/>
    <n v="25443"/>
    <n v="1"/>
    <n v="0"/>
    <n v="0"/>
    <n v="1"/>
    <n v="-1.2313687365829524"/>
    <x v="1088"/>
  </r>
  <r>
    <n v="5710"/>
    <n v="110"/>
    <n v="0"/>
    <n v="5"/>
    <n v="2"/>
    <n v="0"/>
    <n v="3"/>
    <s v="Together"/>
    <n v="40548"/>
    <n v="0"/>
    <n v="1"/>
    <n v="0"/>
    <n v="1"/>
    <n v="-0.53249501925022158"/>
    <x v="1089"/>
  </r>
  <r>
    <n v="5718"/>
    <n v="674"/>
    <n v="168"/>
    <n v="108"/>
    <n v="192"/>
    <n v="42"/>
    <n v="231"/>
    <s v="Together"/>
    <n v="80763"/>
    <n v="0"/>
    <n v="0"/>
    <n v="0"/>
    <n v="1"/>
    <n v="1.3281608260020639"/>
    <x v="1090"/>
  </r>
  <r>
    <n v="5721"/>
    <n v="611"/>
    <n v="76"/>
    <n v="749"/>
    <n v="59"/>
    <n v="45"/>
    <n v="26"/>
    <s v="Together"/>
    <n v="84117"/>
    <n v="0"/>
    <n v="0"/>
    <n v="0"/>
    <n v="1"/>
    <n v="1.4833427159679016"/>
    <x v="1091"/>
  </r>
  <r>
    <n v="5723"/>
    <n v="81"/>
    <n v="1"/>
    <n v="31"/>
    <n v="2"/>
    <n v="1"/>
    <n v="0"/>
    <s v="Together"/>
    <n v="49187"/>
    <n v="0"/>
    <n v="1"/>
    <n v="0"/>
    <n v="1"/>
    <n v="-0.13278829670553691"/>
    <x v="1092"/>
  </r>
  <r>
    <n v="5726"/>
    <n v="16"/>
    <n v="7"/>
    <n v="23"/>
    <n v="0"/>
    <n v="8"/>
    <n v="6"/>
    <s v="Single"/>
    <n v="31788"/>
    <n v="1"/>
    <n v="0"/>
    <n v="1"/>
    <n v="0"/>
    <n v="-0.93780013436672083"/>
    <x v="1093"/>
  </r>
  <r>
    <n v="5731"/>
    <n v="12"/>
    <n v="0"/>
    <n v="13"/>
    <n v="2"/>
    <n v="0"/>
    <n v="10"/>
    <s v="Together"/>
    <n v="27100"/>
    <n v="1"/>
    <n v="0"/>
    <n v="0"/>
    <n v="1"/>
    <n v="-1.1547031457441352"/>
    <x v="1094"/>
  </r>
  <r>
    <n v="5734"/>
    <n v="46"/>
    <n v="4"/>
    <n v="36"/>
    <n v="2"/>
    <n v="2"/>
    <n v="1"/>
    <s v="Together"/>
    <n v="61917"/>
    <n v="1"/>
    <n v="1"/>
    <n v="0"/>
    <n v="1"/>
    <n v="0.45619961601512937"/>
    <x v="1095"/>
  </r>
  <r>
    <n v="5740"/>
    <n v="4"/>
    <n v="2"/>
    <n v="12"/>
    <n v="7"/>
    <n v="5"/>
    <n v="26"/>
    <s v="Single"/>
    <n v="25959"/>
    <n v="1"/>
    <n v="1"/>
    <n v="1"/>
    <n v="0"/>
    <n v="-1.2074945996651312"/>
    <x v="1096"/>
  </r>
  <r>
    <n v="5748"/>
    <n v="115"/>
    <n v="27"/>
    <n v="44"/>
    <n v="4"/>
    <n v="146"/>
    <n v="139"/>
    <s v="Together"/>
    <n v="59754"/>
    <n v="0"/>
    <n v="1"/>
    <n v="0"/>
    <n v="1"/>
    <n v="0.35612256533054171"/>
    <x v="1097"/>
  </r>
  <r>
    <n v="5751"/>
    <n v="2"/>
    <n v="3"/>
    <n v="10"/>
    <n v="11"/>
    <n v="2"/>
    <n v="10"/>
    <s v="Single"/>
    <n v="31163"/>
    <n v="1"/>
    <n v="0"/>
    <n v="1"/>
    <n v="0"/>
    <n v="-0.96671745136989573"/>
    <x v="1098"/>
  </r>
  <r>
    <n v="5756"/>
    <n v="46"/>
    <n v="0"/>
    <n v="7"/>
    <n v="0"/>
    <n v="0"/>
    <n v="2"/>
    <s v="Together"/>
    <n v="39453"/>
    <n v="1"/>
    <n v="0"/>
    <n v="0"/>
    <n v="1"/>
    <n v="-0.58315815863978393"/>
    <x v="1099"/>
  </r>
  <r>
    <n v="5758"/>
    <n v="1074"/>
    <n v="0"/>
    <n v="69"/>
    <n v="0"/>
    <n v="0"/>
    <n v="46"/>
    <s v="Together"/>
    <n v="65169"/>
    <n v="0"/>
    <n v="0"/>
    <n v="0"/>
    <n v="1"/>
    <n v="0.60666219984604897"/>
    <x v="1100"/>
  </r>
  <r>
    <n v="5763"/>
    <n v="123"/>
    <n v="17"/>
    <n v="171"/>
    <n v="39"/>
    <n v="0"/>
    <n v="30"/>
    <s v="Together"/>
    <n v="49854"/>
    <n v="1"/>
    <n v="0"/>
    <n v="0"/>
    <n v="1"/>
    <n v="-0.10192773599974865"/>
    <x v="1101"/>
  </r>
  <r>
    <n v="5782"/>
    <n v="402"/>
    <n v="35"/>
    <n v="106"/>
    <n v="101"/>
    <n v="77"/>
    <n v="42"/>
    <s v="Together"/>
    <n v="58582"/>
    <n v="0"/>
    <n v="1"/>
    <n v="0"/>
    <n v="1"/>
    <n v="0.3018968124861881"/>
    <x v="1102"/>
  </r>
  <r>
    <n v="5788"/>
    <n v="56"/>
    <n v="10"/>
    <n v="92"/>
    <n v="19"/>
    <n v="7"/>
    <n v="25"/>
    <s v="Together"/>
    <n v="46053"/>
    <n v="1"/>
    <n v="0"/>
    <n v="0"/>
    <n v="1"/>
    <n v="-0.27779129108625711"/>
    <x v="1103"/>
  </r>
  <r>
    <n v="5790"/>
    <n v="25"/>
    <n v="6"/>
    <n v="16"/>
    <n v="20"/>
    <n v="0"/>
    <n v="5"/>
    <s v="Together"/>
    <n v="31158"/>
    <n v="1"/>
    <n v="0"/>
    <n v="0"/>
    <n v="1"/>
    <n v="-0.96694878990592115"/>
    <x v="1104"/>
  </r>
  <r>
    <n v="5794"/>
    <n v="408"/>
    <n v="0"/>
    <n v="21"/>
    <n v="0"/>
    <n v="0"/>
    <n v="17"/>
    <s v="Together"/>
    <n v="46374"/>
    <n v="0"/>
    <n v="1"/>
    <n v="0"/>
    <n v="1"/>
    <n v="-0.26293935707342647"/>
    <x v="1105"/>
  </r>
  <r>
    <n v="5796"/>
    <n v="560"/>
    <n v="21"/>
    <n v="442"/>
    <n v="29"/>
    <n v="44"/>
    <n v="29"/>
    <s v="Together"/>
    <n v="77437"/>
    <n v="0"/>
    <n v="0"/>
    <n v="0"/>
    <n v="1"/>
    <n v="1.1742744318379683"/>
    <x v="1106"/>
  </r>
  <r>
    <n v="5802"/>
    <n v="2"/>
    <n v="7"/>
    <n v="11"/>
    <n v="16"/>
    <n v="12"/>
    <n v="27"/>
    <s v="Together"/>
    <n v="14188"/>
    <n v="0"/>
    <n v="0"/>
    <n v="0"/>
    <n v="1"/>
    <n v="-1.752111781176126"/>
    <x v="1107"/>
  </r>
  <r>
    <n v="5823"/>
    <n v="35"/>
    <n v="0"/>
    <n v="2"/>
    <n v="0"/>
    <n v="0"/>
    <n v="2"/>
    <s v="Single"/>
    <n v="32303"/>
    <n v="0"/>
    <n v="1"/>
    <n v="1"/>
    <n v="0"/>
    <n v="-0.91397226515610475"/>
    <x v="1108"/>
  </r>
  <r>
    <n v="5824"/>
    <n v="7"/>
    <n v="0"/>
    <n v="1"/>
    <n v="0"/>
    <n v="0"/>
    <n v="0"/>
    <s v="Together"/>
    <n v="34578"/>
    <n v="2"/>
    <n v="1"/>
    <n v="0"/>
    <n v="1"/>
    <n v="-0.80871323126454819"/>
    <x v="1109"/>
  </r>
  <r>
    <n v="5827"/>
    <n v="36"/>
    <n v="0"/>
    <n v="12"/>
    <n v="2"/>
    <n v="2"/>
    <n v="10"/>
    <s v="Single"/>
    <n v="35246"/>
    <n v="1"/>
    <n v="1"/>
    <n v="1"/>
    <n v="0"/>
    <n v="-0.77780640285155478"/>
    <x v="1110"/>
  </r>
  <r>
    <n v="5830"/>
    <n v="899"/>
    <n v="102"/>
    <n v="838"/>
    <n v="133"/>
    <n v="102"/>
    <n v="40"/>
    <s v="Single"/>
    <n v="86857"/>
    <n v="0"/>
    <n v="0"/>
    <n v="1"/>
    <n v="0"/>
    <n v="1.6101162337098203"/>
    <x v="1111"/>
  </r>
  <r>
    <n v="5831"/>
    <n v="1017"/>
    <n v="50"/>
    <n v="500"/>
    <n v="65"/>
    <n v="50"/>
    <n v="133"/>
    <s v="Together"/>
    <n v="77870"/>
    <n v="0"/>
    <n v="1"/>
    <n v="0"/>
    <n v="1"/>
    <n v="1.1943083490577679"/>
    <x v="1112"/>
  </r>
  <r>
    <n v="5832"/>
    <n v="493"/>
    <n v="183"/>
    <n v="352"/>
    <n v="184"/>
    <n v="23"/>
    <n v="28"/>
    <s v="Together"/>
    <n v="92556"/>
    <n v="0"/>
    <n v="0"/>
    <n v="0"/>
    <n v="1"/>
    <n v="1.8737958970715702"/>
    <x v="1113"/>
  </r>
  <r>
    <n v="5835"/>
    <n v="21"/>
    <n v="2"/>
    <n v="28"/>
    <n v="3"/>
    <n v="2"/>
    <n v="9"/>
    <s v="Single"/>
    <n v="14849"/>
    <n v="1"/>
    <n v="0"/>
    <n v="1"/>
    <n v="0"/>
    <n v="-1.7215288267135682"/>
    <x v="1114"/>
  </r>
  <r>
    <n v="5837"/>
    <n v="247"/>
    <n v="8"/>
    <n v="160"/>
    <n v="6"/>
    <n v="8"/>
    <n v="65"/>
    <s v="Together"/>
    <n v="51479"/>
    <n v="1"/>
    <n v="1"/>
    <n v="0"/>
    <n v="1"/>
    <n v="-2.6742711791493918E-2"/>
    <x v="1115"/>
  </r>
  <r>
    <n v="5841"/>
    <n v="606"/>
    <n v="7"/>
    <n v="155"/>
    <n v="10"/>
    <n v="0"/>
    <n v="54"/>
    <s v="Together"/>
    <n v="60894"/>
    <n v="0"/>
    <n v="1"/>
    <n v="0"/>
    <n v="1"/>
    <n v="0.40886775154433269"/>
    <x v="1116"/>
  </r>
  <r>
    <n v="5846"/>
    <n v="2"/>
    <n v="1"/>
    <n v="6"/>
    <n v="2"/>
    <n v="1"/>
    <n v="1"/>
    <s v="Single"/>
    <n v="40246"/>
    <n v="1"/>
    <n v="0"/>
    <n v="1"/>
    <n v="0"/>
    <n v="-0.54646786682615567"/>
    <x v="1117"/>
  </r>
  <r>
    <n v="5847"/>
    <n v="312"/>
    <n v="21"/>
    <n v="206"/>
    <n v="102"/>
    <n v="92"/>
    <n v="149"/>
    <s v="Single"/>
    <n v="69901"/>
    <n v="0"/>
    <n v="1"/>
    <n v="1"/>
    <n v="0"/>
    <n v="0.82560099034048673"/>
    <x v="1118"/>
  </r>
  <r>
    <n v="5848"/>
    <n v="724"/>
    <n v="74"/>
    <n v="929"/>
    <n v="97"/>
    <n v="55"/>
    <n v="130"/>
    <s v="Together"/>
    <n v="81205"/>
    <n v="0"/>
    <n v="0"/>
    <n v="0"/>
    <n v="1"/>
    <n v="1.348611152586709"/>
    <x v="1119"/>
  </r>
  <r>
    <n v="5863"/>
    <n v="359"/>
    <n v="0"/>
    <n v="134"/>
    <n v="13"/>
    <n v="26"/>
    <n v="123"/>
    <s v="Together"/>
    <n v="47703"/>
    <n v="0"/>
    <n v="1"/>
    <n v="0"/>
    <n v="1"/>
    <n v="-0.20144957419787538"/>
    <x v="1120"/>
  </r>
  <r>
    <n v="5866"/>
    <n v="97"/>
    <n v="3"/>
    <n v="66"/>
    <n v="12"/>
    <n v="7"/>
    <n v="34"/>
    <s v="Together"/>
    <n v="48186"/>
    <n v="1"/>
    <n v="0"/>
    <n v="0"/>
    <n v="1"/>
    <n v="-0.1791022716178218"/>
    <x v="1121"/>
  </r>
  <r>
    <n v="5868"/>
    <n v="2"/>
    <n v="4"/>
    <n v="9"/>
    <n v="10"/>
    <n v="5"/>
    <n v="16"/>
    <s v="Together"/>
    <n v="19107"/>
    <n v="1"/>
    <n v="0"/>
    <n v="0"/>
    <n v="1"/>
    <n v="-1.5245209294343383"/>
    <x v="1122"/>
  </r>
  <r>
    <n v="5871"/>
    <n v="73"/>
    <n v="28"/>
    <n v="217"/>
    <n v="10"/>
    <n v="24"/>
    <n v="115"/>
    <s v="Together"/>
    <n v="24401"/>
    <n v="0"/>
    <n v="0"/>
    <n v="0"/>
    <n v="1"/>
    <n v="-1.2795796874906455"/>
    <x v="1123"/>
  </r>
  <r>
    <n v="5872"/>
    <n v="240"/>
    <n v="90"/>
    <n v="216"/>
    <n v="63"/>
    <n v="6"/>
    <n v="24"/>
    <s v="Single"/>
    <n v="60689"/>
    <n v="0"/>
    <n v="1"/>
    <n v="1"/>
    <n v="0"/>
    <n v="0.39938287156729135"/>
    <x v="1124"/>
  </r>
  <r>
    <n v="5883"/>
    <n v="138"/>
    <n v="120"/>
    <n v="204"/>
    <n v="16"/>
    <n v="126"/>
    <n v="60"/>
    <s v="Together"/>
    <n v="77981"/>
    <n v="1"/>
    <n v="0"/>
    <n v="0"/>
    <n v="1"/>
    <n v="1.1994440645575317"/>
    <x v="1125"/>
  </r>
  <r>
    <n v="5892"/>
    <n v="158"/>
    <n v="6"/>
    <n v="45"/>
    <n v="8"/>
    <n v="2"/>
    <n v="2"/>
    <s v="Together"/>
    <n v="34968"/>
    <n v="1"/>
    <n v="0"/>
    <n v="0"/>
    <n v="1"/>
    <n v="-0.79066882545456707"/>
    <x v="1126"/>
  </r>
  <r>
    <n v="5896"/>
    <n v="272"/>
    <n v="7"/>
    <n v="80"/>
    <n v="20"/>
    <n v="7"/>
    <n v="11"/>
    <s v="Together"/>
    <n v="73395"/>
    <n v="0"/>
    <n v="0"/>
    <n v="0"/>
    <n v="1"/>
    <n v="0.98726035931503564"/>
    <x v="1127"/>
  </r>
  <r>
    <n v="5899"/>
    <n v="28"/>
    <n v="0"/>
    <n v="6"/>
    <n v="1"/>
    <n v="1"/>
    <n v="13"/>
    <s v="Together"/>
    <n v="5648"/>
    <n v="1"/>
    <n v="1"/>
    <n v="0"/>
    <n v="1"/>
    <n v="-2.1472380007075076"/>
    <x v="1128"/>
  </r>
  <r>
    <n v="5907"/>
    <n v="8"/>
    <n v="0"/>
    <n v="8"/>
    <n v="0"/>
    <n v="0"/>
    <n v="2"/>
    <s v="Together"/>
    <n v="33444"/>
    <n v="1"/>
    <n v="1"/>
    <n v="0"/>
    <n v="1"/>
    <n v="-0.8611808112351087"/>
    <x v="1129"/>
  </r>
  <r>
    <n v="5909"/>
    <n v="895"/>
    <n v="10"/>
    <n v="101"/>
    <n v="13"/>
    <n v="0"/>
    <n v="152"/>
    <s v="Together"/>
    <n v="58512"/>
    <n v="0"/>
    <n v="1"/>
    <n v="0"/>
    <n v="1"/>
    <n v="0.29865807298183256"/>
    <x v="1130"/>
  </r>
  <r>
    <n v="5922"/>
    <n v="210"/>
    <n v="0"/>
    <n v="6"/>
    <n v="0"/>
    <n v="0"/>
    <n v="2"/>
    <s v="Together"/>
    <n v="40344"/>
    <n v="0"/>
    <n v="1"/>
    <n v="0"/>
    <n v="1"/>
    <n v="-0.5419336315200578"/>
    <x v="1131"/>
  </r>
  <r>
    <n v="5929"/>
    <n v="19"/>
    <n v="3"/>
    <n v="19"/>
    <n v="3"/>
    <n v="1"/>
    <n v="3"/>
    <s v="Together"/>
    <n v="37401"/>
    <n v="1"/>
    <n v="0"/>
    <n v="0"/>
    <n v="1"/>
    <n v="-0.67809949382460777"/>
    <x v="1132"/>
  </r>
  <r>
    <n v="5935"/>
    <n v="547"/>
    <n v="7"/>
    <n v="140"/>
    <n v="0"/>
    <n v="7"/>
    <n v="63"/>
    <s v="Single"/>
    <n v="55284"/>
    <n v="0"/>
    <n v="1"/>
    <n v="1"/>
    <n v="0"/>
    <n v="0.14930591412383484"/>
    <x v="1133"/>
  </r>
  <r>
    <n v="5939"/>
    <n v="43"/>
    <n v="5"/>
    <n v="28"/>
    <n v="7"/>
    <n v="6"/>
    <n v="33"/>
    <s v="Together"/>
    <n v="38232"/>
    <n v="1"/>
    <n v="1"/>
    <n v="0"/>
    <n v="1"/>
    <n v="-0.63965102913718641"/>
    <x v="1134"/>
  </r>
  <r>
    <n v="5948"/>
    <n v="143"/>
    <n v="6"/>
    <n v="52"/>
    <n v="11"/>
    <n v="8"/>
    <n v="17"/>
    <s v="Single"/>
    <n v="57338"/>
    <n v="0"/>
    <n v="1"/>
    <n v="1"/>
    <n v="0"/>
    <n v="0.2443397847230688"/>
    <x v="1135"/>
  </r>
  <r>
    <n v="5954"/>
    <n v="76"/>
    <n v="14"/>
    <n v="74"/>
    <n v="13"/>
    <n v="5"/>
    <n v="10"/>
    <s v="Single"/>
    <n v="42618"/>
    <n v="1"/>
    <n v="0"/>
    <n v="1"/>
    <n v="0"/>
    <n v="-0.43672086533570631"/>
    <x v="1136"/>
  </r>
  <r>
    <n v="5955"/>
    <n v="833"/>
    <n v="33"/>
    <n v="549"/>
    <n v="151"/>
    <n v="133"/>
    <n v="233"/>
    <s v="Together"/>
    <n v="72025"/>
    <n v="0"/>
    <n v="0"/>
    <n v="0"/>
    <n v="1"/>
    <n v="0.92387360044407629"/>
    <x v="1137"/>
  </r>
  <r>
    <n v="5956"/>
    <n v="144"/>
    <n v="2"/>
    <n v="99"/>
    <n v="7"/>
    <n v="2"/>
    <n v="30"/>
    <s v="Single"/>
    <n v="45072"/>
    <n v="1"/>
    <n v="2"/>
    <n v="1"/>
    <n v="0"/>
    <n v="-0.32317991185444039"/>
    <x v="1138"/>
  </r>
  <r>
    <n v="5959"/>
    <n v="158"/>
    <n v="0"/>
    <n v="23"/>
    <n v="0"/>
    <n v="0"/>
    <n v="18"/>
    <s v="Single"/>
    <n v="35893"/>
    <n v="1"/>
    <n v="1"/>
    <n v="1"/>
    <n v="0"/>
    <n v="-0.7478711962898682"/>
    <x v="1139"/>
  </r>
  <r>
    <n v="5961"/>
    <n v="8"/>
    <n v="4"/>
    <n v="20"/>
    <n v="6"/>
    <n v="3"/>
    <n v="16"/>
    <s v="Together"/>
    <n v="42693"/>
    <n v="1"/>
    <n v="0"/>
    <n v="0"/>
    <n v="1"/>
    <n v="-0.43325078729532535"/>
    <x v="1140"/>
  </r>
  <r>
    <n v="5966"/>
    <n v="203"/>
    <n v="0"/>
    <n v="10"/>
    <n v="0"/>
    <n v="0"/>
    <n v="2"/>
    <s v="Together"/>
    <n v="45207"/>
    <n v="1"/>
    <n v="1"/>
    <n v="0"/>
    <n v="1"/>
    <n v="-0.3169337713817546"/>
    <x v="1141"/>
  </r>
  <r>
    <n v="5967"/>
    <n v="26"/>
    <n v="2"/>
    <n v="19"/>
    <n v="10"/>
    <n v="5"/>
    <n v="8"/>
    <s v="Together"/>
    <n v="33402"/>
    <n v="1"/>
    <n v="1"/>
    <n v="0"/>
    <n v="1"/>
    <n v="-0.86312405493772204"/>
    <x v="1142"/>
  </r>
  <r>
    <n v="5975"/>
    <n v="37"/>
    <n v="0"/>
    <n v="17"/>
    <n v="0"/>
    <n v="0"/>
    <n v="3"/>
    <s v="Single"/>
    <n v="40304"/>
    <n v="1"/>
    <n v="0"/>
    <n v="1"/>
    <n v="0"/>
    <n v="-0.54378433980826102"/>
    <x v="1143"/>
  </r>
  <r>
    <n v="5985"/>
    <n v="80"/>
    <n v="1"/>
    <n v="37"/>
    <n v="0"/>
    <n v="1"/>
    <n v="3"/>
    <s v="Single"/>
    <n v="33168"/>
    <n v="0"/>
    <n v="1"/>
    <n v="1"/>
    <n v="0"/>
    <n v="-0.87395069842371076"/>
    <x v="1144"/>
  </r>
  <r>
    <n v="5987"/>
    <n v="2"/>
    <n v="2"/>
    <n v="11"/>
    <n v="10"/>
    <n v="6"/>
    <n v="12"/>
    <s v="Together"/>
    <n v="10404"/>
    <n v="1"/>
    <n v="0"/>
    <n v="0"/>
    <n v="1"/>
    <n v="-1.9271887852401479"/>
    <x v="1145"/>
  </r>
  <r>
    <n v="5989"/>
    <n v="752"/>
    <n v="122"/>
    <n v="476"/>
    <n v="39"/>
    <n v="153"/>
    <n v="34"/>
    <s v="Single"/>
    <n v="78353"/>
    <n v="0"/>
    <n v="1"/>
    <n v="1"/>
    <n v="0"/>
    <n v="1.2166556516378215"/>
    <x v="1146"/>
  </r>
  <r>
    <n v="5991"/>
    <n v="173"/>
    <n v="2"/>
    <n v="39"/>
    <n v="3"/>
    <n v="2"/>
    <n v="47"/>
    <s v="Together"/>
    <n v="48150"/>
    <n v="0"/>
    <n v="1"/>
    <n v="0"/>
    <n v="1"/>
    <n v="-0.18076790907720469"/>
    <x v="1147"/>
  </r>
  <r>
    <n v="5995"/>
    <n v="165"/>
    <n v="3"/>
    <n v="147"/>
    <n v="4"/>
    <n v="24"/>
    <n v="41"/>
    <s v="Single"/>
    <n v="39552"/>
    <n v="1"/>
    <n v="1"/>
    <n v="1"/>
    <n v="0"/>
    <n v="-0.57857765562648111"/>
    <x v="1148"/>
  </r>
  <r>
    <n v="6001"/>
    <n v="614"/>
    <n v="35"/>
    <n v="160"/>
    <n v="58"/>
    <n v="35"/>
    <n v="35"/>
    <s v="Together"/>
    <n v="56775"/>
    <n v="0"/>
    <n v="1"/>
    <n v="0"/>
    <n v="1"/>
    <n v="0.21829106556660888"/>
    <x v="1149"/>
  </r>
  <r>
    <n v="6019"/>
    <n v="45"/>
    <n v="3"/>
    <n v="9"/>
    <n v="4"/>
    <n v="4"/>
    <n v="7"/>
    <s v="Together"/>
    <n v="37126"/>
    <n v="1"/>
    <n v="0"/>
    <n v="0"/>
    <n v="1"/>
    <n v="-0.69082311330600477"/>
    <x v="1150"/>
  </r>
  <r>
    <n v="6036"/>
    <n v="1168"/>
    <n v="92"/>
    <n v="408"/>
    <n v="72"/>
    <n v="129"/>
    <n v="55"/>
    <s v="Together"/>
    <n v="89120"/>
    <n v="0"/>
    <n v="0"/>
    <n v="0"/>
    <n v="1"/>
    <n v="1.714820055114916"/>
    <x v="1151"/>
  </r>
  <r>
    <n v="6049"/>
    <n v="1142"/>
    <n v="51"/>
    <n v="415"/>
    <n v="90"/>
    <n v="69"/>
    <n v="37"/>
    <s v="Together"/>
    <n v="73450"/>
    <n v="0"/>
    <n v="0"/>
    <n v="0"/>
    <n v="1"/>
    <n v="0.98980508321131511"/>
    <x v="1152"/>
  </r>
  <r>
    <n v="6050"/>
    <n v="1171"/>
    <n v="43"/>
    <n v="219"/>
    <n v="19"/>
    <n v="14"/>
    <n v="47"/>
    <s v="Together"/>
    <n v="57036"/>
    <n v="0"/>
    <n v="1"/>
    <n v="0"/>
    <n v="1"/>
    <n v="0.23036693714713471"/>
    <x v="1153"/>
  </r>
  <r>
    <n v="6055"/>
    <n v="546"/>
    <n v="72"/>
    <n v="376"/>
    <n v="94"/>
    <n v="145"/>
    <n v="72"/>
    <s v="Together"/>
    <n v="71626"/>
    <n v="0"/>
    <n v="0"/>
    <n v="0"/>
    <n v="1"/>
    <n v="0.9054127852692494"/>
    <x v="1154"/>
  </r>
  <r>
    <n v="6059"/>
    <n v="986"/>
    <n v="36"/>
    <n v="168"/>
    <n v="16"/>
    <n v="0"/>
    <n v="108"/>
    <s v="Together"/>
    <n v="64504"/>
    <n v="1"/>
    <n v="2"/>
    <n v="0"/>
    <n v="1"/>
    <n v="0.57589417455467085"/>
    <x v="1155"/>
  </r>
  <r>
    <n v="6072"/>
    <n v="918"/>
    <n v="57"/>
    <n v="842"/>
    <n v="99"/>
    <n v="38"/>
    <n v="133"/>
    <s v="Single"/>
    <n v="75345"/>
    <n v="0"/>
    <n v="0"/>
    <n v="1"/>
    <n v="0"/>
    <n v="1.0774823883649414"/>
    <x v="1156"/>
  </r>
  <r>
    <n v="6086"/>
    <n v="445"/>
    <n v="25"/>
    <n v="706"/>
    <n v="80"/>
    <n v="76"/>
    <n v="48"/>
    <s v="Together"/>
    <n v="80395"/>
    <n v="0"/>
    <n v="0"/>
    <n v="0"/>
    <n v="1"/>
    <n v="1.3111343097505945"/>
    <x v="1157"/>
  </r>
  <r>
    <n v="6097"/>
    <n v="313"/>
    <n v="8"/>
    <n v="104"/>
    <n v="6"/>
    <n v="4"/>
    <n v="126"/>
    <s v="Single"/>
    <n v="50664"/>
    <n v="1"/>
    <n v="1"/>
    <n v="1"/>
    <n v="0"/>
    <n v="-6.4450893163633977E-2"/>
    <x v="1158"/>
  </r>
  <r>
    <n v="6103"/>
    <n v="40"/>
    <n v="15"/>
    <n v="15"/>
    <n v="17"/>
    <n v="6"/>
    <n v="7"/>
    <s v="Together"/>
    <n v="42192"/>
    <n v="0"/>
    <n v="0"/>
    <n v="0"/>
    <n v="1"/>
    <n v="-0.4564309086050703"/>
    <x v="1159"/>
  </r>
  <r>
    <n v="6116"/>
    <n v="19"/>
    <n v="13"/>
    <n v="18"/>
    <n v="10"/>
    <n v="7"/>
    <n v="8"/>
    <s v="Together"/>
    <n v="48985"/>
    <n v="0"/>
    <n v="1"/>
    <n v="0"/>
    <n v="1"/>
    <n v="-0.14213437356096301"/>
    <x v="1160"/>
  </r>
  <r>
    <n v="6119"/>
    <n v="10"/>
    <n v="0"/>
    <n v="3"/>
    <n v="0"/>
    <n v="0"/>
    <n v="4"/>
    <s v="Single"/>
    <n v="36736"/>
    <n v="1"/>
    <n v="1"/>
    <n v="1"/>
    <n v="0"/>
    <n v="-0.70886751911598589"/>
    <x v="1161"/>
  </r>
  <r>
    <n v="6131"/>
    <n v="141"/>
    <n v="70"/>
    <n v="106"/>
    <n v="72"/>
    <n v="19"/>
    <n v="23"/>
    <s v="Together"/>
    <n v="70829"/>
    <n v="1"/>
    <n v="1"/>
    <n v="0"/>
    <n v="1"/>
    <n v="0.86853742262680078"/>
    <x v="1162"/>
  </r>
  <r>
    <n v="6141"/>
    <n v="191"/>
    <n v="9"/>
    <n v="97"/>
    <n v="0"/>
    <n v="6"/>
    <n v="82"/>
    <s v="Single"/>
    <n v="49494"/>
    <n v="1"/>
    <n v="0"/>
    <n v="1"/>
    <n v="0"/>
    <n v="-0.11858411059357739"/>
    <x v="1163"/>
  </r>
  <r>
    <n v="6142"/>
    <n v="629"/>
    <n v="17"/>
    <n v="177"/>
    <n v="69"/>
    <n v="0"/>
    <n v="8"/>
    <s v="Together"/>
    <n v="65073"/>
    <n v="0"/>
    <n v="0"/>
    <n v="0"/>
    <n v="1"/>
    <n v="0.60222049995436133"/>
    <x v="1164"/>
  </r>
  <r>
    <n v="6147"/>
    <n v="5"/>
    <n v="2"/>
    <n v="8"/>
    <n v="2"/>
    <n v="2"/>
    <n v="9"/>
    <s v="Single"/>
    <n v="25818"/>
    <n v="1"/>
    <n v="0"/>
    <n v="1"/>
    <n v="0"/>
    <n v="-1.2140183463810474"/>
    <x v="1165"/>
  </r>
  <r>
    <n v="6168"/>
    <n v="33"/>
    <n v="0"/>
    <n v="5"/>
    <n v="0"/>
    <n v="0"/>
    <n v="15"/>
    <s v="Single"/>
    <n v="45146"/>
    <n v="1"/>
    <n v="1"/>
    <n v="1"/>
    <n v="0"/>
    <n v="-0.31975610152126449"/>
    <x v="1166"/>
  </r>
  <r>
    <n v="6177"/>
    <n v="76"/>
    <n v="10"/>
    <n v="56"/>
    <n v="3"/>
    <n v="1"/>
    <n v="23"/>
    <s v="Together"/>
    <n v="33454"/>
    <n v="1"/>
    <n v="0"/>
    <n v="0"/>
    <n v="1"/>
    <n v="-0.86071813416305787"/>
    <x v="1167"/>
  </r>
  <r>
    <n v="6181"/>
    <n v="488"/>
    <n v="21"/>
    <n v="238"/>
    <n v="56"/>
    <n v="108"/>
    <n v="28"/>
    <s v="Together"/>
    <n v="52203"/>
    <n v="0"/>
    <n v="0"/>
    <n v="0"/>
    <n v="1"/>
    <n v="6.7551082249838789E-3"/>
    <x v="1168"/>
  </r>
  <r>
    <n v="6182"/>
    <n v="11"/>
    <n v="4"/>
    <n v="20"/>
    <n v="10"/>
    <n v="3"/>
    <n v="5"/>
    <s v="Together"/>
    <n v="26646"/>
    <n v="1"/>
    <n v="0"/>
    <n v="0"/>
    <n v="1"/>
    <n v="-1.1757086848152414"/>
    <x v="1169"/>
  </r>
  <r>
    <n v="6184"/>
    <n v="561"/>
    <n v="64"/>
    <n v="785"/>
    <n v="84"/>
    <n v="128"/>
    <n v="48"/>
    <s v="Together"/>
    <n v="68462"/>
    <n v="0"/>
    <n v="0"/>
    <n v="0"/>
    <n v="1"/>
    <n v="0.75902175967237684"/>
    <x v="1170"/>
  </r>
  <r>
    <n v="6197"/>
    <n v="37"/>
    <n v="0"/>
    <n v="17"/>
    <n v="0"/>
    <n v="0"/>
    <n v="3"/>
    <s v="Single"/>
    <n v="27238"/>
    <n v="1"/>
    <n v="1"/>
    <n v="1"/>
    <n v="0"/>
    <n v="-1.1483182021498342"/>
    <x v="1171"/>
  </r>
  <r>
    <n v="6200"/>
    <n v="340"/>
    <n v="108"/>
    <n v="185"/>
    <n v="130"/>
    <n v="38"/>
    <n v="100"/>
    <s v="Together"/>
    <n v="75903"/>
    <n v="0"/>
    <n v="1"/>
    <n v="0"/>
    <n v="1"/>
    <n v="1.1032997689853759"/>
    <x v="1172"/>
  </r>
  <r>
    <n v="6201"/>
    <n v="22"/>
    <n v="2"/>
    <n v="14"/>
    <n v="0"/>
    <n v="1"/>
    <n v="10"/>
    <s v="Single"/>
    <n v="38643"/>
    <n v="1"/>
    <n v="1"/>
    <n v="1"/>
    <n v="0"/>
    <n v="-0.62063500147589867"/>
    <x v="1173"/>
  </r>
  <r>
    <n v="6203"/>
    <n v="499"/>
    <n v="149"/>
    <n v="815"/>
    <n v="173"/>
    <n v="49"/>
    <n v="49"/>
    <s v="Together"/>
    <n v="74485"/>
    <n v="0"/>
    <n v="0"/>
    <n v="0"/>
    <n v="1"/>
    <n v="1.0376921601685727"/>
    <x v="1174"/>
  </r>
  <r>
    <n v="6205"/>
    <n v="34"/>
    <n v="3"/>
    <n v="29"/>
    <n v="0"/>
    <n v="4"/>
    <n v="10"/>
    <s v="Single"/>
    <n v="32557"/>
    <n v="1"/>
    <n v="0"/>
    <n v="1"/>
    <n v="0"/>
    <n v="-0.90222026752601447"/>
    <x v="1175"/>
  </r>
  <r>
    <n v="6211"/>
    <n v="18"/>
    <n v="0"/>
    <n v="9"/>
    <n v="0"/>
    <n v="1"/>
    <n v="11"/>
    <s v="Together"/>
    <n v="37395"/>
    <n v="1"/>
    <n v="0"/>
    <n v="0"/>
    <n v="1"/>
    <n v="-0.67837710006783825"/>
    <x v="1176"/>
  </r>
  <r>
    <n v="6214"/>
    <n v="14"/>
    <n v="10"/>
    <n v="29"/>
    <n v="4"/>
    <n v="7"/>
    <n v="15"/>
    <s v="Together"/>
    <n v="43815"/>
    <n v="1"/>
    <n v="0"/>
    <n v="0"/>
    <n v="1"/>
    <n v="-0.38133841981122574"/>
    <x v="1177"/>
  </r>
  <r>
    <n v="6215"/>
    <n v="10"/>
    <n v="0"/>
    <n v="10"/>
    <n v="3"/>
    <n v="1"/>
    <n v="7"/>
    <s v="Together"/>
    <n v="31353"/>
    <n v="1"/>
    <n v="1"/>
    <n v="0"/>
    <n v="1"/>
    <n v="-0.95792658700093058"/>
    <x v="1178"/>
  </r>
  <r>
    <n v="6218"/>
    <n v="457"/>
    <n v="4"/>
    <n v="29"/>
    <n v="0"/>
    <n v="0"/>
    <n v="9"/>
    <s v="Together"/>
    <n v="59594"/>
    <n v="0"/>
    <n v="1"/>
    <n v="0"/>
    <n v="1"/>
    <n v="0.34871973217772889"/>
    <x v="1179"/>
  </r>
  <r>
    <n v="6230"/>
    <n v="110"/>
    <n v="5"/>
    <n v="59"/>
    <n v="7"/>
    <n v="1"/>
    <n v="7"/>
    <s v="Single"/>
    <n v="44421"/>
    <n v="1"/>
    <n v="1"/>
    <n v="1"/>
    <n v="0"/>
    <n v="-0.35330018924494738"/>
    <x v="1180"/>
  </r>
  <r>
    <n v="6233"/>
    <n v="507"/>
    <n v="19"/>
    <n v="364"/>
    <n v="25"/>
    <n v="47"/>
    <n v="9"/>
    <s v="Together"/>
    <n v="65991"/>
    <n v="0"/>
    <n v="1"/>
    <n v="0"/>
    <n v="1"/>
    <n v="0.64469425516862455"/>
    <x v="1181"/>
  </r>
  <r>
    <n v="6237"/>
    <n v="81"/>
    <n v="4"/>
    <n v="33"/>
    <n v="5"/>
    <n v="2"/>
    <n v="291"/>
    <s v="Single"/>
    <n v="7144"/>
    <n v="0"/>
    <n v="2"/>
    <n v="1"/>
    <n v="0"/>
    <n v="-2.0780215107287083"/>
    <x v="1182"/>
  </r>
  <r>
    <n v="6245"/>
    <n v="378"/>
    <n v="14"/>
    <n v="68"/>
    <n v="19"/>
    <n v="14"/>
    <n v="14"/>
    <s v="Together"/>
    <n v="59292"/>
    <n v="0"/>
    <n v="1"/>
    <n v="0"/>
    <n v="1"/>
    <n v="0.3347468846017948"/>
    <x v="1183"/>
  </r>
  <r>
    <n v="6246"/>
    <n v="703"/>
    <n v="102"/>
    <n v="601"/>
    <n v="0"/>
    <n v="58"/>
    <n v="43"/>
    <s v="Single"/>
    <n v="73892"/>
    <n v="0"/>
    <n v="0"/>
    <n v="1"/>
    <n v="0"/>
    <n v="1.0102554097959604"/>
    <x v="1184"/>
  </r>
  <r>
    <n v="6248"/>
    <n v="1276"/>
    <n v="24"/>
    <n v="746"/>
    <n v="94"/>
    <n v="29"/>
    <n v="48"/>
    <s v="Single"/>
    <n v="91712"/>
    <n v="0"/>
    <n v="0"/>
    <n v="1"/>
    <n v="0"/>
    <n v="1.834745952190483"/>
    <x v="1185"/>
  </r>
  <r>
    <n v="6250"/>
    <n v="710"/>
    <n v="15"/>
    <n v="30"/>
    <n v="20"/>
    <n v="0"/>
    <n v="0"/>
    <s v="Single"/>
    <n v="54356"/>
    <n v="0"/>
    <n v="1"/>
    <n v="1"/>
    <n v="0"/>
    <n v="0.10636948183752076"/>
    <x v="1186"/>
  </r>
  <r>
    <n v="6255"/>
    <n v="138"/>
    <n v="39"/>
    <n v="63"/>
    <n v="55"/>
    <n v="18"/>
    <n v="21"/>
    <s v="Together"/>
    <n v="70545"/>
    <n v="0"/>
    <n v="1"/>
    <n v="0"/>
    <n v="1"/>
    <n v="0.85539739378055812"/>
    <x v="1187"/>
  </r>
  <r>
    <n v="6257"/>
    <n v="255"/>
    <n v="43"/>
    <n v="134"/>
    <n v="37"/>
    <n v="14"/>
    <n v="24"/>
    <s v="Single"/>
    <n v="60482"/>
    <n v="0"/>
    <n v="1"/>
    <n v="1"/>
    <n v="0"/>
    <n v="0.38980545617583978"/>
    <x v="1188"/>
  </r>
  <r>
    <n v="6260"/>
    <n v="984"/>
    <n v="51"/>
    <n v="432"/>
    <n v="180"/>
    <n v="120"/>
    <n v="190"/>
    <s v="Together"/>
    <n v="82384"/>
    <n v="0"/>
    <n v="0"/>
    <n v="0"/>
    <n v="1"/>
    <n v="1.4031607793814982"/>
    <x v="1189"/>
  </r>
  <r>
    <n v="6261"/>
    <n v="270"/>
    <n v="31"/>
    <n v="88"/>
    <n v="11"/>
    <n v="48"/>
    <n v="22"/>
    <s v="Together"/>
    <n v="58025"/>
    <n v="0"/>
    <n v="1"/>
    <n v="0"/>
    <n v="1"/>
    <n v="0.27612569957295868"/>
    <x v="1190"/>
  </r>
  <r>
    <n v="6262"/>
    <n v="816"/>
    <n v="42"/>
    <n v="450"/>
    <n v="55"/>
    <n v="56"/>
    <n v="154"/>
    <s v="Single"/>
    <n v="72217"/>
    <n v="0"/>
    <n v="0"/>
    <n v="1"/>
    <n v="0"/>
    <n v="0.93275700022745167"/>
    <x v="1191"/>
  </r>
  <r>
    <n v="6263"/>
    <n v="28"/>
    <n v="9"/>
    <n v="37"/>
    <n v="12"/>
    <n v="7"/>
    <n v="13"/>
    <s v="Together"/>
    <n v="35322"/>
    <n v="1"/>
    <n v="2"/>
    <n v="0"/>
    <n v="1"/>
    <n v="-0.77429005710396881"/>
    <x v="1192"/>
  </r>
  <r>
    <n v="6271"/>
    <n v="53"/>
    <n v="0"/>
    <n v="8"/>
    <n v="0"/>
    <n v="0"/>
    <n v="2"/>
    <s v="Together"/>
    <n v="50870"/>
    <n v="0"/>
    <n v="1"/>
    <n v="0"/>
    <n v="1"/>
    <n v="-5.4919745479387536E-2"/>
    <x v="1193"/>
  </r>
  <r>
    <n v="6274"/>
    <n v="1076"/>
    <n v="16"/>
    <n v="417"/>
    <n v="42"/>
    <n v="48"/>
    <n v="16"/>
    <s v="Together"/>
    <n v="83790"/>
    <n v="0"/>
    <n v="0"/>
    <n v="0"/>
    <n v="1"/>
    <n v="1.4682131757118406"/>
    <x v="1194"/>
  </r>
  <r>
    <n v="6281"/>
    <n v="673"/>
    <n v="0"/>
    <n v="199"/>
    <n v="37"/>
    <n v="47"/>
    <n v="26"/>
    <s v="Single"/>
    <n v="55686"/>
    <n v="0"/>
    <n v="1"/>
    <n v="1"/>
    <n v="0"/>
    <n v="0.16790553242027692"/>
    <x v="1195"/>
  </r>
  <r>
    <n v="6287"/>
    <n v="14"/>
    <n v="0"/>
    <n v="16"/>
    <n v="0"/>
    <n v="0"/>
    <n v="6"/>
    <s v="Together"/>
    <n v="34728"/>
    <n v="1"/>
    <n v="0"/>
    <n v="0"/>
    <n v="1"/>
    <n v="-0.80177307518378615"/>
    <x v="1196"/>
  </r>
  <r>
    <n v="6289"/>
    <n v="135"/>
    <n v="0"/>
    <n v="10"/>
    <n v="0"/>
    <n v="4"/>
    <n v="36"/>
    <s v="Together"/>
    <n v="59385"/>
    <n v="1"/>
    <n v="1"/>
    <n v="0"/>
    <n v="1"/>
    <n v="0.33904978137186725"/>
    <x v="1197"/>
  </r>
  <r>
    <n v="6292"/>
    <n v="1311"/>
    <n v="0"/>
    <n v="359"/>
    <n v="46"/>
    <n v="89"/>
    <n v="17"/>
    <s v="Together"/>
    <n v="82333"/>
    <n v="0"/>
    <n v="0"/>
    <n v="0"/>
    <n v="1"/>
    <n v="1.4008011263140392"/>
    <x v="1198"/>
  </r>
  <r>
    <n v="6295"/>
    <n v="652"/>
    <n v="8"/>
    <n v="158"/>
    <n v="21"/>
    <n v="0"/>
    <n v="142"/>
    <s v="Together"/>
    <n v="54233"/>
    <n v="0"/>
    <n v="1"/>
    <n v="0"/>
    <n v="1"/>
    <n v="0.10067855385129594"/>
    <x v="1199"/>
  </r>
  <r>
    <n v="6299"/>
    <n v="324"/>
    <n v="48"/>
    <n v="186"/>
    <n v="39"/>
    <n v="18"/>
    <n v="198"/>
    <s v="Single"/>
    <n v="42564"/>
    <n v="0"/>
    <n v="1"/>
    <n v="1"/>
    <n v="0"/>
    <n v="-0.4392193215247806"/>
    <x v="1200"/>
  </r>
  <r>
    <n v="6303"/>
    <n v="410"/>
    <n v="73"/>
    <n v="747"/>
    <n v="76"/>
    <n v="161"/>
    <n v="30"/>
    <s v="Together"/>
    <n v="91820"/>
    <n v="0"/>
    <n v="0"/>
    <n v="0"/>
    <n v="1"/>
    <n v="1.8397428645686316"/>
    <x v="1201"/>
  </r>
  <r>
    <n v="6310"/>
    <n v="30"/>
    <n v="8"/>
    <n v="12"/>
    <n v="8"/>
    <n v="8"/>
    <n v="12"/>
    <s v="Together"/>
    <n v="33039"/>
    <n v="1"/>
    <n v="0"/>
    <n v="0"/>
    <n v="1"/>
    <n v="-0.87991923265316596"/>
    <x v="1202"/>
  </r>
  <r>
    <n v="6312"/>
    <n v="258"/>
    <n v="107"/>
    <n v="291"/>
    <n v="84"/>
    <n v="37"/>
    <n v="86"/>
    <s v="Together"/>
    <n v="65031"/>
    <n v="0"/>
    <n v="1"/>
    <n v="0"/>
    <n v="1"/>
    <n v="0.60027725625174799"/>
    <x v="1203"/>
  </r>
  <r>
    <n v="6320"/>
    <n v="768"/>
    <n v="44"/>
    <n v="561"/>
    <n v="77"/>
    <n v="44"/>
    <n v="14"/>
    <s v="Single"/>
    <n v="70893"/>
    <n v="0"/>
    <n v="0"/>
    <n v="1"/>
    <n v="0"/>
    <n v="0.87149855588792591"/>
    <x v="1204"/>
  </r>
  <r>
    <n v="6327"/>
    <n v="565"/>
    <n v="32"/>
    <n v="435"/>
    <n v="28"/>
    <n v="32"/>
    <n v="54"/>
    <s v="Together"/>
    <n v="65777"/>
    <n v="0"/>
    <n v="0"/>
    <n v="0"/>
    <n v="1"/>
    <n v="0.6347929658267375"/>
    <x v="1205"/>
  </r>
  <r>
    <n v="6336"/>
    <n v="13"/>
    <n v="2"/>
    <n v="14"/>
    <n v="8"/>
    <n v="7"/>
    <n v="4"/>
    <s v="Together"/>
    <n v="29315"/>
    <n v="1"/>
    <n v="1"/>
    <n v="0"/>
    <n v="1"/>
    <n v="-1.0522201742848833"/>
    <x v="1206"/>
  </r>
  <r>
    <n v="6340"/>
    <n v="3"/>
    <n v="3"/>
    <n v="7"/>
    <n v="0"/>
    <n v="2"/>
    <n v="11"/>
    <s v="Single"/>
    <n v="29938"/>
    <n v="1"/>
    <n v="0"/>
    <n v="1"/>
    <n v="0"/>
    <n v="-1.0233953926961186"/>
    <x v="1207"/>
  </r>
  <r>
    <n v="6343"/>
    <n v="835"/>
    <n v="73"/>
    <n v="380"/>
    <n v="114"/>
    <n v="73"/>
    <n v="43"/>
    <s v="Together"/>
    <n v="79823"/>
    <n v="0"/>
    <n v="1"/>
    <n v="0"/>
    <n v="1"/>
    <n v="1.2846691812292887"/>
    <x v="1208"/>
  </r>
  <r>
    <n v="6347"/>
    <n v="1"/>
    <n v="1"/>
    <n v="4"/>
    <n v="11"/>
    <n v="9"/>
    <n v="10"/>
    <s v="Single"/>
    <n v="15862"/>
    <n v="1"/>
    <n v="0"/>
    <n v="1"/>
    <n v="0"/>
    <n v="-1.6746596393148223"/>
    <x v="1209"/>
  </r>
  <r>
    <n v="6349"/>
    <n v="621"/>
    <n v="73"/>
    <n v="414"/>
    <n v="78"/>
    <n v="48"/>
    <n v="85"/>
    <s v="Single"/>
    <n v="61787"/>
    <n v="0"/>
    <n v="0"/>
    <n v="1"/>
    <n v="0"/>
    <n v="0.450184814078469"/>
    <x v="1210"/>
  </r>
  <r>
    <n v="6354"/>
    <n v="5"/>
    <n v="2"/>
    <n v="16"/>
    <n v="3"/>
    <n v="2"/>
    <n v="19"/>
    <s v="Together"/>
    <n v="15345"/>
    <n v="1"/>
    <n v="0"/>
    <n v="0"/>
    <n v="1"/>
    <n v="-1.6985800439398486"/>
    <x v="1211"/>
  </r>
  <r>
    <n v="6355"/>
    <n v="20"/>
    <n v="0"/>
    <n v="14"/>
    <n v="7"/>
    <n v="3"/>
    <n v="1"/>
    <s v="Together"/>
    <n v="44359"/>
    <n v="1"/>
    <n v="1"/>
    <n v="0"/>
    <n v="1"/>
    <n v="-0.35616878709166233"/>
    <x v="1212"/>
  </r>
  <r>
    <n v="6357"/>
    <n v="230"/>
    <n v="35"/>
    <n v="75"/>
    <n v="63"/>
    <n v="57"/>
    <n v="31"/>
    <s v="Single"/>
    <n v="59052"/>
    <n v="0"/>
    <n v="1"/>
    <n v="1"/>
    <n v="0"/>
    <n v="0.32364263487257566"/>
    <x v="1213"/>
  </r>
  <r>
    <n v="6365"/>
    <n v="10"/>
    <n v="12"/>
    <n v="12"/>
    <n v="25"/>
    <n v="1"/>
    <n v="20"/>
    <s v="Together"/>
    <n v="30390"/>
    <n v="0"/>
    <n v="0"/>
    <n v="0"/>
    <n v="1"/>
    <n v="-1.0024823890394226"/>
    <x v="1214"/>
  </r>
  <r>
    <n v="6374"/>
    <n v="223"/>
    <n v="2"/>
    <n v="31"/>
    <n v="0"/>
    <n v="2"/>
    <n v="39"/>
    <s v="Together"/>
    <n v="36930"/>
    <n v="0"/>
    <n v="1"/>
    <n v="0"/>
    <n v="1"/>
    <n v="-0.69989158391820039"/>
    <x v="1215"/>
  </r>
  <r>
    <n v="6376"/>
    <n v="191"/>
    <n v="56"/>
    <n v="139"/>
    <n v="51"/>
    <n v="8"/>
    <n v="100"/>
    <s v="Single"/>
    <n v="57537"/>
    <n v="1"/>
    <n v="0"/>
    <n v="1"/>
    <n v="0"/>
    <n v="0.25354705845687969"/>
    <x v="1216"/>
  </r>
  <r>
    <n v="6379"/>
    <n v="67"/>
    <n v="1"/>
    <n v="20"/>
    <n v="0"/>
    <n v="2"/>
    <n v="31"/>
    <s v="Single"/>
    <n v="47570"/>
    <n v="1"/>
    <n v="1"/>
    <n v="1"/>
    <n v="0"/>
    <n v="-0.20760317925615099"/>
    <x v="1217"/>
  </r>
  <r>
    <n v="6382"/>
    <n v="25"/>
    <n v="0"/>
    <n v="11"/>
    <n v="3"/>
    <n v="0"/>
    <n v="15"/>
    <s v="Together"/>
    <n v="48794"/>
    <n v="1"/>
    <n v="1"/>
    <n v="0"/>
    <n v="1"/>
    <n v="-0.15097150563713327"/>
    <x v="1218"/>
  </r>
  <r>
    <n v="6383"/>
    <n v="26"/>
    <n v="0"/>
    <n v="15"/>
    <n v="2"/>
    <n v="1"/>
    <n v="2"/>
    <s v="Together"/>
    <n v="32892"/>
    <n v="1"/>
    <n v="0"/>
    <n v="0"/>
    <n v="1"/>
    <n v="-0.88672058561231271"/>
    <x v="1219"/>
  </r>
  <r>
    <n v="6384"/>
    <n v="909"/>
    <n v="12"/>
    <n v="278"/>
    <n v="0"/>
    <n v="12"/>
    <n v="242"/>
    <s v="Single"/>
    <n v="71022"/>
    <n v="0"/>
    <n v="1"/>
    <n v="1"/>
    <n v="0"/>
    <n v="0.87746709011738122"/>
    <x v="1220"/>
  </r>
  <r>
    <n v="6387"/>
    <n v="42"/>
    <n v="0"/>
    <n v="17"/>
    <n v="0"/>
    <n v="0"/>
    <n v="18"/>
    <s v="Together"/>
    <n v="52190"/>
    <n v="1"/>
    <n v="1"/>
    <n v="0"/>
    <n v="1"/>
    <n v="6.1536280313178411E-3"/>
    <x v="1221"/>
  </r>
  <r>
    <n v="6398"/>
    <n v="7"/>
    <n v="10"/>
    <n v="13"/>
    <n v="16"/>
    <n v="0"/>
    <n v="4"/>
    <s v="Together"/>
    <n v="18393"/>
    <n v="1"/>
    <n v="0"/>
    <n v="0"/>
    <n v="1"/>
    <n v="-1.5575560723787651"/>
    <x v="1222"/>
  </r>
  <r>
    <n v="6404"/>
    <n v="151"/>
    <n v="7"/>
    <n v="89"/>
    <n v="0"/>
    <n v="7"/>
    <n v="28"/>
    <s v="Together"/>
    <n v="58917"/>
    <n v="1"/>
    <n v="2"/>
    <n v="0"/>
    <n v="1"/>
    <n v="0.31739649439988987"/>
    <x v="1223"/>
  </r>
  <r>
    <n v="6406"/>
    <n v="647"/>
    <n v="107"/>
    <n v="391"/>
    <n v="175"/>
    <n v="67"/>
    <n v="40"/>
    <s v="Together"/>
    <n v="78285"/>
    <n v="0"/>
    <n v="0"/>
    <n v="0"/>
    <n v="1"/>
    <n v="1.213509447547876"/>
    <x v="1224"/>
  </r>
  <r>
    <n v="6409"/>
    <n v="267"/>
    <n v="140"/>
    <n v="599"/>
    <n v="34"/>
    <n v="12"/>
    <n v="127"/>
    <s v="Single"/>
    <n v="57136"/>
    <n v="0"/>
    <n v="0"/>
    <n v="1"/>
    <n v="0"/>
    <n v="0.23499370786764268"/>
    <x v="1225"/>
  </r>
  <r>
    <n v="6417"/>
    <n v="829"/>
    <n v="138"/>
    <n v="430"/>
    <n v="60"/>
    <n v="92"/>
    <n v="15"/>
    <s v="Together"/>
    <n v="80573"/>
    <n v="0"/>
    <n v="0"/>
    <n v="0"/>
    <n v="1"/>
    <n v="1.3193699616330987"/>
    <x v="1226"/>
  </r>
  <r>
    <n v="6421"/>
    <n v="1050"/>
    <n v="178"/>
    <n v="555"/>
    <n v="77"/>
    <n v="138"/>
    <n v="118"/>
    <s v="Together"/>
    <n v="88347"/>
    <n v="0"/>
    <n v="0"/>
    <n v="0"/>
    <n v="1"/>
    <n v="1.6790551174453894"/>
    <x v="1227"/>
  </r>
  <r>
    <n v="6422"/>
    <n v="344"/>
    <n v="189"/>
    <n v="482"/>
    <n v="50"/>
    <n v="33"/>
    <n v="172"/>
    <s v="Together"/>
    <n v="86718"/>
    <n v="0"/>
    <n v="0"/>
    <n v="0"/>
    <n v="1"/>
    <n v="1.6036850224083143"/>
    <x v="1228"/>
  </r>
  <r>
    <n v="6424"/>
    <n v="12"/>
    <n v="6"/>
    <n v="2"/>
    <n v="11"/>
    <n v="2"/>
    <n v="16"/>
    <s v="Together"/>
    <n v="33178"/>
    <n v="1"/>
    <n v="0"/>
    <n v="0"/>
    <n v="1"/>
    <n v="-0.87348802135165993"/>
    <x v="1229"/>
  </r>
  <r>
    <n v="6428"/>
    <n v="605"/>
    <n v="10"/>
    <n v="345"/>
    <n v="84"/>
    <n v="54"/>
    <n v="32"/>
    <s v="Single"/>
    <n v="76842"/>
    <n v="0"/>
    <n v="0"/>
    <n v="1"/>
    <n v="0"/>
    <n v="1.1467451460509459"/>
    <x v="1230"/>
  </r>
  <r>
    <n v="6431"/>
    <n v="42"/>
    <n v="1"/>
    <n v="18"/>
    <n v="3"/>
    <n v="0"/>
    <n v="4"/>
    <s v="Together"/>
    <n v="45759"/>
    <n v="1"/>
    <n v="1"/>
    <n v="0"/>
    <n v="1"/>
    <n v="-0.29139399700455054"/>
    <x v="1231"/>
  </r>
  <r>
    <n v="6437"/>
    <n v="21"/>
    <n v="8"/>
    <n v="20"/>
    <n v="15"/>
    <n v="3"/>
    <n v="9"/>
    <s v="Single"/>
    <n v="41473"/>
    <n v="1"/>
    <n v="0"/>
    <n v="1"/>
    <n v="0"/>
    <n v="-0.48969739008552271"/>
    <x v="1232"/>
  </r>
  <r>
    <n v="6439"/>
    <n v="789"/>
    <n v="0"/>
    <n v="133"/>
    <n v="0"/>
    <n v="28"/>
    <n v="152"/>
    <s v="Together"/>
    <n v="61074"/>
    <n v="0"/>
    <n v="1"/>
    <n v="0"/>
    <n v="1"/>
    <n v="0.41719593884124706"/>
    <x v="1233"/>
  </r>
  <r>
    <n v="6445"/>
    <n v="243"/>
    <n v="101"/>
    <n v="405"/>
    <n v="29"/>
    <n v="40"/>
    <n v="40"/>
    <s v="Together"/>
    <n v="66825"/>
    <n v="0"/>
    <n v="0"/>
    <n v="0"/>
    <n v="1"/>
    <n v="0.6832815229776612"/>
    <x v="1234"/>
  </r>
  <r>
    <n v="6457"/>
    <n v="527"/>
    <n v="24"/>
    <n v="230"/>
    <n v="32"/>
    <n v="24"/>
    <n v="65"/>
    <s v="Single"/>
    <n v="64892"/>
    <n v="0"/>
    <n v="1"/>
    <n v="1"/>
    <n v="0"/>
    <n v="0.59384604495024185"/>
    <x v="1235"/>
  </r>
  <r>
    <n v="6460"/>
    <n v="12"/>
    <n v="4"/>
    <n v="6"/>
    <n v="11"/>
    <n v="8"/>
    <n v="16"/>
    <s v="Together"/>
    <n v="28718"/>
    <n v="1"/>
    <n v="0"/>
    <n v="0"/>
    <n v="1"/>
    <n v="-1.0798419954863159"/>
    <x v="1236"/>
  </r>
  <r>
    <n v="6461"/>
    <n v="581"/>
    <n v="49"/>
    <n v="157"/>
    <n v="43"/>
    <n v="8"/>
    <n v="108"/>
    <s v="Single"/>
    <n v="62772"/>
    <n v="0"/>
    <n v="1"/>
    <n v="1"/>
    <n v="0"/>
    <n v="0.49575850567547264"/>
    <x v="1237"/>
  </r>
  <r>
    <n v="6466"/>
    <n v="105"/>
    <n v="0"/>
    <n v="9"/>
    <n v="2"/>
    <n v="1"/>
    <n v="4"/>
    <s v="Together"/>
    <n v="57236"/>
    <n v="1"/>
    <n v="1"/>
    <n v="0"/>
    <n v="1"/>
    <n v="0.23962047858815066"/>
    <x v="1238"/>
  </r>
  <r>
    <n v="6471"/>
    <n v="14"/>
    <n v="2"/>
    <n v="30"/>
    <n v="8"/>
    <n v="2"/>
    <n v="3"/>
    <s v="Single"/>
    <n v="36230"/>
    <n v="1"/>
    <n v="0"/>
    <n v="1"/>
    <n v="0"/>
    <n v="-0.73227897896175631"/>
    <x v="1239"/>
  </r>
  <r>
    <n v="6488"/>
    <n v="76"/>
    <n v="0"/>
    <n v="7"/>
    <n v="0"/>
    <n v="0"/>
    <n v="16"/>
    <s v="Together"/>
    <n v="38829"/>
    <n v="0"/>
    <n v="1"/>
    <n v="0"/>
    <n v="1"/>
    <n v="-0.61202920793575377"/>
    <x v="1240"/>
  </r>
  <r>
    <n v="6497"/>
    <n v="293"/>
    <n v="6"/>
    <n v="23"/>
    <n v="13"/>
    <n v="6"/>
    <n v="92"/>
    <s v="Together"/>
    <n v="51651"/>
    <n v="0"/>
    <n v="1"/>
    <n v="0"/>
    <n v="1"/>
    <n v="-1.878466615222019E-2"/>
    <x v="1241"/>
  </r>
  <r>
    <n v="6504"/>
    <n v="2"/>
    <n v="5"/>
    <n v="9"/>
    <n v="28"/>
    <n v="6"/>
    <n v="28"/>
    <s v="Together"/>
    <n v="19789"/>
    <n v="1"/>
    <n v="0"/>
    <n v="0"/>
    <n v="1"/>
    <n v="-1.4929663531204738"/>
    <x v="1242"/>
  </r>
  <r>
    <n v="6507"/>
    <n v="16"/>
    <n v="11"/>
    <n v="15"/>
    <n v="2"/>
    <n v="0"/>
    <n v="12"/>
    <s v="Single"/>
    <n v="30828"/>
    <n v="1"/>
    <n v="0"/>
    <n v="1"/>
    <n v="0"/>
    <n v="-0.9822171332835975"/>
    <x v="1243"/>
  </r>
  <r>
    <n v="6515"/>
    <n v="6"/>
    <n v="2"/>
    <n v="18"/>
    <n v="2"/>
    <n v="8"/>
    <n v="14"/>
    <s v="Together"/>
    <n v="39771"/>
    <n v="1"/>
    <n v="0"/>
    <n v="0"/>
    <n v="1"/>
    <n v="-0.56844502774856853"/>
    <x v="1244"/>
  </r>
  <r>
    <n v="6516"/>
    <n v="0"/>
    <n v="0"/>
    <n v="1"/>
    <n v="7"/>
    <n v="4"/>
    <n v="6"/>
    <s v="Together"/>
    <n v="17487"/>
    <n v="1"/>
    <n v="0"/>
    <n v="0"/>
    <n v="1"/>
    <n v="-1.5994746151065675"/>
    <x v="1245"/>
  </r>
  <r>
    <n v="6518"/>
    <n v="546"/>
    <n v="0"/>
    <n v="48"/>
    <n v="0"/>
    <n v="6"/>
    <n v="6"/>
    <s v="Single"/>
    <n v="67680"/>
    <n v="0"/>
    <n v="1"/>
    <n v="1"/>
    <n v="0"/>
    <n v="0.72284041263800447"/>
    <x v="1246"/>
  </r>
  <r>
    <n v="6521"/>
    <n v="613"/>
    <n v="22"/>
    <n v="319"/>
    <n v="33"/>
    <n v="102"/>
    <n v="12"/>
    <s v="Together"/>
    <n v="77972"/>
    <n v="0"/>
    <n v="0"/>
    <n v="0"/>
    <n v="1"/>
    <n v="1.1990276551926859"/>
    <x v="1247"/>
  </r>
  <r>
    <n v="6528"/>
    <n v="2"/>
    <n v="2"/>
    <n v="2"/>
    <n v="2"/>
    <n v="1"/>
    <n v="1"/>
    <s v="Together"/>
    <n v="18492"/>
    <n v="1"/>
    <n v="0"/>
    <n v="0"/>
    <n v="1"/>
    <n v="-1.5529755693654623"/>
    <x v="1248"/>
  </r>
  <r>
    <n v="6534"/>
    <n v="29"/>
    <n v="0"/>
    <n v="29"/>
    <n v="0"/>
    <n v="5"/>
    <n v="4"/>
    <s v="Together"/>
    <n v="47889"/>
    <n v="1"/>
    <n v="0"/>
    <n v="0"/>
    <n v="1"/>
    <n v="-0.1928437806577305"/>
    <x v="1249"/>
  </r>
  <r>
    <n v="6543"/>
    <n v="521"/>
    <n v="168"/>
    <n v="706"/>
    <n v="80"/>
    <n v="76"/>
    <n v="61"/>
    <s v="Together"/>
    <n v="62847"/>
    <n v="0"/>
    <n v="0"/>
    <n v="0"/>
    <n v="1"/>
    <n v="0.4992285837158536"/>
    <x v="1250"/>
  </r>
  <r>
    <n v="6565"/>
    <n v="1012"/>
    <n v="80"/>
    <n v="498"/>
    <n v="0"/>
    <n v="16"/>
    <n v="176"/>
    <s v="Together"/>
    <n v="76995"/>
    <n v="0"/>
    <n v="1"/>
    <n v="0"/>
    <n v="1"/>
    <n v="1.1538241052533231"/>
    <x v="1251"/>
  </r>
  <r>
    <n v="6566"/>
    <n v="826"/>
    <n v="50"/>
    <n v="317"/>
    <n v="50"/>
    <n v="38"/>
    <n v="38"/>
    <s v="Together"/>
    <n v="72550"/>
    <n v="1"/>
    <n v="1"/>
    <n v="0"/>
    <n v="1"/>
    <n v="0.94816414672674321"/>
    <x v="1252"/>
  </r>
  <r>
    <n v="6568"/>
    <n v="11"/>
    <n v="0"/>
    <n v="36"/>
    <n v="15"/>
    <n v="5"/>
    <n v="12"/>
    <s v="Together"/>
    <n v="38680"/>
    <n v="1"/>
    <n v="0"/>
    <n v="0"/>
    <n v="1"/>
    <n v="-0.61892309630931064"/>
    <x v="1253"/>
  </r>
  <r>
    <n v="6575"/>
    <n v="230"/>
    <n v="48"/>
    <n v="214"/>
    <n v="13"/>
    <n v="32"/>
    <n v="75"/>
    <s v="Together"/>
    <n v="56386"/>
    <n v="1"/>
    <n v="1"/>
    <n v="0"/>
    <n v="1"/>
    <n v="0.20029292746383281"/>
    <x v="1254"/>
  </r>
  <r>
    <n v="6605"/>
    <n v="504"/>
    <n v="13"/>
    <n v="131"/>
    <n v="8"/>
    <n v="0"/>
    <n v="26"/>
    <s v="Single"/>
    <n v="55614"/>
    <n v="0"/>
    <n v="0"/>
    <n v="1"/>
    <n v="0"/>
    <n v="0.1645742575015112"/>
    <x v="1255"/>
  </r>
  <r>
    <n v="6606"/>
    <n v="964"/>
    <n v="34"/>
    <n v="137"/>
    <n v="15"/>
    <n v="0"/>
    <n v="11"/>
    <s v="Together"/>
    <n v="70091"/>
    <n v="1"/>
    <n v="0"/>
    <n v="0"/>
    <n v="1"/>
    <n v="0.83439185470945187"/>
    <x v="1256"/>
  </r>
  <r>
    <n v="6609"/>
    <n v="1"/>
    <n v="26"/>
    <n v="25"/>
    <n v="17"/>
    <n v="23"/>
    <n v="15"/>
    <s v="Single"/>
    <n v="27038"/>
    <n v="0"/>
    <n v="0"/>
    <n v="1"/>
    <n v="0"/>
    <n v="-1.1575717435908501"/>
    <x v="1257"/>
  </r>
  <r>
    <n v="6613"/>
    <n v="513"/>
    <n v="7"/>
    <n v="133"/>
    <n v="46"/>
    <n v="14"/>
    <n v="14"/>
    <s v="Together"/>
    <n v="44511"/>
    <n v="1"/>
    <n v="0"/>
    <n v="0"/>
    <n v="1"/>
    <n v="-0.34913609559649017"/>
    <x v="1258"/>
  </r>
  <r>
    <n v="6616"/>
    <n v="178"/>
    <n v="3"/>
    <n v="85"/>
    <n v="71"/>
    <n v="66"/>
    <n v="58"/>
    <s v="Together"/>
    <n v="59481"/>
    <n v="0"/>
    <n v="1"/>
    <n v="0"/>
    <n v="1"/>
    <n v="0.34349148126355489"/>
    <x v="1259"/>
  </r>
  <r>
    <n v="6619"/>
    <n v="22"/>
    <n v="1"/>
    <n v="13"/>
    <n v="4"/>
    <n v="0"/>
    <n v="4"/>
    <s v="Together"/>
    <n v="38415"/>
    <n v="1"/>
    <n v="1"/>
    <n v="0"/>
    <n v="1"/>
    <n v="-0.6311840387186568"/>
    <x v="1260"/>
  </r>
  <r>
    <n v="6634"/>
    <n v="22"/>
    <n v="3"/>
    <n v="18"/>
    <n v="0"/>
    <n v="0"/>
    <n v="11"/>
    <s v="Single"/>
    <n v="33462"/>
    <n v="1"/>
    <n v="0"/>
    <n v="1"/>
    <n v="0"/>
    <n v="-0.86034799250541727"/>
    <x v="1261"/>
  </r>
  <r>
    <n v="6637"/>
    <n v="277"/>
    <n v="162"/>
    <n v="305"/>
    <n v="173"/>
    <n v="76"/>
    <n v="124"/>
    <s v="Single"/>
    <n v="66951"/>
    <n v="0"/>
    <n v="0"/>
    <n v="1"/>
    <n v="0"/>
    <n v="0.68911125408550122"/>
    <x v="1262"/>
  </r>
  <r>
    <n v="6642"/>
    <n v="30"/>
    <n v="5"/>
    <n v="22"/>
    <n v="8"/>
    <n v="9"/>
    <n v="28"/>
    <s v="Single"/>
    <n v="27215"/>
    <n v="2"/>
    <n v="1"/>
    <n v="1"/>
    <n v="0"/>
    <n v="-1.149382359415551"/>
    <x v="1263"/>
  </r>
  <r>
    <n v="6646"/>
    <n v="3"/>
    <n v="0"/>
    <n v="5"/>
    <n v="13"/>
    <n v="0"/>
    <n v="1"/>
    <s v="Together"/>
    <n v="16529"/>
    <n v="1"/>
    <n v="0"/>
    <n v="0"/>
    <n v="1"/>
    <n v="-1.643799078609034"/>
    <x v="1264"/>
  </r>
  <r>
    <n v="6652"/>
    <n v="227"/>
    <n v="151"/>
    <n v="573"/>
    <n v="98"/>
    <n v="54"/>
    <n v="31"/>
    <s v="Together"/>
    <n v="77343"/>
    <n v="0"/>
    <n v="0"/>
    <n v="0"/>
    <n v="1"/>
    <n v="1.1699252673606908"/>
    <x v="1265"/>
  </r>
  <r>
    <n v="6653"/>
    <n v="293"/>
    <n v="0"/>
    <n v="87"/>
    <n v="4"/>
    <n v="11"/>
    <n v="23"/>
    <s v="Together"/>
    <n v="55158"/>
    <n v="1"/>
    <n v="1"/>
    <n v="0"/>
    <n v="1"/>
    <n v="0.14347618301599477"/>
    <x v="1266"/>
  </r>
  <r>
    <n v="6658"/>
    <n v="771"/>
    <n v="51"/>
    <n v="154"/>
    <n v="54"/>
    <n v="10"/>
    <n v="154"/>
    <s v="Together"/>
    <n v="59868"/>
    <n v="0"/>
    <n v="1"/>
    <n v="0"/>
    <n v="1"/>
    <n v="0.36139708395192077"/>
    <x v="1267"/>
  </r>
  <r>
    <n v="6663"/>
    <n v="144"/>
    <n v="0"/>
    <n v="7"/>
    <n v="0"/>
    <n v="0"/>
    <n v="6"/>
    <s v="Single"/>
    <n v="51141"/>
    <n v="0"/>
    <n v="0"/>
    <n v="1"/>
    <n v="0"/>
    <n v="-4.23811968268109E-2"/>
    <x v="1268"/>
  </r>
  <r>
    <n v="6673"/>
    <n v="28"/>
    <n v="6"/>
    <n v="27"/>
    <n v="12"/>
    <n v="17"/>
    <n v="39"/>
    <s v="Single"/>
    <n v="23478"/>
    <n v="0"/>
    <n v="0"/>
    <n v="1"/>
    <n v="0"/>
    <n v="-1.3222847812409342"/>
    <x v="1269"/>
  </r>
  <r>
    <n v="6678"/>
    <n v="33"/>
    <n v="4"/>
    <n v="24"/>
    <n v="4"/>
    <n v="2"/>
    <n v="5"/>
    <s v="Together"/>
    <n v="31928"/>
    <n v="1"/>
    <n v="0"/>
    <n v="0"/>
    <n v="1"/>
    <n v="-0.93132265535800973"/>
    <x v="1270"/>
  </r>
  <r>
    <n v="6679"/>
    <n v="10"/>
    <n v="3"/>
    <n v="3"/>
    <n v="0"/>
    <n v="0"/>
    <n v="0"/>
    <s v="Single"/>
    <n v="33279"/>
    <n v="0"/>
    <n v="0"/>
    <n v="1"/>
    <n v="0"/>
    <n v="-0.86881498292394688"/>
    <x v="1271"/>
  </r>
  <r>
    <n v="6682"/>
    <n v="2"/>
    <n v="8"/>
    <n v="1"/>
    <n v="4"/>
    <n v="7"/>
    <n v="15"/>
    <s v="Together"/>
    <n v="18978"/>
    <n v="1"/>
    <n v="0"/>
    <n v="0"/>
    <n v="1"/>
    <n v="-1.5304894636637936"/>
    <x v="1272"/>
  </r>
  <r>
    <n v="6690"/>
    <n v="38"/>
    <n v="4"/>
    <n v="22"/>
    <n v="4"/>
    <n v="2"/>
    <n v="20"/>
    <s v="Together"/>
    <n v="38179"/>
    <n v="1"/>
    <n v="1"/>
    <n v="0"/>
    <n v="1"/>
    <n v="-0.64210321761905564"/>
    <x v="1273"/>
  </r>
  <r>
    <n v="6694"/>
    <n v="438"/>
    <n v="66"/>
    <n v="400"/>
    <n v="12"/>
    <n v="38"/>
    <n v="114"/>
    <s v="Together"/>
    <n v="75236"/>
    <n v="0"/>
    <n v="1"/>
    <n v="0"/>
    <n v="1"/>
    <n v="1.0724392082795877"/>
    <x v="1274"/>
  </r>
  <r>
    <n v="6710"/>
    <n v="68"/>
    <n v="1"/>
    <n v="13"/>
    <n v="3"/>
    <n v="5"/>
    <n v="13"/>
    <s v="Single"/>
    <n v="58217"/>
    <n v="2"/>
    <n v="1"/>
    <n v="1"/>
    <n v="0"/>
    <n v="0.28500909935633401"/>
    <x v="1275"/>
  </r>
  <r>
    <n v="6715"/>
    <n v="502"/>
    <n v="19"/>
    <n v="132"/>
    <n v="0"/>
    <n v="6"/>
    <n v="26"/>
    <s v="Single"/>
    <n v="60200"/>
    <n v="0"/>
    <n v="1"/>
    <n v="1"/>
    <n v="0"/>
    <n v="0.3767579627440073"/>
    <x v="1276"/>
  </r>
  <r>
    <n v="6720"/>
    <n v="314"/>
    <n v="11"/>
    <n v="53"/>
    <n v="4"/>
    <n v="3"/>
    <n v="107"/>
    <s v="Together"/>
    <n v="43795"/>
    <n v="0"/>
    <n v="1"/>
    <n v="0"/>
    <n v="1"/>
    <n v="-0.38226377395532735"/>
    <x v="1277"/>
  </r>
  <r>
    <n v="6721"/>
    <n v="572"/>
    <n v="19"/>
    <n v="286"/>
    <n v="50"/>
    <n v="38"/>
    <n v="248"/>
    <s v="Together"/>
    <n v="71965"/>
    <n v="0"/>
    <n v="1"/>
    <n v="0"/>
    <n v="1"/>
    <n v="0.92109753801177152"/>
    <x v="1278"/>
  </r>
  <r>
    <n v="6722"/>
    <n v="479"/>
    <n v="28"/>
    <n v="136"/>
    <n v="75"/>
    <n v="14"/>
    <n v="35"/>
    <s v="Together"/>
    <n v="70421"/>
    <n v="0"/>
    <n v="1"/>
    <n v="0"/>
    <n v="1"/>
    <n v="0.84966019808712823"/>
    <x v="1279"/>
  </r>
  <r>
    <n v="6728"/>
    <n v="16"/>
    <n v="0"/>
    <n v="17"/>
    <n v="6"/>
    <n v="3"/>
    <n v="6"/>
    <s v="Together"/>
    <n v="29103"/>
    <n v="1"/>
    <n v="0"/>
    <n v="0"/>
    <n v="1"/>
    <n v="-1.0620289282123603"/>
    <x v="1280"/>
  </r>
  <r>
    <n v="6729"/>
    <n v="456"/>
    <n v="19"/>
    <n v="832"/>
    <n v="75"/>
    <n v="118"/>
    <n v="38"/>
    <s v="Single"/>
    <n v="68655"/>
    <n v="0"/>
    <n v="0"/>
    <n v="1"/>
    <n v="0"/>
    <n v="0.76795142716295728"/>
    <x v="1281"/>
  </r>
  <r>
    <n v="6730"/>
    <n v="34"/>
    <n v="1"/>
    <n v="14"/>
    <n v="0"/>
    <n v="0"/>
    <n v="5"/>
    <s v="Together"/>
    <n v="38998"/>
    <n v="1"/>
    <n v="1"/>
    <n v="0"/>
    <n v="1"/>
    <n v="-0.60420996541809535"/>
    <x v="1282"/>
  </r>
  <r>
    <n v="6742"/>
    <n v="2"/>
    <n v="2"/>
    <n v="1"/>
    <n v="3"/>
    <n v="1"/>
    <n v="2"/>
    <s v="Together"/>
    <n v="17688"/>
    <n v="1"/>
    <n v="0"/>
    <n v="0"/>
    <n v="1"/>
    <n v="-1.5901748059583465"/>
    <x v="1283"/>
  </r>
  <r>
    <n v="6749"/>
    <n v="957"/>
    <n v="47"/>
    <n v="494"/>
    <n v="82"/>
    <n v="47"/>
    <n v="95"/>
    <s v="Single"/>
    <n v="86358"/>
    <n v="1"/>
    <n v="1"/>
    <n v="1"/>
    <n v="0"/>
    <n v="1.5870286478144855"/>
    <x v="1284"/>
  </r>
  <r>
    <n v="6768"/>
    <n v="22"/>
    <n v="1"/>
    <n v="8"/>
    <n v="2"/>
    <n v="1"/>
    <n v="2"/>
    <s v="Single"/>
    <n v="37859"/>
    <n v="1"/>
    <n v="2"/>
    <n v="1"/>
    <n v="0"/>
    <n v="-0.65690888392468127"/>
    <x v="1285"/>
  </r>
  <r>
    <n v="6770"/>
    <n v="5"/>
    <n v="13"/>
    <n v="14"/>
    <n v="0"/>
    <n v="5"/>
    <n v="31"/>
    <s v="Together"/>
    <n v="21355"/>
    <n v="1"/>
    <n v="0"/>
    <n v="0"/>
    <n v="1"/>
    <n v="-1.4205111236373187"/>
    <x v="1286"/>
  </r>
  <r>
    <n v="6810"/>
    <n v="267"/>
    <n v="98"/>
    <n v="606"/>
    <n v="48"/>
    <n v="70"/>
    <n v="98"/>
    <s v="Single"/>
    <n v="82025"/>
    <n v="0"/>
    <n v="0"/>
    <n v="1"/>
    <n v="0"/>
    <n v="1.3865506724948746"/>
    <x v="1287"/>
  </r>
  <r>
    <n v="6815"/>
    <n v="448"/>
    <n v="21"/>
    <n v="125"/>
    <n v="52"/>
    <n v="101"/>
    <n v="62"/>
    <s v="Together"/>
    <n v="96547"/>
    <n v="0"/>
    <n v="0"/>
    <n v="0"/>
    <n v="1"/>
    <n v="2.0584503165270438"/>
    <x v="1288"/>
  </r>
  <r>
    <n v="6818"/>
    <n v="98"/>
    <n v="0"/>
    <n v="106"/>
    <n v="49"/>
    <n v="10"/>
    <n v="106"/>
    <s v="Together"/>
    <n v="44989"/>
    <n v="0"/>
    <n v="1"/>
    <n v="0"/>
    <n v="1"/>
    <n v="-0.32702013155246201"/>
    <x v="1289"/>
  </r>
  <r>
    <n v="6825"/>
    <n v="13"/>
    <n v="0"/>
    <n v="3"/>
    <n v="0"/>
    <n v="0"/>
    <n v="0"/>
    <s v="Together"/>
    <n v="41452"/>
    <n v="1"/>
    <n v="1"/>
    <n v="0"/>
    <n v="1"/>
    <n v="-0.49066901193682938"/>
    <x v="1290"/>
  </r>
  <r>
    <n v="6853"/>
    <n v="712"/>
    <n v="26"/>
    <n v="538"/>
    <n v="69"/>
    <n v="13"/>
    <n v="80"/>
    <s v="Single"/>
    <n v="75777"/>
    <n v="0"/>
    <n v="0"/>
    <n v="1"/>
    <n v="0"/>
    <n v="1.0974700378775357"/>
    <x v="1291"/>
  </r>
  <r>
    <n v="6856"/>
    <n v="14"/>
    <n v="0"/>
    <n v="23"/>
    <n v="4"/>
    <n v="5"/>
    <n v="19"/>
    <s v="Together"/>
    <n v="21645"/>
    <n v="1"/>
    <n v="0"/>
    <n v="0"/>
    <n v="1"/>
    <n v="-1.4070934885478457"/>
    <x v="1292"/>
  </r>
  <r>
    <n v="6859"/>
    <n v="37"/>
    <n v="4"/>
    <n v="24"/>
    <n v="16"/>
    <n v="9"/>
    <n v="9"/>
    <s v="Single"/>
    <n v="29236"/>
    <n v="1"/>
    <n v="0"/>
    <n v="1"/>
    <n v="0"/>
    <n v="-1.0558753231540847"/>
    <x v="1293"/>
  </r>
  <r>
    <n v="6862"/>
    <n v="1"/>
    <n v="1"/>
    <n v="3"/>
    <n v="1"/>
    <n v="1"/>
    <n v="1"/>
    <s v="Single"/>
    <n v="1730"/>
    <n v="0"/>
    <n v="0"/>
    <n v="1"/>
    <n v="0"/>
    <n v="-2.3285148775370104"/>
    <x v="1294"/>
  </r>
  <r>
    <n v="6864"/>
    <n v="8"/>
    <n v="4"/>
    <n v="10"/>
    <n v="2"/>
    <n v="2"/>
    <n v="4"/>
    <s v="Single"/>
    <n v="10979"/>
    <n v="0"/>
    <n v="0"/>
    <n v="1"/>
    <n v="0"/>
    <n v="-1.9005848535972272"/>
    <x v="1295"/>
  </r>
  <r>
    <n v="6866"/>
    <n v="8"/>
    <n v="0"/>
    <n v="14"/>
    <n v="2"/>
    <n v="3"/>
    <n v="7"/>
    <s v="Together"/>
    <n v="35924"/>
    <n v="1"/>
    <n v="1"/>
    <n v="0"/>
    <n v="1"/>
    <n v="-0.74643689736651064"/>
    <x v="1296"/>
  </r>
  <r>
    <n v="6870"/>
    <n v="182"/>
    <n v="2"/>
    <n v="49"/>
    <n v="17"/>
    <n v="13"/>
    <n v="20"/>
    <s v="Single"/>
    <n v="68805"/>
    <n v="0"/>
    <n v="1"/>
    <n v="1"/>
    <n v="0"/>
    <n v="0.77489158324371921"/>
    <x v="1297"/>
  </r>
  <r>
    <n v="6872"/>
    <n v="284"/>
    <n v="3"/>
    <n v="84"/>
    <n v="4"/>
    <n v="7"/>
    <n v="23"/>
    <s v="Together"/>
    <n v="65352"/>
    <n v="0"/>
    <n v="1"/>
    <n v="0"/>
    <n v="1"/>
    <n v="0.61512919026457857"/>
    <x v="1298"/>
  </r>
  <r>
    <n v="6875"/>
    <n v="167"/>
    <n v="13"/>
    <n v="180"/>
    <n v="86"/>
    <n v="13"/>
    <n v="70"/>
    <s v="Together"/>
    <n v="32727"/>
    <n v="0"/>
    <n v="0"/>
    <n v="0"/>
    <n v="1"/>
    <n v="-0.89435475730115088"/>
    <x v="1299"/>
  </r>
  <r>
    <n v="6878"/>
    <n v="43"/>
    <n v="12"/>
    <n v="96"/>
    <n v="78"/>
    <n v="40"/>
    <n v="55"/>
    <s v="Single"/>
    <n v="27421"/>
    <n v="0"/>
    <n v="0"/>
    <n v="1"/>
    <n v="0"/>
    <n v="-1.1398512117313044"/>
    <x v="1300"/>
  </r>
  <r>
    <n v="6885"/>
    <n v="38"/>
    <n v="0"/>
    <n v="12"/>
    <n v="3"/>
    <n v="1"/>
    <n v="1"/>
    <s v="Single"/>
    <n v="32952"/>
    <n v="1"/>
    <n v="0"/>
    <n v="1"/>
    <n v="0"/>
    <n v="-0.88394452318000794"/>
    <x v="1301"/>
  </r>
  <r>
    <n v="6887"/>
    <n v="245"/>
    <n v="16"/>
    <n v="223"/>
    <n v="21"/>
    <n v="43"/>
    <n v="16"/>
    <s v="Single"/>
    <n v="79146"/>
    <n v="1"/>
    <n v="1"/>
    <n v="1"/>
    <n v="0"/>
    <n v="1.2533459434514498"/>
    <x v="1302"/>
  </r>
  <r>
    <n v="6892"/>
    <n v="641"/>
    <n v="7"/>
    <n v="56"/>
    <n v="0"/>
    <n v="0"/>
    <n v="28"/>
    <s v="Single"/>
    <n v="61671"/>
    <n v="0"/>
    <n v="1"/>
    <n v="1"/>
    <n v="0"/>
    <n v="0.4448177600426797"/>
    <x v="1303"/>
  </r>
  <r>
    <n v="6905"/>
    <n v="241"/>
    <n v="45"/>
    <n v="604"/>
    <n v="34"/>
    <n v="26"/>
    <n v="54"/>
    <s v="Together"/>
    <n v="80685"/>
    <n v="0"/>
    <n v="0"/>
    <n v="0"/>
    <n v="1"/>
    <n v="1.3245519448400676"/>
    <x v="1304"/>
  </r>
  <r>
    <n v="6906"/>
    <n v="167"/>
    <n v="48"/>
    <n v="602"/>
    <n v="63"/>
    <n v="72"/>
    <n v="72"/>
    <s v="Single"/>
    <n v="84953"/>
    <n v="0"/>
    <n v="0"/>
    <n v="1"/>
    <n v="0"/>
    <n v="1.5220225191913483"/>
    <x v="1305"/>
  </r>
  <r>
    <n v="6912"/>
    <n v="593"/>
    <n v="30"/>
    <n v="91"/>
    <n v="29"/>
    <n v="22"/>
    <n v="7"/>
    <s v="Together"/>
    <n v="63246"/>
    <n v="0"/>
    <n v="2"/>
    <n v="0"/>
    <n v="1"/>
    <n v="0.51768939889068044"/>
    <x v="1306"/>
  </r>
  <r>
    <n v="6919"/>
    <n v="4"/>
    <n v="7"/>
    <n v="15"/>
    <n v="13"/>
    <n v="9"/>
    <n v="15"/>
    <s v="Together"/>
    <n v="26224"/>
    <n v="1"/>
    <n v="0"/>
    <n v="0"/>
    <n v="1"/>
    <n v="-1.1952336572557851"/>
    <x v="1307"/>
  </r>
  <r>
    <n v="6927"/>
    <n v="224"/>
    <n v="0"/>
    <n v="30"/>
    <n v="0"/>
    <n v="0"/>
    <n v="10"/>
    <s v="Together"/>
    <n v="44377"/>
    <n v="1"/>
    <n v="1"/>
    <n v="0"/>
    <n v="1"/>
    <n v="-0.3553359683619709"/>
    <x v="1308"/>
  </r>
  <r>
    <n v="6931"/>
    <n v="464"/>
    <n v="151"/>
    <n v="292"/>
    <n v="65"/>
    <n v="60"/>
    <n v="30"/>
    <s v="Single"/>
    <n v="76982"/>
    <n v="0"/>
    <n v="0"/>
    <n v="1"/>
    <n v="0"/>
    <n v="1.1532226250596571"/>
    <x v="1309"/>
  </r>
  <r>
    <n v="6932"/>
    <n v="1285"/>
    <n v="42"/>
    <n v="716"/>
    <n v="55"/>
    <n v="0"/>
    <n v="21"/>
    <s v="Together"/>
    <n v="93027"/>
    <n v="0"/>
    <n v="0"/>
    <n v="0"/>
    <n v="1"/>
    <n v="1.8955879871651629"/>
    <x v="1310"/>
  </r>
  <r>
    <n v="6940"/>
    <n v="100"/>
    <n v="1"/>
    <n v="39"/>
    <n v="6"/>
    <n v="1"/>
    <n v="76"/>
    <s v="Single"/>
    <n v="46734"/>
    <n v="1"/>
    <n v="2"/>
    <n v="1"/>
    <n v="0"/>
    <n v="-0.24628298247959771"/>
    <x v="1311"/>
  </r>
  <r>
    <n v="6941"/>
    <n v="17"/>
    <n v="8"/>
    <n v="12"/>
    <n v="11"/>
    <n v="15"/>
    <n v="32"/>
    <s v="Single"/>
    <n v="31632"/>
    <n v="0"/>
    <n v="0"/>
    <n v="1"/>
    <n v="0"/>
    <n v="-0.94501789669071334"/>
    <x v="1312"/>
  </r>
  <r>
    <n v="6945"/>
    <n v="387"/>
    <n v="20"/>
    <n v="713"/>
    <n v="38"/>
    <n v="54"/>
    <n v="163"/>
    <s v="Single"/>
    <n v="84574"/>
    <n v="0"/>
    <n v="0"/>
    <n v="1"/>
    <n v="0"/>
    <n v="1.5044870581606231"/>
    <x v="1313"/>
  </r>
  <r>
    <n v="6950"/>
    <n v="35"/>
    <n v="1"/>
    <n v="16"/>
    <n v="0"/>
    <n v="1"/>
    <n v="1"/>
    <s v="Together"/>
    <n v="49572"/>
    <n v="1"/>
    <n v="1"/>
    <n v="0"/>
    <n v="1"/>
    <n v="-0.11497522943158116"/>
    <x v="1314"/>
  </r>
  <r>
    <n v="6958"/>
    <n v="14"/>
    <n v="0"/>
    <n v="4"/>
    <n v="0"/>
    <n v="0"/>
    <n v="8"/>
    <s v="Together"/>
    <n v="27889"/>
    <n v="1"/>
    <n v="0"/>
    <n v="0"/>
    <n v="1"/>
    <n v="-1.1181979247593272"/>
    <x v="1315"/>
  </r>
  <r>
    <n v="6961"/>
    <n v="1"/>
    <n v="1"/>
    <n v="5"/>
    <n v="0"/>
    <n v="3"/>
    <n v="1"/>
    <s v="Together"/>
    <n v="26751"/>
    <n v="2"/>
    <n v="0"/>
    <n v="0"/>
    <n v="1"/>
    <n v="-1.170850575558708"/>
    <x v="1316"/>
  </r>
  <r>
    <n v="6963"/>
    <n v="675"/>
    <n v="11"/>
    <n v="400"/>
    <n v="15"/>
    <n v="45"/>
    <n v="11"/>
    <s v="Single"/>
    <n v="77457"/>
    <n v="0"/>
    <n v="0"/>
    <n v="1"/>
    <n v="0"/>
    <n v="1.17519978598207"/>
    <x v="1317"/>
  </r>
  <r>
    <n v="6969"/>
    <n v="99"/>
    <n v="13"/>
    <n v="66"/>
    <n v="43"/>
    <n v="8"/>
    <n v="4"/>
    <s v="Together"/>
    <n v="50272"/>
    <n v="1"/>
    <n v="0"/>
    <n v="0"/>
    <n v="1"/>
    <n v="-8.2587834388025277E-2"/>
    <x v="1318"/>
  </r>
  <r>
    <n v="6974"/>
    <n v="518"/>
    <n v="42"/>
    <n v="742"/>
    <n v="55"/>
    <n v="56"/>
    <n v="84"/>
    <s v="Together"/>
    <n v="83443"/>
    <n v="0"/>
    <n v="0"/>
    <n v="0"/>
    <n v="1"/>
    <n v="1.4521582813116778"/>
    <x v="1319"/>
  </r>
  <r>
    <n v="6977"/>
    <n v="1073"/>
    <n v="0"/>
    <n v="629"/>
    <n v="145"/>
    <n v="37"/>
    <n v="37"/>
    <s v="Together"/>
    <n v="75702"/>
    <n v="0"/>
    <n v="1"/>
    <n v="0"/>
    <n v="1"/>
    <n v="1.0939999598371548"/>
    <x v="1320"/>
  </r>
  <r>
    <n v="6982"/>
    <n v="783"/>
    <n v="30"/>
    <n v="537"/>
    <n v="140"/>
    <n v="76"/>
    <n v="15"/>
    <s v="Together"/>
    <n v="74068"/>
    <n v="0"/>
    <n v="0"/>
    <n v="0"/>
    <n v="1"/>
    <n v="1.0183985262640545"/>
    <x v="1321"/>
  </r>
  <r>
    <n v="6983"/>
    <n v="23"/>
    <n v="2"/>
    <n v="17"/>
    <n v="2"/>
    <n v="1"/>
    <n v="0"/>
    <s v="Single"/>
    <n v="38054"/>
    <n v="1"/>
    <n v="1"/>
    <n v="1"/>
    <n v="0"/>
    <n v="-0.6478866810196906"/>
    <x v="1322"/>
  </r>
  <r>
    <n v="6991"/>
    <n v="537"/>
    <n v="6"/>
    <n v="42"/>
    <n v="16"/>
    <n v="6"/>
    <n v="30"/>
    <s v="Single"/>
    <n v="43185"/>
    <n v="0"/>
    <n v="1"/>
    <n v="1"/>
    <n v="0"/>
    <n v="-0.41048707535042606"/>
    <x v="1323"/>
  </r>
  <r>
    <n v="6999"/>
    <n v="656"/>
    <n v="16"/>
    <n v="106"/>
    <n v="32"/>
    <n v="16"/>
    <n v="8"/>
    <s v="Together"/>
    <n v="69661"/>
    <n v="0"/>
    <n v="0"/>
    <n v="0"/>
    <n v="1"/>
    <n v="0.81449674061126753"/>
    <x v="1324"/>
  </r>
  <r>
    <n v="7000"/>
    <n v="279"/>
    <n v="172"/>
    <n v="74"/>
    <n v="38"/>
    <n v="8"/>
    <n v="246"/>
    <s v="Single"/>
    <n v="65704"/>
    <n v="0"/>
    <n v="0"/>
    <n v="1"/>
    <n v="0"/>
    <n v="0.63141542320076671"/>
    <x v="1325"/>
  </r>
  <r>
    <n v="7002"/>
    <n v="163"/>
    <n v="48"/>
    <n v="90"/>
    <n v="0"/>
    <n v="45"/>
    <n v="52"/>
    <s v="Single"/>
    <n v="62535"/>
    <n v="0"/>
    <n v="1"/>
    <n v="1"/>
    <n v="0"/>
    <n v="0.48479305906786868"/>
    <x v="1326"/>
  </r>
  <r>
    <n v="7004"/>
    <n v="24"/>
    <n v="3"/>
    <n v="26"/>
    <n v="7"/>
    <n v="1"/>
    <n v="23"/>
    <s v="Single"/>
    <n v="11012"/>
    <n v="1"/>
    <n v="0"/>
    <n v="1"/>
    <n v="0"/>
    <n v="-1.8990580192594595"/>
    <x v="1327"/>
  </r>
  <r>
    <n v="7005"/>
    <n v="479"/>
    <n v="35"/>
    <n v="179"/>
    <n v="28"/>
    <n v="7"/>
    <n v="85"/>
    <s v="Single"/>
    <n v="58684"/>
    <n v="0"/>
    <n v="0"/>
    <n v="1"/>
    <n v="0"/>
    <n v="0.30661611862110627"/>
    <x v="1328"/>
  </r>
  <r>
    <n v="7007"/>
    <n v="17"/>
    <n v="3"/>
    <n v="18"/>
    <n v="3"/>
    <n v="4"/>
    <n v="18"/>
    <s v="Together"/>
    <n v="29543"/>
    <n v="2"/>
    <n v="0"/>
    <n v="0"/>
    <n v="1"/>
    <n v="-1.041671137042125"/>
    <x v="1329"/>
  </r>
  <r>
    <n v="7011"/>
    <n v="43"/>
    <n v="2"/>
    <n v="27"/>
    <n v="0"/>
    <n v="9"/>
    <n v="12"/>
    <s v="Together"/>
    <n v="33471"/>
    <n v="1"/>
    <n v="0"/>
    <n v="0"/>
    <n v="1"/>
    <n v="-0.8599315831405715"/>
    <x v="1330"/>
  </r>
  <r>
    <n v="7019"/>
    <n v="109"/>
    <n v="18"/>
    <n v="16"/>
    <n v="24"/>
    <n v="26"/>
    <n v="18"/>
    <s v="Together"/>
    <n v="54414"/>
    <n v="1"/>
    <n v="1"/>
    <n v="0"/>
    <n v="1"/>
    <n v="0.10905300885541538"/>
    <x v="1331"/>
  </r>
  <r>
    <n v="7022"/>
    <n v="739"/>
    <n v="107"/>
    <n v="309"/>
    <n v="140"/>
    <n v="80"/>
    <n v="35"/>
    <s v="Together"/>
    <n v="76445"/>
    <n v="1"/>
    <n v="0"/>
    <n v="0"/>
    <n v="1"/>
    <n v="1.1283768662905291"/>
    <x v="1332"/>
  </r>
  <r>
    <n v="7023"/>
    <n v="189"/>
    <n v="2"/>
    <n v="55"/>
    <n v="0"/>
    <n v="5"/>
    <n v="12"/>
    <s v="Single"/>
    <n v="46231"/>
    <n v="2"/>
    <n v="1"/>
    <n v="1"/>
    <n v="0"/>
    <n v="-0.26955563920375286"/>
    <x v="1333"/>
  </r>
  <r>
    <n v="7030"/>
    <n v="1200"/>
    <n v="0"/>
    <n v="204"/>
    <n v="38"/>
    <n v="29"/>
    <n v="14"/>
    <s v="Together"/>
    <n v="66465"/>
    <n v="0"/>
    <n v="1"/>
    <n v="0"/>
    <n v="1"/>
    <n v="0.66662514838383247"/>
    <x v="1334"/>
  </r>
  <r>
    <n v="7034"/>
    <n v="8"/>
    <n v="7"/>
    <n v="9"/>
    <n v="13"/>
    <n v="6"/>
    <n v="12"/>
    <s v="Together"/>
    <n v="25804"/>
    <n v="1"/>
    <n v="0"/>
    <n v="0"/>
    <n v="1"/>
    <n v="-1.2146660942819185"/>
    <x v="1335"/>
  </r>
  <r>
    <n v="7037"/>
    <n v="194"/>
    <n v="55"/>
    <n v="134"/>
    <n v="15"/>
    <n v="0"/>
    <n v="3"/>
    <s v="Together"/>
    <n v="37087"/>
    <n v="1"/>
    <n v="0"/>
    <n v="0"/>
    <n v="1"/>
    <n v="-0.69262755388700281"/>
    <x v="1336"/>
  </r>
  <r>
    <n v="7042"/>
    <n v="3"/>
    <n v="3"/>
    <n v="14"/>
    <n v="15"/>
    <n v="21"/>
    <n v="10"/>
    <s v="Together"/>
    <n v="36790"/>
    <n v="0"/>
    <n v="0"/>
    <n v="0"/>
    <n v="1"/>
    <n v="-0.7063690629269116"/>
    <x v="1337"/>
  </r>
  <r>
    <n v="7053"/>
    <n v="604"/>
    <n v="28"/>
    <n v="674"/>
    <n v="91"/>
    <n v="28"/>
    <n v="28"/>
    <s v="Single"/>
    <n v="78420"/>
    <n v="0"/>
    <n v="0"/>
    <n v="1"/>
    <n v="0"/>
    <n v="1.2197555880205617"/>
    <x v="1338"/>
  </r>
  <r>
    <n v="7055"/>
    <n v="888"/>
    <n v="0"/>
    <n v="57"/>
    <n v="0"/>
    <n v="0"/>
    <n v="76"/>
    <s v="Together"/>
    <n v="61010"/>
    <n v="0"/>
    <n v="1"/>
    <n v="0"/>
    <n v="1"/>
    <n v="0.41423480558012193"/>
    <x v="1339"/>
  </r>
  <r>
    <n v="7072"/>
    <n v="432"/>
    <n v="79"/>
    <n v="341"/>
    <n v="177"/>
    <n v="136"/>
    <n v="170"/>
    <s v="Together"/>
    <n v="67432"/>
    <n v="0"/>
    <n v="1"/>
    <n v="0"/>
    <n v="1"/>
    <n v="0.71136602125114468"/>
    <x v="1340"/>
  </r>
  <r>
    <n v="7079"/>
    <n v="897"/>
    <n v="23"/>
    <n v="207"/>
    <n v="15"/>
    <n v="11"/>
    <n v="92"/>
    <s v="Single"/>
    <n v="63887"/>
    <n v="0"/>
    <n v="1"/>
    <n v="1"/>
    <n v="0"/>
    <n v="0.54734699920913665"/>
    <x v="1341"/>
  </r>
  <r>
    <n v="7093"/>
    <n v="3"/>
    <n v="6"/>
    <n v="5"/>
    <n v="0"/>
    <n v="2"/>
    <n v="6"/>
    <s v="Together"/>
    <n v="19986"/>
    <n v="1"/>
    <n v="0"/>
    <n v="0"/>
    <n v="1"/>
    <n v="-1.483851614801073"/>
    <x v="1342"/>
  </r>
  <r>
    <n v="7101"/>
    <n v="953"/>
    <n v="0"/>
    <n v="71"/>
    <n v="0"/>
    <n v="0"/>
    <n v="174"/>
    <s v="Single"/>
    <n v="52278"/>
    <n v="0"/>
    <n v="1"/>
    <n v="1"/>
    <n v="0"/>
    <n v="1.0225186265364866E-2"/>
    <x v="1343"/>
  </r>
  <r>
    <n v="7106"/>
    <n v="483"/>
    <n v="0"/>
    <n v="591"/>
    <n v="156"/>
    <n v="0"/>
    <n v="12"/>
    <s v="Together"/>
    <n v="75865"/>
    <n v="0"/>
    <n v="0"/>
    <n v="0"/>
    <n v="1"/>
    <n v="1.1015415961115829"/>
    <x v="1344"/>
  </r>
  <r>
    <n v="7108"/>
    <n v="205"/>
    <n v="20"/>
    <n v="47"/>
    <n v="23"/>
    <n v="2"/>
    <n v="56"/>
    <s v="Single"/>
    <n v="51390"/>
    <n v="1"/>
    <n v="1"/>
    <n v="1"/>
    <n v="0"/>
    <n v="-3.0860537732746024E-2"/>
    <x v="1345"/>
  </r>
  <r>
    <n v="7118"/>
    <n v="833"/>
    <n v="80"/>
    <n v="363"/>
    <n v="52"/>
    <n v="26"/>
    <n v="174"/>
    <s v="Together"/>
    <n v="73803"/>
    <n v="0"/>
    <n v="1"/>
    <n v="0"/>
    <n v="1"/>
    <n v="1.0061375838547082"/>
    <x v="1346"/>
  </r>
  <r>
    <n v="7119"/>
    <n v="395"/>
    <n v="15"/>
    <n v="263"/>
    <n v="60"/>
    <n v="54"/>
    <n v="38"/>
    <s v="Single"/>
    <n v="68627"/>
    <n v="0"/>
    <n v="0"/>
    <n v="1"/>
    <n v="0"/>
    <n v="0.76665593136121502"/>
    <x v="1347"/>
  </r>
  <r>
    <n v="7124"/>
    <n v="43"/>
    <n v="4"/>
    <n v="12"/>
    <n v="8"/>
    <n v="0"/>
    <n v="27"/>
    <s v="Single"/>
    <n v="36997"/>
    <n v="1"/>
    <n v="1"/>
    <n v="1"/>
    <n v="0"/>
    <n v="-0.69679164753546008"/>
    <x v="1348"/>
  </r>
  <r>
    <n v="7128"/>
    <n v="4"/>
    <n v="0"/>
    <n v="5"/>
    <n v="0"/>
    <n v="1"/>
    <n v="5"/>
    <s v="Single"/>
    <n v="42997"/>
    <n v="1"/>
    <n v="1"/>
    <n v="1"/>
    <n v="0"/>
    <n v="-0.41918540430498102"/>
    <x v="1349"/>
  </r>
  <r>
    <n v="7129"/>
    <n v="686"/>
    <n v="17"/>
    <n v="142"/>
    <n v="23"/>
    <n v="26"/>
    <n v="35"/>
    <s v="Together"/>
    <n v="54693"/>
    <n v="0"/>
    <n v="1"/>
    <n v="0"/>
    <n v="1"/>
    <n v="0.12196169916563265"/>
    <x v="1350"/>
  </r>
  <r>
    <n v="7141"/>
    <n v="88"/>
    <n v="10"/>
    <n v="46"/>
    <n v="2"/>
    <n v="3"/>
    <n v="64"/>
    <s v="Single"/>
    <n v="21888"/>
    <n v="1"/>
    <n v="0"/>
    <n v="1"/>
    <n v="0"/>
    <n v="-1.3958504356970112"/>
    <x v="1351"/>
  </r>
  <r>
    <n v="7143"/>
    <n v="209"/>
    <n v="162"/>
    <n v="209"/>
    <n v="41"/>
    <n v="162"/>
    <n v="37"/>
    <s v="Together"/>
    <n v="74805"/>
    <n v="0"/>
    <n v="1"/>
    <n v="0"/>
    <n v="1"/>
    <n v="1.0524978264741982"/>
    <x v="1352"/>
  </r>
  <r>
    <n v="7165"/>
    <n v="381"/>
    <n v="35"/>
    <n v="172"/>
    <n v="56"/>
    <n v="86"/>
    <n v="93"/>
    <s v="Together"/>
    <n v="64474"/>
    <n v="0"/>
    <n v="1"/>
    <n v="0"/>
    <n v="1"/>
    <n v="0.57450614333851846"/>
    <x v="1353"/>
  </r>
  <r>
    <n v="7181"/>
    <n v="35"/>
    <n v="0"/>
    <n v="13"/>
    <n v="2"/>
    <n v="0"/>
    <n v="2"/>
    <s v="Together"/>
    <n v="30368"/>
    <n v="0"/>
    <n v="1"/>
    <n v="0"/>
    <n v="1"/>
    <n v="-1.0035002785979343"/>
    <x v="1354"/>
  </r>
  <r>
    <n v="7186"/>
    <n v="24"/>
    <n v="0"/>
    <n v="2"/>
    <n v="0"/>
    <n v="0"/>
    <n v="9"/>
    <s v="Together"/>
    <n v="30843"/>
    <n v="1"/>
    <n v="1"/>
    <n v="0"/>
    <n v="1"/>
    <n v="-0.98152311767552136"/>
    <x v="1355"/>
  </r>
  <r>
    <n v="7192"/>
    <n v="172"/>
    <n v="73"/>
    <n v="93"/>
    <n v="95"/>
    <n v="78"/>
    <n v="34"/>
    <s v="Together"/>
    <n v="65748"/>
    <n v="0"/>
    <n v="1"/>
    <n v="0"/>
    <n v="1"/>
    <n v="0.63345120231779017"/>
    <x v="1356"/>
  </r>
  <r>
    <n v="7196"/>
    <n v="9"/>
    <n v="0"/>
    <n v="3"/>
    <n v="0"/>
    <n v="0"/>
    <n v="1"/>
    <s v="Together"/>
    <n v="41145"/>
    <n v="1"/>
    <n v="1"/>
    <n v="0"/>
    <n v="1"/>
    <n v="-0.50487319804878894"/>
    <x v="1357"/>
  </r>
  <r>
    <n v="7214"/>
    <n v="792"/>
    <n v="0"/>
    <n v="275"/>
    <n v="45"/>
    <n v="45"/>
    <n v="126"/>
    <s v="Together"/>
    <n v="62187"/>
    <n v="0"/>
    <n v="0"/>
    <n v="0"/>
    <n v="1"/>
    <n v="0.4686918969605009"/>
    <x v="1358"/>
  </r>
  <r>
    <n v="7215"/>
    <n v="722"/>
    <n v="27"/>
    <n v="102"/>
    <n v="44"/>
    <n v="72"/>
    <n v="168"/>
    <s v="Single"/>
    <n v="101970"/>
    <n v="0"/>
    <n v="0"/>
    <n v="1"/>
    <n v="0"/>
    <n v="2.3093600927001918"/>
    <x v="1359"/>
  </r>
  <r>
    <n v="7232"/>
    <n v="55"/>
    <n v="0"/>
    <n v="6"/>
    <n v="2"/>
    <n v="0"/>
    <n v="4"/>
    <s v="Single"/>
    <n v="42429"/>
    <n v="0"/>
    <n v="1"/>
    <n v="1"/>
    <n v="0"/>
    <n v="-0.44546546199746639"/>
    <x v="1360"/>
  </r>
  <r>
    <n v="7233"/>
    <n v="496"/>
    <n v="32"/>
    <n v="849"/>
    <n v="229"/>
    <n v="48"/>
    <n v="128"/>
    <s v="Together"/>
    <n v="69209"/>
    <n v="0"/>
    <n v="0"/>
    <n v="0"/>
    <n v="1"/>
    <n v="0.79358373695457152"/>
    <x v="1361"/>
  </r>
  <r>
    <n v="7235"/>
    <n v="2"/>
    <n v="5"/>
    <n v="12"/>
    <n v="4"/>
    <n v="8"/>
    <n v="7"/>
    <s v="Together"/>
    <n v="17003"/>
    <n v="1"/>
    <n v="0"/>
    <n v="0"/>
    <n v="1"/>
    <n v="-1.6218681853938262"/>
    <x v="1362"/>
  </r>
  <r>
    <n v="7247"/>
    <n v="505"/>
    <n v="0"/>
    <n v="26"/>
    <n v="0"/>
    <n v="0"/>
    <n v="75"/>
    <s v="Single"/>
    <n v="47916"/>
    <n v="0"/>
    <n v="1"/>
    <n v="1"/>
    <n v="0"/>
    <n v="-0.19159455256319335"/>
    <x v="1363"/>
  </r>
  <r>
    <n v="7250"/>
    <n v="344"/>
    <n v="35"/>
    <n v="178"/>
    <n v="15"/>
    <n v="23"/>
    <n v="17"/>
    <s v="Together"/>
    <n v="57867"/>
    <n v="1"/>
    <n v="0"/>
    <n v="0"/>
    <n v="1"/>
    <n v="0.26881540183455604"/>
    <x v="1364"/>
  </r>
  <r>
    <n v="7254"/>
    <n v="39"/>
    <n v="0"/>
    <n v="56"/>
    <n v="20"/>
    <n v="8"/>
    <n v="14"/>
    <s v="Together"/>
    <n v="38361"/>
    <n v="1"/>
    <n v="0"/>
    <n v="0"/>
    <n v="1"/>
    <n v="-0.6336824949077311"/>
    <x v="1365"/>
  </r>
  <r>
    <n v="7264"/>
    <n v="12"/>
    <n v="0"/>
    <n v="4"/>
    <n v="0"/>
    <n v="0"/>
    <n v="1"/>
    <s v="Single"/>
    <n v="52195"/>
    <n v="2"/>
    <n v="1"/>
    <n v="1"/>
    <n v="0"/>
    <n v="6.3849665673432398E-3"/>
    <x v="1366"/>
  </r>
  <r>
    <n v="7270"/>
    <n v="908"/>
    <n v="48"/>
    <n v="217"/>
    <n v="32"/>
    <n v="12"/>
    <n v="24"/>
    <s v="Single"/>
    <n v="56981"/>
    <n v="0"/>
    <n v="0"/>
    <n v="1"/>
    <n v="0"/>
    <n v="0.2278222132508553"/>
    <x v="1367"/>
  </r>
  <r>
    <n v="7274"/>
    <n v="736"/>
    <n v="163"/>
    <n v="818"/>
    <n v="212"/>
    <n v="163"/>
    <n v="61"/>
    <s v="Together"/>
    <n v="78618"/>
    <n v="0"/>
    <n v="0"/>
    <n v="0"/>
    <n v="1"/>
    <n v="1.2289165940471676"/>
    <x v="1368"/>
  </r>
  <r>
    <n v="7275"/>
    <n v="79"/>
    <n v="1"/>
    <n v="31"/>
    <n v="4"/>
    <n v="4"/>
    <n v="12"/>
    <s v="Single"/>
    <n v="33316"/>
    <n v="1"/>
    <n v="1"/>
    <n v="1"/>
    <n v="0"/>
    <n v="-0.86710307775735895"/>
    <x v="1369"/>
  </r>
  <r>
    <n v="7279"/>
    <n v="260"/>
    <n v="86"/>
    <n v="559"/>
    <n v="63"/>
    <n v="9"/>
    <n v="67"/>
    <s v="Together"/>
    <n v="69476"/>
    <n v="0"/>
    <n v="0"/>
    <n v="0"/>
    <n v="1"/>
    <n v="0.8059372147783278"/>
    <x v="1370"/>
  </r>
  <r>
    <n v="7284"/>
    <n v="10"/>
    <n v="0"/>
    <n v="7"/>
    <n v="2"/>
    <n v="0"/>
    <n v="1"/>
    <s v="Together"/>
    <n v="48686"/>
    <n v="1"/>
    <n v="2"/>
    <n v="0"/>
    <n v="1"/>
    <n v="-0.15596841801528188"/>
    <x v="1371"/>
  </r>
  <r>
    <n v="7286"/>
    <n v="13"/>
    <n v="6"/>
    <n v="15"/>
    <n v="3"/>
    <n v="5"/>
    <n v="13"/>
    <s v="Together"/>
    <n v="41728"/>
    <n v="1"/>
    <n v="0"/>
    <n v="0"/>
    <n v="1"/>
    <n v="-0.47789912474822738"/>
    <x v="1372"/>
  </r>
  <r>
    <n v="7290"/>
    <n v="347"/>
    <n v="44"/>
    <n v="534"/>
    <n v="17"/>
    <n v="0"/>
    <n v="26"/>
    <s v="Single"/>
    <n v="70596"/>
    <n v="0"/>
    <n v="0"/>
    <n v="1"/>
    <n v="0"/>
    <n v="0.85775704684801723"/>
    <x v="1373"/>
  </r>
  <r>
    <n v="7297"/>
    <n v="5"/>
    <n v="3"/>
    <n v="10"/>
    <n v="12"/>
    <n v="7"/>
    <n v="20"/>
    <s v="Single"/>
    <n v="7500"/>
    <n v="1"/>
    <n v="0"/>
    <n v="1"/>
    <n v="0"/>
    <n v="-2.0615502069636999"/>
    <x v="782"/>
  </r>
  <r>
    <n v="7300"/>
    <n v="448"/>
    <n v="4"/>
    <n v="34"/>
    <n v="6"/>
    <n v="4"/>
    <n v="39"/>
    <s v="Single"/>
    <n v="69142"/>
    <n v="0"/>
    <n v="1"/>
    <n v="1"/>
    <n v="0"/>
    <n v="0.7904838005718311"/>
    <x v="1374"/>
  </r>
  <r>
    <n v="7301"/>
    <n v="4"/>
    <n v="22"/>
    <n v="11"/>
    <n v="3"/>
    <n v="7"/>
    <n v="32"/>
    <s v="Single"/>
    <n v="23616"/>
    <n v="1"/>
    <n v="0"/>
    <n v="1"/>
    <n v="0"/>
    <n v="-1.3158998376466333"/>
    <x v="1375"/>
  </r>
  <r>
    <n v="7313"/>
    <n v="570"/>
    <n v="73"/>
    <n v="614"/>
    <n v="133"/>
    <n v="102"/>
    <n v="73"/>
    <s v="Single"/>
    <n v="74859"/>
    <n v="0"/>
    <n v="0"/>
    <n v="1"/>
    <n v="0"/>
    <n v="1.0549962826632726"/>
    <x v="1376"/>
  </r>
  <r>
    <n v="7325"/>
    <n v="23"/>
    <n v="0"/>
    <n v="11"/>
    <n v="2"/>
    <n v="1"/>
    <n v="3"/>
    <s v="Together"/>
    <n v="38197"/>
    <n v="1"/>
    <n v="0"/>
    <n v="0"/>
    <n v="1"/>
    <n v="-0.64127039888936421"/>
    <x v="1377"/>
  </r>
  <r>
    <n v="7326"/>
    <n v="34"/>
    <n v="1"/>
    <n v="19"/>
    <n v="2"/>
    <n v="7"/>
    <n v="0"/>
    <s v="Together"/>
    <n v="56850"/>
    <n v="0"/>
    <n v="1"/>
    <n v="0"/>
    <n v="1"/>
    <n v="0.22176114360698987"/>
    <x v="1378"/>
  </r>
  <r>
    <n v="7327"/>
    <n v="21"/>
    <n v="5"/>
    <n v="3"/>
    <n v="10"/>
    <n v="1"/>
    <n v="7"/>
    <s v="Together"/>
    <n v="36732"/>
    <n v="1"/>
    <n v="1"/>
    <n v="0"/>
    <n v="1"/>
    <n v="-0.70905258994480624"/>
    <x v="1379"/>
  </r>
  <r>
    <n v="7342"/>
    <n v="341"/>
    <n v="142"/>
    <n v="113"/>
    <n v="259"/>
    <n v="151"/>
    <n v="66"/>
    <s v="Single"/>
    <n v="59184"/>
    <n v="0"/>
    <n v="1"/>
    <n v="1"/>
    <n v="0"/>
    <n v="0.32974997222364616"/>
    <x v="1380"/>
  </r>
  <r>
    <n v="7348"/>
    <n v="336"/>
    <n v="130"/>
    <n v="411"/>
    <n v="240"/>
    <n v="32"/>
    <n v="43"/>
    <s v="Single"/>
    <n v="71691"/>
    <n v="0"/>
    <n v="0"/>
    <n v="1"/>
    <n v="0"/>
    <n v="0.90842018623757959"/>
    <x v="1381"/>
  </r>
  <r>
    <n v="7349"/>
    <n v="6"/>
    <n v="17"/>
    <n v="16"/>
    <n v="6"/>
    <n v="16"/>
    <n v="42"/>
    <s v="Together"/>
    <n v="9722"/>
    <n v="1"/>
    <n v="0"/>
    <n v="0"/>
    <n v="1"/>
    <n v="-1.9587433615540124"/>
    <x v="1382"/>
  </r>
  <r>
    <n v="7352"/>
    <n v="161"/>
    <n v="28"/>
    <n v="136"/>
    <n v="32"/>
    <n v="3"/>
    <n v="45"/>
    <s v="Together"/>
    <n v="55267"/>
    <n v="0"/>
    <n v="1"/>
    <n v="0"/>
    <n v="1"/>
    <n v="0.14851936310134847"/>
    <x v="1383"/>
  </r>
  <r>
    <n v="7369"/>
    <n v="25"/>
    <n v="6"/>
    <n v="25"/>
    <n v="6"/>
    <n v="0"/>
    <n v="0"/>
    <s v="Together"/>
    <n v="36959"/>
    <n v="1"/>
    <n v="0"/>
    <n v="0"/>
    <n v="1"/>
    <n v="-0.69854982040925306"/>
    <x v="1384"/>
  </r>
  <r>
    <n v="7373"/>
    <n v="96"/>
    <n v="12"/>
    <n v="96"/>
    <n v="33"/>
    <n v="22"/>
    <n v="43"/>
    <s v="Single"/>
    <n v="46610"/>
    <n v="0"/>
    <n v="2"/>
    <n v="1"/>
    <n v="0"/>
    <n v="-0.25202017817302763"/>
    <x v="1385"/>
  </r>
  <r>
    <n v="7375"/>
    <n v="297"/>
    <n v="7"/>
    <n v="79"/>
    <n v="0"/>
    <n v="11"/>
    <n v="182"/>
    <s v="Together"/>
    <n v="51369"/>
    <n v="0"/>
    <n v="1"/>
    <n v="0"/>
    <n v="1"/>
    <n v="-3.1832159584052701E-2"/>
    <x v="1386"/>
  </r>
  <r>
    <n v="7378"/>
    <n v="393"/>
    <n v="5"/>
    <n v="136"/>
    <n v="7"/>
    <n v="5"/>
    <n v="27"/>
    <s v="Together"/>
    <n v="42021"/>
    <n v="1"/>
    <n v="0"/>
    <n v="0"/>
    <n v="1"/>
    <n v="-0.46434268653713895"/>
    <x v="1387"/>
  </r>
  <r>
    <n v="7381"/>
    <n v="797"/>
    <n v="153"/>
    <n v="293"/>
    <n v="72"/>
    <n v="97"/>
    <n v="30"/>
    <s v="Single"/>
    <n v="75693"/>
    <n v="0"/>
    <n v="0"/>
    <n v="1"/>
    <n v="0"/>
    <n v="1.093583550472309"/>
    <x v="1388"/>
  </r>
  <r>
    <n v="7384"/>
    <n v="113"/>
    <n v="61"/>
    <n v="204"/>
    <n v="34"/>
    <n v="26"/>
    <n v="47"/>
    <s v="Together"/>
    <n v="39767"/>
    <n v="0"/>
    <n v="0"/>
    <n v="0"/>
    <n v="1"/>
    <n v="-0.56863009857738889"/>
    <x v="1389"/>
  </r>
  <r>
    <n v="7393"/>
    <n v="56"/>
    <n v="5"/>
    <n v="24"/>
    <n v="4"/>
    <n v="0"/>
    <n v="3"/>
    <s v="Together"/>
    <n v="41580"/>
    <n v="1"/>
    <n v="1"/>
    <n v="0"/>
    <n v="1"/>
    <n v="-0.48474674541457918"/>
    <x v="1390"/>
  </r>
  <r>
    <n v="7396"/>
    <n v="342"/>
    <n v="51"/>
    <n v="936"/>
    <n v="207"/>
    <n v="35"/>
    <n v="26"/>
    <s v="Together"/>
    <n v="80398"/>
    <n v="0"/>
    <n v="0"/>
    <n v="0"/>
    <n v="1"/>
    <n v="1.3112731128722097"/>
    <x v="1391"/>
  </r>
  <r>
    <n v="7397"/>
    <n v="494"/>
    <n v="5"/>
    <n v="82"/>
    <n v="7"/>
    <n v="0"/>
    <n v="100"/>
    <s v="Single"/>
    <n v="49090"/>
    <n v="0"/>
    <n v="1"/>
    <n v="1"/>
    <n v="0"/>
    <n v="-0.13727626430442963"/>
    <x v="1392"/>
  </r>
  <r>
    <n v="7408"/>
    <n v="216"/>
    <n v="2"/>
    <n v="6"/>
    <n v="0"/>
    <n v="0"/>
    <n v="9"/>
    <s v="Together"/>
    <n v="54549"/>
    <n v="0"/>
    <n v="1"/>
    <n v="0"/>
    <n v="1"/>
    <n v="0.11529914932810116"/>
    <x v="1393"/>
  </r>
  <r>
    <n v="7409"/>
    <n v="211"/>
    <n v="2"/>
    <n v="30"/>
    <n v="7"/>
    <n v="7"/>
    <n v="10"/>
    <s v="Together"/>
    <n v="53187"/>
    <n v="1"/>
    <n v="0"/>
    <n v="0"/>
    <n v="1"/>
    <n v="5.2282532114782433E-2"/>
    <x v="1394"/>
  </r>
  <r>
    <n v="7411"/>
    <n v="11"/>
    <n v="0"/>
    <n v="5"/>
    <n v="0"/>
    <n v="0"/>
    <n v="1"/>
    <s v="Together"/>
    <n v="31686"/>
    <n v="1"/>
    <n v="1"/>
    <n v="0"/>
    <n v="1"/>
    <n v="-0.94251944050163905"/>
    <x v="1395"/>
  </r>
  <r>
    <n v="7414"/>
    <n v="96"/>
    <n v="1"/>
    <n v="42"/>
    <n v="12"/>
    <n v="3"/>
    <n v="32"/>
    <s v="Together"/>
    <n v="43824"/>
    <n v="1"/>
    <n v="1"/>
    <n v="0"/>
    <n v="1"/>
    <n v="-0.38092201044638002"/>
    <x v="1396"/>
  </r>
  <r>
    <n v="7419"/>
    <n v="8"/>
    <n v="3"/>
    <n v="19"/>
    <n v="0"/>
    <n v="2"/>
    <n v="3"/>
    <s v="Single"/>
    <n v="27071"/>
    <n v="1"/>
    <n v="0"/>
    <n v="1"/>
    <n v="0"/>
    <n v="-1.1560449092530825"/>
    <x v="1397"/>
  </r>
  <r>
    <n v="7422"/>
    <n v="85"/>
    <n v="44"/>
    <n v="54"/>
    <n v="102"/>
    <n v="78"/>
    <n v="6"/>
    <s v="Single"/>
    <n v="46923"/>
    <n v="1"/>
    <n v="0"/>
    <n v="1"/>
    <n v="0"/>
    <n v="-0.23753838581783762"/>
    <x v="1398"/>
  </r>
  <r>
    <n v="7426"/>
    <n v="111"/>
    <n v="16"/>
    <n v="37"/>
    <n v="7"/>
    <n v="9"/>
    <n v="18"/>
    <s v="Together"/>
    <n v="54690"/>
    <n v="1"/>
    <n v="1"/>
    <n v="0"/>
    <n v="1"/>
    <n v="0.12182289604401741"/>
    <x v="1399"/>
  </r>
  <r>
    <n v="7428"/>
    <n v="240"/>
    <n v="132"/>
    <n v="445"/>
    <n v="250"/>
    <n v="192"/>
    <n v="108"/>
    <s v="Together"/>
    <n v="80144"/>
    <n v="0"/>
    <n v="0"/>
    <n v="0"/>
    <n v="1"/>
    <n v="1.2995211152421196"/>
    <x v="1400"/>
  </r>
  <r>
    <n v="7431"/>
    <n v="1332"/>
    <n v="17"/>
    <n v="311"/>
    <n v="23"/>
    <n v="51"/>
    <n v="86"/>
    <s v="Single"/>
    <n v="68126"/>
    <n v="0"/>
    <n v="0"/>
    <n v="1"/>
    <n v="0"/>
    <n v="0.74347581005147001"/>
    <x v="1401"/>
  </r>
  <r>
    <n v="7437"/>
    <n v="13"/>
    <n v="0"/>
    <n v="8"/>
    <n v="2"/>
    <n v="1"/>
    <n v="5"/>
    <s v="Single"/>
    <n v="27938"/>
    <n v="1"/>
    <n v="0"/>
    <n v="1"/>
    <n v="0"/>
    <n v="-1.1159308071062781"/>
    <x v="1402"/>
  </r>
  <r>
    <n v="7441"/>
    <n v="958"/>
    <n v="159"/>
    <n v="447"/>
    <n v="20"/>
    <n v="0"/>
    <n v="31"/>
    <s v="Single"/>
    <n v="71128"/>
    <n v="1"/>
    <n v="0"/>
    <n v="1"/>
    <n v="0"/>
    <n v="0.88237146708111969"/>
    <x v="1403"/>
  </r>
  <r>
    <n v="7444"/>
    <n v="19"/>
    <n v="0"/>
    <n v="9"/>
    <n v="0"/>
    <n v="0"/>
    <n v="2"/>
    <s v="Together"/>
    <n v="42169"/>
    <n v="1"/>
    <n v="1"/>
    <n v="0"/>
    <n v="1"/>
    <n v="-0.45749506587078714"/>
    <x v="1404"/>
  </r>
  <r>
    <n v="7446"/>
    <n v="520"/>
    <n v="42"/>
    <n v="98"/>
    <n v="0"/>
    <n v="42"/>
    <n v="14"/>
    <s v="Together"/>
    <n v="62513"/>
    <n v="0"/>
    <n v="1"/>
    <n v="0"/>
    <n v="1"/>
    <n v="0.48377516950935695"/>
    <x v="1405"/>
  </r>
  <r>
    <n v="7453"/>
    <n v="157"/>
    <n v="43"/>
    <n v="127"/>
    <n v="68"/>
    <n v="56"/>
    <n v="37"/>
    <s v="Single"/>
    <n v="36130"/>
    <n v="0"/>
    <n v="1"/>
    <n v="1"/>
    <n v="0"/>
    <n v="-0.7369057496822643"/>
    <x v="1406"/>
  </r>
  <r>
    <n v="7458"/>
    <n v="39"/>
    <n v="2"/>
    <n v="25"/>
    <n v="4"/>
    <n v="3"/>
    <n v="24"/>
    <s v="Together"/>
    <n v="34941"/>
    <n v="1"/>
    <n v="1"/>
    <n v="0"/>
    <n v="1"/>
    <n v="-0.79191805354910416"/>
    <x v="1407"/>
  </r>
  <r>
    <n v="7462"/>
    <n v="68"/>
    <n v="0"/>
    <n v="226"/>
    <n v="51"/>
    <n v="157"/>
    <n v="68"/>
    <s v="Single"/>
    <n v="22507"/>
    <n v="0"/>
    <n v="0"/>
    <n v="1"/>
    <n v="0"/>
    <n v="-1.3672107249370669"/>
    <x v="1408"/>
  </r>
  <r>
    <n v="7476"/>
    <n v="928"/>
    <n v="63"/>
    <n v="254"/>
    <n v="0"/>
    <n v="12"/>
    <n v="12"/>
    <s v="Single"/>
    <n v="63972"/>
    <n v="0"/>
    <n v="1"/>
    <n v="1"/>
    <n v="0"/>
    <n v="0.55127975432156839"/>
    <x v="1409"/>
  </r>
  <r>
    <n v="7485"/>
    <n v="67"/>
    <n v="4"/>
    <n v="32"/>
    <n v="17"/>
    <n v="2"/>
    <n v="16"/>
    <s v="Single"/>
    <n v="56551"/>
    <n v="1"/>
    <n v="1"/>
    <n v="1"/>
    <n v="0"/>
    <n v="0.20792709915267099"/>
    <x v="1410"/>
  </r>
  <r>
    <n v="7488"/>
    <n v="420"/>
    <n v="15"/>
    <n v="186"/>
    <n v="151"/>
    <n v="38"/>
    <n v="15"/>
    <s v="Single"/>
    <n v="64191"/>
    <n v="0"/>
    <n v="1"/>
    <n v="1"/>
    <n v="0"/>
    <n v="0.56141238219948086"/>
    <x v="1411"/>
  </r>
  <r>
    <n v="7494"/>
    <n v="209"/>
    <n v="0"/>
    <n v="40"/>
    <n v="3"/>
    <n v="2"/>
    <n v="15"/>
    <s v="Single"/>
    <n v="42873"/>
    <n v="1"/>
    <n v="1"/>
    <n v="1"/>
    <n v="0"/>
    <n v="-0.42492259999841092"/>
    <x v="1412"/>
  </r>
  <r>
    <n v="7495"/>
    <n v="77"/>
    <n v="28"/>
    <n v="31"/>
    <n v="16"/>
    <n v="0"/>
    <n v="4"/>
    <s v="Together"/>
    <n v="56223"/>
    <n v="0"/>
    <n v="1"/>
    <n v="0"/>
    <n v="1"/>
    <n v="0.19275129118940479"/>
    <x v="1413"/>
  </r>
  <r>
    <n v="7503"/>
    <n v="1032"/>
    <n v="105"/>
    <n v="779"/>
    <n v="137"/>
    <n v="105"/>
    <n v="51"/>
    <s v="Single"/>
    <n v="75825"/>
    <n v="0"/>
    <n v="0"/>
    <n v="1"/>
    <n v="0"/>
    <n v="1.0996908878233798"/>
    <x v="1414"/>
  </r>
  <r>
    <n v="7505"/>
    <n v="22"/>
    <n v="1"/>
    <n v="9"/>
    <n v="0"/>
    <n v="0"/>
    <n v="14"/>
    <s v="Together"/>
    <n v="44155"/>
    <n v="1"/>
    <n v="1"/>
    <n v="0"/>
    <n v="1"/>
    <n v="-0.36560739936149861"/>
    <x v="1415"/>
  </r>
  <r>
    <n v="7514"/>
    <n v="84"/>
    <n v="10"/>
    <n v="34"/>
    <n v="11"/>
    <n v="10"/>
    <n v="28"/>
    <s v="Together"/>
    <n v="54342"/>
    <n v="1"/>
    <n v="1"/>
    <n v="0"/>
    <n v="1"/>
    <n v="0.10572173393664965"/>
    <x v="1416"/>
  </r>
  <r>
    <n v="7527"/>
    <n v="6"/>
    <n v="6"/>
    <n v="29"/>
    <n v="12"/>
    <n v="15"/>
    <n v="8"/>
    <s v="Single"/>
    <n v="23748"/>
    <n v="1"/>
    <n v="0"/>
    <n v="1"/>
    <n v="0"/>
    <n v="-1.3097925002955628"/>
    <x v="1417"/>
  </r>
  <r>
    <n v="7532"/>
    <n v="99"/>
    <n v="2"/>
    <n v="11"/>
    <n v="4"/>
    <n v="0"/>
    <n v="16"/>
    <s v="Together"/>
    <n v="43586"/>
    <n v="0"/>
    <n v="1"/>
    <n v="0"/>
    <n v="1"/>
    <n v="-0.39193372476118904"/>
    <x v="1418"/>
  </r>
  <r>
    <n v="7533"/>
    <n v="144"/>
    <n v="1"/>
    <n v="32"/>
    <n v="2"/>
    <n v="1"/>
    <n v="7"/>
    <s v="Together"/>
    <n v="49096"/>
    <n v="1"/>
    <n v="1"/>
    <n v="0"/>
    <n v="1"/>
    <n v="-0.13699865806119915"/>
    <x v="1419"/>
  </r>
  <r>
    <n v="7540"/>
    <n v="143"/>
    <n v="15"/>
    <n v="60"/>
    <n v="24"/>
    <n v="23"/>
    <n v="5"/>
    <s v="Together"/>
    <n v="50300"/>
    <n v="0"/>
    <n v="1"/>
    <n v="0"/>
    <n v="1"/>
    <n v="-8.1292338586283042E-2"/>
    <x v="1420"/>
  </r>
  <r>
    <n v="7573"/>
    <n v="39"/>
    <n v="1"/>
    <n v="9"/>
    <n v="2"/>
    <n v="1"/>
    <n v="34"/>
    <s v="Single"/>
    <n v="31626"/>
    <n v="1"/>
    <n v="0"/>
    <n v="1"/>
    <n v="0"/>
    <n v="-0.94529550293394382"/>
    <x v="1421"/>
  </r>
  <r>
    <n v="7574"/>
    <n v="11"/>
    <n v="0"/>
    <n v="13"/>
    <n v="2"/>
    <n v="4"/>
    <n v="11"/>
    <s v="Together"/>
    <n v="27922"/>
    <n v="1"/>
    <n v="0"/>
    <n v="0"/>
    <n v="1"/>
    <n v="-1.1166710904215595"/>
    <x v="1422"/>
  </r>
  <r>
    <n v="7600"/>
    <n v="1"/>
    <n v="3"/>
    <n v="3"/>
    <n v="8"/>
    <n v="1"/>
    <n v="13"/>
    <s v="Single"/>
    <n v="15253"/>
    <n v="1"/>
    <n v="0"/>
    <n v="1"/>
    <n v="0"/>
    <n v="-1.7028366730027158"/>
    <x v="1423"/>
  </r>
  <r>
    <n v="7610"/>
    <n v="275"/>
    <n v="0"/>
    <n v="86"/>
    <n v="10"/>
    <n v="23"/>
    <n v="66"/>
    <s v="Together"/>
    <n v="37292"/>
    <n v="1"/>
    <n v="0"/>
    <n v="0"/>
    <n v="1"/>
    <n v="-0.68314267390996153"/>
    <x v="1424"/>
  </r>
  <r>
    <n v="7613"/>
    <n v="166"/>
    <n v="5"/>
    <n v="107"/>
    <n v="11"/>
    <n v="8"/>
    <n v="29"/>
    <s v="Together"/>
    <n v="49669"/>
    <n v="1"/>
    <n v="0"/>
    <n v="0"/>
    <n v="1"/>
    <n v="-0.11048726183268841"/>
    <x v="1425"/>
  </r>
  <r>
    <n v="7617"/>
    <n v="67"/>
    <n v="5"/>
    <n v="61"/>
    <n v="3"/>
    <n v="8"/>
    <n v="19"/>
    <s v="Single"/>
    <n v="42373"/>
    <n v="1"/>
    <n v="1"/>
    <n v="1"/>
    <n v="0"/>
    <n v="-0.44805645360095087"/>
    <x v="1426"/>
  </r>
  <r>
    <n v="7620"/>
    <n v="5"/>
    <n v="11"/>
    <n v="16"/>
    <n v="21"/>
    <n v="8"/>
    <n v="45"/>
    <s v="Single"/>
    <n v="16185"/>
    <n v="1"/>
    <n v="0"/>
    <n v="1"/>
    <n v="0"/>
    <n v="-1.6597151698875814"/>
    <x v="1427"/>
  </r>
  <r>
    <n v="7627"/>
    <n v="817"/>
    <n v="183"/>
    <n v="797"/>
    <n v="106"/>
    <n v="163"/>
    <n v="20"/>
    <s v="Together"/>
    <n v="92163"/>
    <n v="0"/>
    <n v="0"/>
    <n v="0"/>
    <n v="1"/>
    <n v="1.8556126881399739"/>
    <x v="1428"/>
  </r>
  <r>
    <n v="7628"/>
    <n v="30"/>
    <n v="5"/>
    <n v="24"/>
    <n v="6"/>
    <n v="3"/>
    <n v="8"/>
    <s v="Together"/>
    <n v="43050"/>
    <n v="1"/>
    <n v="0"/>
    <n v="0"/>
    <n v="1"/>
    <n v="-0.41673321582311185"/>
    <x v="1429"/>
  </r>
  <r>
    <n v="7629"/>
    <n v="5"/>
    <n v="3"/>
    <n v="9"/>
    <n v="6"/>
    <n v="2"/>
    <n v="6"/>
    <s v="Together"/>
    <n v="22108"/>
    <n v="1"/>
    <n v="1"/>
    <n v="0"/>
    <n v="1"/>
    <n v="-1.3856715401118938"/>
    <x v="1430"/>
  </r>
  <r>
    <n v="7631"/>
    <n v="562"/>
    <n v="58"/>
    <n v="168"/>
    <n v="43"/>
    <n v="16"/>
    <n v="142"/>
    <s v="Together"/>
    <n v="61346"/>
    <n v="1"/>
    <n v="0"/>
    <n v="0"/>
    <n v="1"/>
    <n v="0.42978075520102876"/>
    <x v="1431"/>
  </r>
  <r>
    <n v="7646"/>
    <n v="218"/>
    <n v="63"/>
    <n v="282"/>
    <n v="137"/>
    <n v="35"/>
    <n v="70"/>
    <s v="Single"/>
    <n v="64449"/>
    <n v="1"/>
    <n v="0"/>
    <n v="1"/>
    <n v="0"/>
    <n v="0.57334945065839149"/>
    <x v="1432"/>
  </r>
  <r>
    <n v="7660"/>
    <n v="15"/>
    <n v="0"/>
    <n v="8"/>
    <n v="4"/>
    <n v="2"/>
    <n v="20"/>
    <s v="Single"/>
    <n v="35860"/>
    <n v="1"/>
    <n v="1"/>
    <n v="1"/>
    <n v="0"/>
    <n v="-0.74939803062763577"/>
    <x v="320"/>
  </r>
  <r>
    <n v="7679"/>
    <n v="6"/>
    <n v="3"/>
    <n v="12"/>
    <n v="6"/>
    <n v="1"/>
    <n v="0"/>
    <s v="Single"/>
    <n v="30298"/>
    <n v="0"/>
    <n v="0"/>
    <n v="1"/>
    <n v="0"/>
    <n v="-1.0067390181022899"/>
    <x v="1433"/>
  </r>
  <r>
    <n v="7683"/>
    <n v="554"/>
    <n v="35"/>
    <n v="113"/>
    <n v="0"/>
    <n v="7"/>
    <n v="78"/>
    <s v="Together"/>
    <n v="70777"/>
    <n v="0"/>
    <n v="1"/>
    <n v="0"/>
    <n v="1"/>
    <n v="0.86613150185213672"/>
    <x v="1434"/>
  </r>
  <r>
    <n v="7698"/>
    <n v="152"/>
    <n v="3"/>
    <n v="22"/>
    <n v="2"/>
    <n v="5"/>
    <n v="7"/>
    <s v="Together"/>
    <n v="51650"/>
    <n v="0"/>
    <n v="1"/>
    <n v="0"/>
    <n v="1"/>
    <n v="-1.8830933859425268E-2"/>
    <x v="1435"/>
  </r>
  <r>
    <n v="7706"/>
    <n v="350"/>
    <n v="104"/>
    <n v="189"/>
    <n v="197"/>
    <n v="151"/>
    <n v="57"/>
    <s v="Together"/>
    <n v="46772"/>
    <n v="0"/>
    <n v="1"/>
    <n v="0"/>
    <n v="1"/>
    <n v="-0.24452480960580469"/>
    <x v="1436"/>
  </r>
  <r>
    <n v="7712"/>
    <n v="182"/>
    <n v="17"/>
    <n v="259"/>
    <n v="77"/>
    <n v="70"/>
    <n v="29"/>
    <s v="Single"/>
    <n v="62159"/>
    <n v="0"/>
    <n v="0"/>
    <n v="1"/>
    <n v="0"/>
    <n v="0.46739640115875869"/>
    <x v="1437"/>
  </r>
  <r>
    <n v="7718"/>
    <n v="244"/>
    <n v="51"/>
    <n v="270"/>
    <n v="101"/>
    <n v="0"/>
    <n v="45"/>
    <s v="Together"/>
    <n v="66000"/>
    <n v="0"/>
    <n v="0"/>
    <n v="0"/>
    <n v="1"/>
    <n v="0.64511066453347032"/>
    <x v="1438"/>
  </r>
  <r>
    <n v="7725"/>
    <n v="173"/>
    <n v="26"/>
    <n v="255"/>
    <n v="35"/>
    <n v="71"/>
    <n v="81"/>
    <s v="Together"/>
    <n v="76800"/>
    <n v="0"/>
    <n v="0"/>
    <n v="0"/>
    <n v="1"/>
    <n v="1.1448019023483325"/>
    <x v="1439"/>
  </r>
  <r>
    <n v="7732"/>
    <n v="293"/>
    <n v="0"/>
    <n v="124"/>
    <n v="179"/>
    <n v="97"/>
    <n v="52"/>
    <s v="Together"/>
    <n v="64813"/>
    <n v="1"/>
    <n v="0"/>
    <n v="0"/>
    <n v="1"/>
    <n v="0.59019089608104058"/>
    <x v="1440"/>
  </r>
  <r>
    <n v="7734"/>
    <n v="471"/>
    <n v="102"/>
    <n v="125"/>
    <n v="212"/>
    <n v="61"/>
    <n v="245"/>
    <s v="Single"/>
    <n v="79244"/>
    <n v="0"/>
    <n v="0"/>
    <n v="1"/>
    <n v="0"/>
    <n v="1.2578801787575475"/>
    <x v="1441"/>
  </r>
  <r>
    <n v="7736"/>
    <n v="11"/>
    <n v="7"/>
    <n v="12"/>
    <n v="2"/>
    <n v="2"/>
    <n v="27"/>
    <s v="Together"/>
    <n v="22518"/>
    <n v="1"/>
    <n v="0"/>
    <n v="0"/>
    <n v="1"/>
    <n v="-1.366701780157811"/>
    <x v="1442"/>
  </r>
  <r>
    <n v="7755"/>
    <n v="350"/>
    <n v="3"/>
    <n v="39"/>
    <n v="0"/>
    <n v="0"/>
    <n v="19"/>
    <s v="Together"/>
    <n v="57744"/>
    <n v="0"/>
    <n v="1"/>
    <n v="0"/>
    <n v="1"/>
    <n v="0.26312447384833121"/>
    <x v="1443"/>
  </r>
  <r>
    <n v="7761"/>
    <n v="13"/>
    <n v="11"/>
    <n v="24"/>
    <n v="13"/>
    <n v="8"/>
    <n v="40"/>
    <s v="Together"/>
    <n v="38702"/>
    <n v="1"/>
    <n v="0"/>
    <n v="0"/>
    <n v="1"/>
    <n v="-0.61790520675079896"/>
    <x v="1444"/>
  </r>
  <r>
    <n v="7786"/>
    <n v="68"/>
    <n v="7"/>
    <n v="59"/>
    <n v="10"/>
    <n v="5"/>
    <n v="11"/>
    <s v="Single"/>
    <n v="29999"/>
    <n v="1"/>
    <n v="0"/>
    <n v="1"/>
    <n v="0"/>
    <n v="-1.0205730625566087"/>
    <x v="1445"/>
  </r>
  <r>
    <n v="7788"/>
    <n v="6"/>
    <n v="0"/>
    <n v="3"/>
    <n v="0"/>
    <n v="0"/>
    <n v="1"/>
    <s v="Together"/>
    <n v="23536"/>
    <n v="1"/>
    <n v="0"/>
    <n v="0"/>
    <n v="1"/>
    <n v="-1.3196012542230398"/>
    <x v="1446"/>
  </r>
  <r>
    <n v="7791"/>
    <n v="12"/>
    <n v="1"/>
    <n v="6"/>
    <n v="0"/>
    <n v="1"/>
    <n v="5"/>
    <s v="Together"/>
    <n v="37054"/>
    <n v="1"/>
    <n v="1"/>
    <n v="0"/>
    <n v="1"/>
    <n v="-0.69415438822477049"/>
    <x v="1447"/>
  </r>
  <r>
    <n v="7793"/>
    <n v="641"/>
    <n v="7"/>
    <n v="84"/>
    <n v="0"/>
    <n v="30"/>
    <n v="38"/>
    <s v="Together"/>
    <n v="62061"/>
    <n v="0"/>
    <n v="1"/>
    <n v="0"/>
    <n v="1"/>
    <n v="0.46286216585266088"/>
    <x v="1448"/>
  </r>
  <r>
    <n v="7798"/>
    <n v="233"/>
    <n v="20"/>
    <n v="57"/>
    <n v="8"/>
    <n v="20"/>
    <n v="91"/>
    <s v="Together"/>
    <n v="46344"/>
    <n v="0"/>
    <n v="1"/>
    <n v="0"/>
    <n v="1"/>
    <n v="-0.26432738828957886"/>
    <x v="1449"/>
  </r>
  <r>
    <n v="7801"/>
    <n v="197"/>
    <n v="107"/>
    <n v="227"/>
    <n v="7"/>
    <n v="59"/>
    <n v="131"/>
    <s v="Together"/>
    <n v="54753"/>
    <n v="0"/>
    <n v="1"/>
    <n v="0"/>
    <n v="1"/>
    <n v="0.12473776159793745"/>
    <x v="1450"/>
  </r>
  <r>
    <n v="7822"/>
    <n v="198"/>
    <n v="18"/>
    <n v="252"/>
    <n v="32"/>
    <n v="108"/>
    <n v="54"/>
    <s v="Together"/>
    <n v="54058"/>
    <n v="0"/>
    <n v="1"/>
    <n v="0"/>
    <n v="1"/>
    <n v="9.258170509040696E-2"/>
    <x v="1451"/>
  </r>
  <r>
    <n v="7828"/>
    <n v="68"/>
    <n v="129"/>
    <n v="396"/>
    <n v="188"/>
    <n v="22"/>
    <n v="15"/>
    <s v="Together"/>
    <n v="77882"/>
    <n v="0"/>
    <n v="0"/>
    <n v="0"/>
    <n v="1"/>
    <n v="1.1948635615442289"/>
    <x v="1452"/>
  </r>
  <r>
    <n v="7829"/>
    <n v="15"/>
    <n v="6"/>
    <n v="8"/>
    <n v="7"/>
    <n v="4"/>
    <n v="25"/>
    <s v="Single"/>
    <n v="36640"/>
    <n v="1"/>
    <n v="0"/>
    <n v="1"/>
    <n v="0"/>
    <n v="-0.71330921900767352"/>
    <x v="1453"/>
  </r>
  <r>
    <n v="7832"/>
    <n v="940"/>
    <n v="44"/>
    <n v="396"/>
    <n v="0"/>
    <n v="88"/>
    <n v="58"/>
    <s v="Together"/>
    <n v="77520"/>
    <n v="0"/>
    <n v="1"/>
    <n v="0"/>
    <n v="1"/>
    <n v="1.1781146515359899"/>
    <x v="1454"/>
  </r>
  <r>
    <n v="7842"/>
    <n v="18"/>
    <n v="7"/>
    <n v="34"/>
    <n v="10"/>
    <n v="2"/>
    <n v="3"/>
    <s v="Single"/>
    <n v="36065"/>
    <n v="1"/>
    <n v="1"/>
    <n v="1"/>
    <n v="0"/>
    <n v="-0.73991315065059449"/>
    <x v="1455"/>
  </r>
  <r>
    <n v="7848"/>
    <n v="224"/>
    <n v="2"/>
    <n v="25"/>
    <n v="7"/>
    <n v="0"/>
    <n v="110"/>
    <s v="Single"/>
    <n v="49166"/>
    <n v="0"/>
    <n v="1"/>
    <n v="1"/>
    <n v="0"/>
    <n v="-0.13375991855684358"/>
    <x v="1456"/>
  </r>
  <r>
    <n v="7849"/>
    <n v="209"/>
    <n v="19"/>
    <n v="456"/>
    <n v="160"/>
    <n v="142"/>
    <n v="66"/>
    <s v="Together"/>
    <n v="80336"/>
    <n v="0"/>
    <n v="0"/>
    <n v="0"/>
    <n v="1"/>
    <n v="1.3084045150254948"/>
    <x v="1457"/>
  </r>
  <r>
    <n v="7851"/>
    <n v="161"/>
    <n v="0"/>
    <n v="253"/>
    <n v="199"/>
    <n v="191"/>
    <n v="122"/>
    <s v="Single"/>
    <n v="70165"/>
    <n v="0"/>
    <n v="0"/>
    <n v="1"/>
    <n v="0"/>
    <n v="0.83781566504262783"/>
    <x v="1458"/>
  </r>
  <r>
    <n v="7861"/>
    <n v="820"/>
    <n v="57"/>
    <n v="242"/>
    <n v="45"/>
    <n v="0"/>
    <n v="11"/>
    <s v="Together"/>
    <n v="77027"/>
    <n v="0"/>
    <n v="1"/>
    <n v="0"/>
    <n v="1"/>
    <n v="1.1553046718838855"/>
    <x v="1459"/>
  </r>
  <r>
    <n v="7872"/>
    <n v="179"/>
    <n v="21"/>
    <n v="273"/>
    <n v="0"/>
    <n v="21"/>
    <n v="63"/>
    <s v="Together"/>
    <n v="86836"/>
    <n v="0"/>
    <n v="0"/>
    <n v="0"/>
    <n v="1"/>
    <n v="1.6091446118585138"/>
    <x v="1460"/>
  </r>
  <r>
    <n v="7873"/>
    <n v="141"/>
    <n v="11"/>
    <n v="114"/>
    <n v="15"/>
    <n v="14"/>
    <n v="5"/>
    <s v="Together"/>
    <n v="63516"/>
    <n v="1"/>
    <n v="1"/>
    <n v="0"/>
    <n v="1"/>
    <n v="0.53018167983605202"/>
    <x v="1461"/>
  </r>
  <r>
    <n v="7875"/>
    <n v="967"/>
    <n v="0"/>
    <n v="617"/>
    <n v="43"/>
    <n v="50"/>
    <n v="0"/>
    <s v="Together"/>
    <n v="72025"/>
    <n v="0"/>
    <n v="0"/>
    <n v="0"/>
    <n v="1"/>
    <n v="0.92387360044407629"/>
    <x v="1137"/>
  </r>
  <r>
    <n v="7881"/>
    <n v="620"/>
    <n v="26"/>
    <n v="195"/>
    <n v="34"/>
    <n v="17"/>
    <n v="141"/>
    <s v="Together"/>
    <n v="66835"/>
    <n v="0"/>
    <n v="0"/>
    <n v="0"/>
    <n v="1"/>
    <n v="0.68374420004971193"/>
    <x v="1462"/>
  </r>
  <r>
    <n v="7892"/>
    <n v="6"/>
    <n v="4"/>
    <n v="25"/>
    <n v="15"/>
    <n v="12"/>
    <n v="13"/>
    <s v="Single"/>
    <n v="18589"/>
    <n v="0"/>
    <n v="0"/>
    <n v="1"/>
    <n v="0"/>
    <n v="-1.5484876017665696"/>
    <x v="1463"/>
  </r>
  <r>
    <n v="7899"/>
    <n v="1245"/>
    <n v="33"/>
    <n v="332"/>
    <n v="21"/>
    <n v="33"/>
    <n v="16"/>
    <s v="Together"/>
    <n v="77610"/>
    <n v="0"/>
    <n v="1"/>
    <n v="0"/>
    <n v="1"/>
    <n v="1.1822787451844472"/>
    <x v="1464"/>
  </r>
  <r>
    <n v="7901"/>
    <n v="9"/>
    <n v="1"/>
    <n v="5"/>
    <n v="2"/>
    <n v="1"/>
    <n v="4"/>
    <s v="Together"/>
    <n v="34109"/>
    <n v="0"/>
    <n v="1"/>
    <n v="0"/>
    <n v="1"/>
    <n v="-0.83041278594373058"/>
    <x v="1465"/>
  </r>
  <r>
    <n v="7912"/>
    <n v="8"/>
    <n v="15"/>
    <n v="27"/>
    <n v="0"/>
    <n v="20"/>
    <n v="33"/>
    <s v="Together"/>
    <n v="38136"/>
    <n v="1"/>
    <n v="0"/>
    <n v="0"/>
    <n v="1"/>
    <n v="-0.64409272902887416"/>
    <x v="1466"/>
  </r>
  <r>
    <n v="7919"/>
    <n v="1285"/>
    <n v="105"/>
    <n v="653"/>
    <n v="28"/>
    <n v="21"/>
    <n v="0"/>
    <s v="Together"/>
    <n v="72335"/>
    <n v="0"/>
    <n v="0"/>
    <n v="0"/>
    <n v="1"/>
    <n v="0.93821658967765109"/>
    <x v="1467"/>
  </r>
  <r>
    <n v="7922"/>
    <n v="819"/>
    <n v="0"/>
    <n v="72"/>
    <n v="12"/>
    <n v="0"/>
    <n v="63"/>
    <s v="Single"/>
    <n v="64950"/>
    <n v="0"/>
    <n v="1"/>
    <n v="1"/>
    <n v="0"/>
    <n v="0.5965295719681365"/>
    <x v="1468"/>
  </r>
  <r>
    <n v="7930"/>
    <n v="101"/>
    <n v="13"/>
    <n v="76"/>
    <n v="20"/>
    <n v="18"/>
    <n v="40"/>
    <s v="Single"/>
    <n v="26877"/>
    <n v="0"/>
    <n v="0"/>
    <n v="1"/>
    <n v="0"/>
    <n v="-1.1650208444508678"/>
    <x v="1469"/>
  </r>
  <r>
    <n v="7937"/>
    <n v="10"/>
    <n v="7"/>
    <n v="25"/>
    <n v="6"/>
    <n v="3"/>
    <n v="7"/>
    <s v="Together"/>
    <n v="24711"/>
    <n v="0"/>
    <n v="0"/>
    <n v="0"/>
    <n v="1"/>
    <n v="-1.2652366982570709"/>
    <x v="1470"/>
  </r>
  <r>
    <n v="7938"/>
    <n v="350"/>
    <n v="8"/>
    <n v="66"/>
    <n v="17"/>
    <n v="4"/>
    <n v="4"/>
    <s v="Together"/>
    <n v="51518"/>
    <n v="0"/>
    <n v="1"/>
    <n v="0"/>
    <n v="1"/>
    <n v="-2.4938271210495806E-2"/>
    <x v="1471"/>
  </r>
  <r>
    <n v="7943"/>
    <n v="18"/>
    <n v="0"/>
    <n v="6"/>
    <n v="3"/>
    <n v="3"/>
    <n v="5"/>
    <s v="Together"/>
    <n v="36663"/>
    <n v="1"/>
    <n v="0"/>
    <n v="0"/>
    <n v="1"/>
    <n v="-0.71224506174195668"/>
    <x v="1472"/>
  </r>
  <r>
    <n v="7947"/>
    <n v="24"/>
    <n v="0"/>
    <n v="8"/>
    <n v="0"/>
    <n v="1"/>
    <n v="4"/>
    <s v="Together"/>
    <n v="42231"/>
    <n v="1"/>
    <n v="1"/>
    <n v="0"/>
    <n v="1"/>
    <n v="-0.45462646802407219"/>
    <x v="1473"/>
  </r>
  <r>
    <n v="7959"/>
    <n v="658"/>
    <n v="80"/>
    <n v="483"/>
    <n v="123"/>
    <n v="13"/>
    <n v="13"/>
    <s v="Together"/>
    <n v="79410"/>
    <n v="0"/>
    <n v="0"/>
    <n v="0"/>
    <n v="1"/>
    <n v="1.2655606181535908"/>
    <x v="1474"/>
  </r>
  <r>
    <n v="7960"/>
    <n v="734"/>
    <n v="22"/>
    <n v="350"/>
    <n v="151"/>
    <n v="25"/>
    <n v="100"/>
    <s v="Together"/>
    <n v="82122"/>
    <n v="0"/>
    <n v="0"/>
    <n v="0"/>
    <n v="1"/>
    <n v="1.3910386400937673"/>
    <x v="1475"/>
  </r>
  <r>
    <n v="7962"/>
    <n v="1285"/>
    <n v="21"/>
    <n v="449"/>
    <n v="106"/>
    <n v="20"/>
    <n v="20"/>
    <s v="Single"/>
    <n v="95169"/>
    <n v="0"/>
    <n v="0"/>
    <n v="1"/>
    <n v="0"/>
    <n v="1.994693415998444"/>
    <x v="1476"/>
  </r>
  <r>
    <n v="7966"/>
    <n v="505"/>
    <n v="137"/>
    <n v="401"/>
    <n v="104"/>
    <n v="22"/>
    <n v="22"/>
    <s v="Single"/>
    <n v="80982"/>
    <n v="1"/>
    <n v="1"/>
    <n v="1"/>
    <n v="0"/>
    <n v="1.3382934538799764"/>
    <x v="1477"/>
  </r>
  <r>
    <n v="7972"/>
    <n v="400"/>
    <n v="32"/>
    <n v="519"/>
    <n v="71"/>
    <n v="75"/>
    <n v="54"/>
    <s v="Single"/>
    <n v="72906"/>
    <n v="0"/>
    <n v="0"/>
    <n v="1"/>
    <n v="0"/>
    <n v="0.96463545049175159"/>
    <x v="1478"/>
  </r>
  <r>
    <n v="7987"/>
    <n v="346"/>
    <n v="17"/>
    <n v="48"/>
    <n v="23"/>
    <n v="13"/>
    <n v="13"/>
    <s v="Together"/>
    <n v="65747"/>
    <n v="0"/>
    <n v="1"/>
    <n v="0"/>
    <n v="1"/>
    <n v="0.63340493461058511"/>
    <x v="1479"/>
  </r>
  <r>
    <n v="7990"/>
    <n v="9"/>
    <n v="1"/>
    <n v="2"/>
    <n v="3"/>
    <n v="2"/>
    <n v="0"/>
    <s v="Together"/>
    <n v="27469"/>
    <n v="0"/>
    <n v="0"/>
    <n v="0"/>
    <n v="1"/>
    <n v="-1.1376303617854606"/>
    <x v="1480"/>
  </r>
  <r>
    <n v="7998"/>
    <n v="53"/>
    <n v="8"/>
    <n v="17"/>
    <n v="13"/>
    <n v="0"/>
    <n v="21"/>
    <s v="Together"/>
    <n v="28087"/>
    <n v="1"/>
    <n v="1"/>
    <n v="0"/>
    <n v="1"/>
    <n v="-1.1090369187327214"/>
    <x v="1481"/>
  </r>
  <r>
    <n v="7999"/>
    <n v="1239"/>
    <n v="17"/>
    <n v="413"/>
    <n v="23"/>
    <n v="34"/>
    <n v="17"/>
    <s v="Together"/>
    <n v="75261"/>
    <n v="0"/>
    <n v="0"/>
    <n v="0"/>
    <n v="1"/>
    <n v="1.0735959009597147"/>
    <x v="1482"/>
  </r>
  <r>
    <n v="8008"/>
    <n v="46"/>
    <n v="0"/>
    <n v="30"/>
    <n v="12"/>
    <n v="1"/>
    <n v="30"/>
    <s v="Together"/>
    <n v="36075"/>
    <n v="1"/>
    <n v="0"/>
    <n v="0"/>
    <n v="1"/>
    <n v="-0.73945047357854365"/>
    <x v="1483"/>
  </r>
  <r>
    <n v="8017"/>
    <n v="22"/>
    <n v="0"/>
    <n v="19"/>
    <n v="6"/>
    <n v="5"/>
    <n v="3"/>
    <s v="Together"/>
    <n v="51111"/>
    <n v="1"/>
    <n v="1"/>
    <n v="0"/>
    <n v="1"/>
    <n v="-4.37692280429633E-2"/>
    <x v="1484"/>
  </r>
  <r>
    <n v="8026"/>
    <n v="120"/>
    <n v="58"/>
    <n v="73"/>
    <n v="65"/>
    <n v="89"/>
    <n v="58"/>
    <s v="Together"/>
    <n v="62998"/>
    <n v="0"/>
    <n v="1"/>
    <n v="0"/>
    <n v="1"/>
    <n v="0.50621500750382065"/>
    <x v="1485"/>
  </r>
  <r>
    <n v="8029"/>
    <n v="1184"/>
    <n v="32"/>
    <n v="352"/>
    <n v="21"/>
    <n v="16"/>
    <n v="16"/>
    <s v="Single"/>
    <n v="90247"/>
    <n v="0"/>
    <n v="0"/>
    <n v="1"/>
    <n v="0"/>
    <n v="1.7669637611350411"/>
    <x v="1486"/>
  </r>
  <r>
    <n v="8036"/>
    <n v="31"/>
    <n v="1"/>
    <n v="13"/>
    <n v="7"/>
    <n v="2"/>
    <n v="9"/>
    <s v="Together"/>
    <n v="26850"/>
    <n v="1"/>
    <n v="1"/>
    <n v="0"/>
    <n v="1"/>
    <n v="-1.1662700725454052"/>
    <x v="1487"/>
  </r>
  <r>
    <n v="8041"/>
    <n v="595"/>
    <n v="71"/>
    <n v="153"/>
    <n v="120"/>
    <n v="112"/>
    <n v="41"/>
    <s v="Single"/>
    <n v="47111"/>
    <n v="0"/>
    <n v="1"/>
    <n v="1"/>
    <n v="0"/>
    <n v="-0.22884005686328263"/>
    <x v="1488"/>
  </r>
  <r>
    <n v="8070"/>
    <n v="199"/>
    <n v="12"/>
    <n v="31"/>
    <n v="3"/>
    <n v="12"/>
    <n v="7"/>
    <s v="Together"/>
    <n v="54222"/>
    <n v="0"/>
    <n v="1"/>
    <n v="0"/>
    <n v="1"/>
    <n v="0.10016960907204006"/>
    <x v="1489"/>
  </r>
  <r>
    <n v="8079"/>
    <n v="3"/>
    <n v="1"/>
    <n v="8"/>
    <n v="23"/>
    <n v="2"/>
    <n v="18"/>
    <s v="Together"/>
    <n v="22448"/>
    <n v="1"/>
    <n v="0"/>
    <n v="0"/>
    <n v="1"/>
    <n v="-1.3699405196621666"/>
    <x v="1490"/>
  </r>
  <r>
    <n v="8080"/>
    <n v="5"/>
    <n v="1"/>
    <n v="6"/>
    <n v="3"/>
    <n v="4"/>
    <n v="3"/>
    <s v="Single"/>
    <n v="26816"/>
    <n v="0"/>
    <n v="0"/>
    <n v="1"/>
    <n v="0"/>
    <n v="-1.1678431745903779"/>
    <x v="1491"/>
  </r>
  <r>
    <n v="8082"/>
    <n v="1"/>
    <n v="3"/>
    <n v="6"/>
    <n v="3"/>
    <n v="6"/>
    <n v="15"/>
    <s v="Together"/>
    <n v="25721"/>
    <n v="1"/>
    <n v="0"/>
    <n v="0"/>
    <n v="1"/>
    <n v="-1.2185063139799401"/>
    <x v="1492"/>
  </r>
  <r>
    <n v="8086"/>
    <n v="48"/>
    <n v="0"/>
    <n v="2"/>
    <n v="0"/>
    <n v="0"/>
    <n v="5"/>
    <s v="Together"/>
    <n v="42243"/>
    <n v="1"/>
    <n v="1"/>
    <n v="0"/>
    <n v="1"/>
    <n v="-0.45407125553761124"/>
    <x v="1493"/>
  </r>
  <r>
    <n v="8091"/>
    <n v="423"/>
    <n v="184"/>
    <n v="368"/>
    <n v="13"/>
    <n v="97"/>
    <n v="21"/>
    <s v="Together"/>
    <n v="63943"/>
    <n v="0"/>
    <n v="1"/>
    <n v="0"/>
    <n v="1"/>
    <n v="0.54993799081262107"/>
    <x v="1494"/>
  </r>
  <r>
    <n v="8093"/>
    <n v="572"/>
    <n v="8"/>
    <n v="232"/>
    <n v="23"/>
    <n v="62"/>
    <n v="17"/>
    <s v="Together"/>
    <n v="79734"/>
    <n v="0"/>
    <n v="0"/>
    <n v="0"/>
    <n v="1"/>
    <n v="1.2805513552880368"/>
    <x v="1495"/>
  </r>
  <r>
    <n v="8104"/>
    <n v="241"/>
    <n v="0"/>
    <n v="12"/>
    <n v="0"/>
    <n v="0"/>
    <n v="25"/>
    <s v="Together"/>
    <n v="53312"/>
    <n v="0"/>
    <n v="0"/>
    <n v="0"/>
    <n v="1"/>
    <n v="5.8065995515417412E-2"/>
    <x v="1496"/>
  </r>
  <r>
    <n v="8132"/>
    <n v="565"/>
    <n v="6"/>
    <n v="65"/>
    <n v="0"/>
    <n v="6"/>
    <n v="19"/>
    <s v="Together"/>
    <n v="60631"/>
    <n v="1"/>
    <n v="1"/>
    <n v="0"/>
    <n v="1"/>
    <n v="0.3966993445493967"/>
    <x v="1497"/>
  </r>
  <r>
    <n v="8135"/>
    <n v="7"/>
    <n v="4"/>
    <n v="23"/>
    <n v="7"/>
    <n v="0"/>
    <n v="11"/>
    <s v="Together"/>
    <n v="27161"/>
    <n v="1"/>
    <n v="0"/>
    <n v="0"/>
    <n v="1"/>
    <n v="-1.1518808156046252"/>
    <x v="1498"/>
  </r>
  <r>
    <n v="8140"/>
    <n v="10"/>
    <n v="14"/>
    <n v="29"/>
    <n v="4"/>
    <n v="2"/>
    <n v="36"/>
    <s v="Together"/>
    <n v="22682"/>
    <n v="1"/>
    <n v="0"/>
    <n v="0"/>
    <n v="1"/>
    <n v="-1.3591138761761778"/>
    <x v="1499"/>
  </r>
  <r>
    <n v="8143"/>
    <n v="202"/>
    <n v="2"/>
    <n v="46"/>
    <n v="3"/>
    <n v="2"/>
    <n v="10"/>
    <s v="Single"/>
    <n v="37929"/>
    <n v="0"/>
    <n v="0"/>
    <n v="1"/>
    <n v="0"/>
    <n v="-0.65367014442032567"/>
    <x v="1500"/>
  </r>
  <r>
    <n v="8146"/>
    <n v="30"/>
    <n v="0"/>
    <n v="8"/>
    <n v="2"/>
    <n v="0"/>
    <n v="14"/>
    <s v="Together"/>
    <n v="46106"/>
    <n v="1"/>
    <n v="1"/>
    <n v="0"/>
    <n v="1"/>
    <n v="-0.27533910260438788"/>
    <x v="1501"/>
  </r>
  <r>
    <n v="8147"/>
    <n v="28"/>
    <n v="0"/>
    <n v="11"/>
    <n v="0"/>
    <n v="0"/>
    <n v="9"/>
    <s v="Together"/>
    <n v="31454"/>
    <n v="1"/>
    <n v="1"/>
    <n v="0"/>
    <n v="1"/>
    <n v="-0.95325354857321754"/>
    <x v="1502"/>
  </r>
  <r>
    <n v="8148"/>
    <n v="285"/>
    <n v="28"/>
    <n v="242"/>
    <n v="55"/>
    <n v="114"/>
    <n v="135"/>
    <s v="Together"/>
    <n v="50898"/>
    <n v="1"/>
    <n v="1"/>
    <n v="0"/>
    <n v="1"/>
    <n v="-5.36242496776453E-2"/>
    <x v="1503"/>
  </r>
  <r>
    <n v="8151"/>
    <n v="16"/>
    <n v="36"/>
    <n v="21"/>
    <n v="20"/>
    <n v="62"/>
    <n v="108"/>
    <s v="Together"/>
    <n v="24279"/>
    <n v="0"/>
    <n v="0"/>
    <n v="0"/>
    <n v="1"/>
    <n v="-1.2852243477696654"/>
    <x v="1504"/>
  </r>
  <r>
    <n v="8159"/>
    <n v="117"/>
    <n v="0"/>
    <n v="22"/>
    <n v="13"/>
    <n v="0"/>
    <n v="30"/>
    <s v="Together"/>
    <n v="51287"/>
    <n v="1"/>
    <n v="1"/>
    <n v="0"/>
    <n v="1"/>
    <n v="-3.5626111574869244E-2"/>
    <x v="1505"/>
  </r>
  <r>
    <n v="8162"/>
    <n v="4"/>
    <n v="1"/>
    <n v="11"/>
    <n v="6"/>
    <n v="2"/>
    <n v="2"/>
    <s v="Together"/>
    <n v="14661"/>
    <n v="0"/>
    <n v="0"/>
    <n v="0"/>
    <n v="1"/>
    <n v="-1.7302271556681232"/>
    <x v="1506"/>
  </r>
  <r>
    <n v="8164"/>
    <n v="1023"/>
    <n v="93"/>
    <n v="651"/>
    <n v="49"/>
    <n v="55"/>
    <n v="37"/>
    <s v="Together"/>
    <n v="82170"/>
    <n v="0"/>
    <n v="0"/>
    <n v="0"/>
    <n v="1"/>
    <n v="1.3932594900396111"/>
    <x v="1507"/>
  </r>
  <r>
    <n v="8180"/>
    <n v="233"/>
    <n v="2"/>
    <n v="53"/>
    <n v="3"/>
    <n v="5"/>
    <n v="14"/>
    <s v="Single"/>
    <n v="59354"/>
    <n v="1"/>
    <n v="1"/>
    <n v="1"/>
    <n v="0"/>
    <n v="0.33761548244850975"/>
    <x v="1508"/>
  </r>
  <r>
    <n v="8181"/>
    <n v="51"/>
    <n v="12"/>
    <n v="49"/>
    <n v="17"/>
    <n v="24"/>
    <n v="24"/>
    <s v="Single"/>
    <n v="38593"/>
    <n v="1"/>
    <n v="0"/>
    <n v="1"/>
    <n v="0"/>
    <n v="-0.62294838683615261"/>
    <x v="1509"/>
  </r>
  <r>
    <n v="8182"/>
    <n v="53"/>
    <n v="3"/>
    <n v="49"/>
    <n v="7"/>
    <n v="4"/>
    <n v="5"/>
    <s v="Together"/>
    <n v="23228"/>
    <n v="1"/>
    <n v="0"/>
    <n v="0"/>
    <n v="1"/>
    <n v="-1.3338517080422043"/>
    <x v="811"/>
  </r>
  <r>
    <n v="8204"/>
    <n v="482"/>
    <n v="35"/>
    <n v="553"/>
    <n v="72"/>
    <n v="160"/>
    <n v="17"/>
    <s v="Together"/>
    <n v="78041"/>
    <n v="0"/>
    <n v="0"/>
    <n v="0"/>
    <n v="1"/>
    <n v="1.2022201269898365"/>
    <x v="1510"/>
  </r>
  <r>
    <n v="8207"/>
    <n v="28"/>
    <n v="0"/>
    <n v="9"/>
    <n v="3"/>
    <n v="0"/>
    <n v="0"/>
    <s v="Together"/>
    <n v="53233"/>
    <n v="0"/>
    <n v="1"/>
    <n v="0"/>
    <n v="1"/>
    <n v="5.4410846646216107E-2"/>
    <x v="1511"/>
  </r>
  <r>
    <n v="8210"/>
    <n v="318"/>
    <n v="3"/>
    <n v="17"/>
    <n v="4"/>
    <n v="7"/>
    <n v="56"/>
    <s v="Together"/>
    <n v="54730"/>
    <n v="0"/>
    <n v="1"/>
    <n v="0"/>
    <n v="1"/>
    <n v="0.12367360433222062"/>
    <x v="1512"/>
  </r>
  <r>
    <n v="8212"/>
    <n v="85"/>
    <n v="15"/>
    <n v="27"/>
    <n v="13"/>
    <n v="13"/>
    <n v="21"/>
    <s v="Together"/>
    <n v="39791"/>
    <n v="0"/>
    <n v="1"/>
    <n v="0"/>
    <n v="1"/>
    <n v="-0.56751967360446698"/>
    <x v="1513"/>
  </r>
  <r>
    <n v="8213"/>
    <n v="6"/>
    <n v="4"/>
    <n v="9"/>
    <n v="6"/>
    <n v="36"/>
    <n v="35"/>
    <s v="Together"/>
    <n v="14515"/>
    <n v="1"/>
    <n v="0"/>
    <n v="0"/>
    <n v="1"/>
    <n v="-1.7369822409200648"/>
    <x v="1514"/>
  </r>
  <r>
    <n v="8216"/>
    <n v="158"/>
    <n v="0"/>
    <n v="76"/>
    <n v="13"/>
    <n v="7"/>
    <n v="71"/>
    <s v="Together"/>
    <n v="53761"/>
    <n v="1"/>
    <n v="1"/>
    <n v="0"/>
    <n v="1"/>
    <n v="7.884019605049826E-2"/>
    <x v="1515"/>
  </r>
  <r>
    <n v="8230"/>
    <n v="22"/>
    <n v="2"/>
    <n v="31"/>
    <n v="7"/>
    <n v="4"/>
    <n v="5"/>
    <s v="Together"/>
    <n v="33228"/>
    <n v="1"/>
    <n v="0"/>
    <n v="0"/>
    <n v="1"/>
    <n v="-0.87117463599140588"/>
    <x v="1516"/>
  </r>
  <r>
    <n v="8233"/>
    <n v="508"/>
    <n v="5"/>
    <n v="21"/>
    <n v="7"/>
    <n v="5"/>
    <n v="10"/>
    <s v="Single"/>
    <n v="64866"/>
    <n v="0"/>
    <n v="1"/>
    <n v="1"/>
    <n v="0"/>
    <n v="0.59264308456290982"/>
    <x v="1517"/>
  </r>
  <r>
    <n v="8234"/>
    <n v="1"/>
    <n v="6"/>
    <n v="7"/>
    <n v="0"/>
    <n v="1"/>
    <n v="3"/>
    <s v="Together"/>
    <n v="27190"/>
    <n v="1"/>
    <n v="0"/>
    <n v="0"/>
    <n v="1"/>
    <n v="-1.150539052095678"/>
    <x v="1518"/>
  </r>
  <r>
    <n v="8235"/>
    <n v="428"/>
    <n v="30"/>
    <n v="214"/>
    <n v="80"/>
    <n v="30"/>
    <n v="61"/>
    <s v="Together"/>
    <n v="69245"/>
    <n v="0"/>
    <n v="1"/>
    <n v="0"/>
    <n v="1"/>
    <n v="0.79524937441395438"/>
    <x v="1519"/>
  </r>
  <r>
    <n v="8275"/>
    <n v="16"/>
    <n v="0"/>
    <n v="3"/>
    <n v="0"/>
    <n v="0"/>
    <n v="1"/>
    <s v="Single"/>
    <n v="47025"/>
    <n v="1"/>
    <n v="1"/>
    <n v="1"/>
    <n v="0"/>
    <n v="-0.23281907968291948"/>
    <x v="1520"/>
  </r>
  <r>
    <n v="8278"/>
    <n v="863"/>
    <n v="83"/>
    <n v="547"/>
    <n v="86"/>
    <n v="99"/>
    <n v="33"/>
    <s v="Together"/>
    <n v="74214"/>
    <n v="0"/>
    <n v="0"/>
    <n v="0"/>
    <n v="1"/>
    <n v="1.025153611515996"/>
    <x v="1521"/>
  </r>
  <r>
    <n v="8286"/>
    <n v="98"/>
    <n v="1"/>
    <n v="17"/>
    <n v="0"/>
    <n v="1"/>
    <n v="5"/>
    <s v="Together"/>
    <n v="51717"/>
    <n v="0"/>
    <n v="1"/>
    <n v="0"/>
    <n v="1"/>
    <n v="-1.5730997476684921E-2"/>
    <x v="1522"/>
  </r>
  <r>
    <n v="8310"/>
    <n v="897"/>
    <n v="126"/>
    <n v="196"/>
    <n v="91"/>
    <n v="112"/>
    <n v="37"/>
    <s v="Together"/>
    <n v="68142"/>
    <n v="0"/>
    <n v="1"/>
    <n v="0"/>
    <n v="1"/>
    <n v="0.74421609336675132"/>
    <x v="1523"/>
  </r>
  <r>
    <n v="8314"/>
    <n v="557"/>
    <n v="129"/>
    <n v="761"/>
    <n v="29"/>
    <n v="185"/>
    <n v="111"/>
    <s v="Together"/>
    <n v="79908"/>
    <n v="0"/>
    <n v="0"/>
    <n v="0"/>
    <n v="1"/>
    <n v="1.2886019363417207"/>
    <x v="1524"/>
  </r>
  <r>
    <n v="8318"/>
    <n v="594"/>
    <n v="134"/>
    <n v="786"/>
    <n v="33"/>
    <n v="134"/>
    <n v="57"/>
    <s v="Together"/>
    <n v="90300"/>
    <n v="0"/>
    <n v="0"/>
    <n v="0"/>
    <n v="1"/>
    <n v="1.7694159496169102"/>
    <x v="1525"/>
  </r>
  <r>
    <n v="8341"/>
    <n v="15"/>
    <n v="0"/>
    <n v="6"/>
    <n v="0"/>
    <n v="1"/>
    <n v="12"/>
    <s v="Together"/>
    <n v="30396"/>
    <n v="1"/>
    <n v="0"/>
    <n v="0"/>
    <n v="1"/>
    <n v="-1.002204782796192"/>
    <x v="1526"/>
  </r>
  <r>
    <n v="8346"/>
    <n v="138"/>
    <n v="15"/>
    <n v="35"/>
    <n v="25"/>
    <n v="11"/>
    <n v="72"/>
    <s v="Single"/>
    <n v="32233"/>
    <n v="1"/>
    <n v="0"/>
    <n v="1"/>
    <n v="0"/>
    <n v="-0.91721100466046035"/>
    <x v="1527"/>
  </r>
  <r>
    <n v="8369"/>
    <n v="1"/>
    <n v="2"/>
    <n v="7"/>
    <n v="4"/>
    <n v="3"/>
    <n v="11"/>
    <s v="Together"/>
    <n v="18227"/>
    <n v="1"/>
    <n v="0"/>
    <n v="0"/>
    <n v="1"/>
    <n v="-1.5652365117748084"/>
    <x v="1528"/>
  </r>
  <r>
    <n v="8370"/>
    <n v="378"/>
    <n v="97"/>
    <n v="259"/>
    <n v="197"/>
    <n v="194"/>
    <n v="34"/>
    <s v="Together"/>
    <n v="75484"/>
    <n v="0"/>
    <n v="1"/>
    <n v="0"/>
    <n v="1"/>
    <n v="1.0839135996664475"/>
    <x v="1529"/>
  </r>
  <r>
    <n v="8375"/>
    <n v="447"/>
    <n v="0"/>
    <n v="28"/>
    <n v="0"/>
    <n v="0"/>
    <n v="43"/>
    <s v="Together"/>
    <n v="55954"/>
    <n v="0"/>
    <n v="1"/>
    <n v="0"/>
    <n v="1"/>
    <n v="0.18030527795123832"/>
    <x v="1530"/>
  </r>
  <r>
    <n v="8387"/>
    <n v="134"/>
    <n v="8"/>
    <n v="76"/>
    <n v="6"/>
    <n v="0"/>
    <n v="11"/>
    <s v="Together"/>
    <n v="43140"/>
    <n v="0"/>
    <n v="1"/>
    <n v="0"/>
    <n v="1"/>
    <n v="-0.41256912217465463"/>
    <x v="1531"/>
  </r>
  <r>
    <n v="8395"/>
    <n v="980"/>
    <n v="37"/>
    <n v="265"/>
    <n v="35"/>
    <n v="163"/>
    <n v="31"/>
    <s v="Single"/>
    <n v="82014"/>
    <n v="0"/>
    <n v="0"/>
    <n v="1"/>
    <n v="0"/>
    <n v="1.3860417277156187"/>
    <x v="1532"/>
  </r>
  <r>
    <n v="8397"/>
    <n v="18"/>
    <n v="0"/>
    <n v="5"/>
    <n v="0"/>
    <n v="0"/>
    <n v="11"/>
    <s v="Together"/>
    <n v="44689"/>
    <n v="1"/>
    <n v="1"/>
    <n v="0"/>
    <n v="1"/>
    <n v="-0.34090044371398598"/>
    <x v="1533"/>
  </r>
  <r>
    <n v="8402"/>
    <n v="329"/>
    <n v="35"/>
    <n v="222"/>
    <n v="130"/>
    <n v="35"/>
    <n v="43"/>
    <s v="Together"/>
    <n v="67087"/>
    <n v="0"/>
    <n v="1"/>
    <n v="0"/>
    <n v="1"/>
    <n v="0.69540366226539208"/>
    <x v="1534"/>
  </r>
  <r>
    <n v="8405"/>
    <n v="135"/>
    <n v="25"/>
    <n v="51"/>
    <n v="23"/>
    <n v="25"/>
    <n v="46"/>
    <s v="Single"/>
    <n v="68274"/>
    <n v="1"/>
    <n v="1"/>
    <n v="1"/>
    <n v="0"/>
    <n v="0.75032343071782182"/>
    <x v="1535"/>
  </r>
  <r>
    <n v="8414"/>
    <n v="56"/>
    <n v="0"/>
    <n v="12"/>
    <n v="0"/>
    <n v="0"/>
    <n v="18"/>
    <s v="Single"/>
    <n v="33419"/>
    <n v="0"/>
    <n v="1"/>
    <n v="1"/>
    <n v="0"/>
    <n v="-0.86233750391523567"/>
    <x v="1536"/>
  </r>
  <r>
    <n v="8416"/>
    <n v="6"/>
    <n v="6"/>
    <n v="15"/>
    <n v="10"/>
    <n v="5"/>
    <n v="2"/>
    <s v="Together"/>
    <n v="29009"/>
    <n v="1"/>
    <n v="0"/>
    <n v="0"/>
    <n v="1"/>
    <n v="-1.0663780926896378"/>
    <x v="1537"/>
  </r>
  <r>
    <n v="8418"/>
    <n v="7"/>
    <n v="10"/>
    <n v="17"/>
    <n v="8"/>
    <n v="6"/>
    <n v="13"/>
    <s v="Single"/>
    <n v="38741"/>
    <n v="1"/>
    <n v="1"/>
    <n v="1"/>
    <n v="0"/>
    <n v="-0.61610076616980081"/>
    <x v="1538"/>
  </r>
  <r>
    <n v="8420"/>
    <n v="7"/>
    <n v="4"/>
    <n v="13"/>
    <n v="15"/>
    <n v="8"/>
    <n v="17"/>
    <s v="Together"/>
    <n v="15315"/>
    <n v="0"/>
    <n v="0"/>
    <n v="0"/>
    <n v="1"/>
    <n v="-1.6999680751560009"/>
    <x v="1539"/>
  </r>
  <r>
    <n v="8430"/>
    <n v="9"/>
    <n v="0"/>
    <n v="6"/>
    <n v="3"/>
    <n v="1"/>
    <n v="3"/>
    <s v="Together"/>
    <n v="21994"/>
    <n v="0"/>
    <n v="1"/>
    <n v="0"/>
    <n v="1"/>
    <n v="-1.3909460587332727"/>
    <x v="1540"/>
  </r>
  <r>
    <n v="8439"/>
    <n v="734"/>
    <n v="26"/>
    <n v="70"/>
    <n v="11"/>
    <n v="44"/>
    <n v="17"/>
    <s v="Together"/>
    <n v="63404"/>
    <n v="0"/>
    <n v="2"/>
    <n v="0"/>
    <n v="1"/>
    <n v="0.52499969662908308"/>
    <x v="1541"/>
  </r>
  <r>
    <n v="8442"/>
    <n v="9"/>
    <n v="0"/>
    <n v="7"/>
    <n v="3"/>
    <n v="4"/>
    <n v="7"/>
    <s v="Together"/>
    <n v="19510"/>
    <n v="2"/>
    <n v="0"/>
    <n v="0"/>
    <n v="1"/>
    <n v="-1.5058750434306911"/>
    <x v="1542"/>
  </r>
  <r>
    <n v="8443"/>
    <n v="6"/>
    <n v="10"/>
    <n v="12"/>
    <n v="3"/>
    <n v="15"/>
    <n v="40"/>
    <s v="Single"/>
    <n v="24762"/>
    <n v="1"/>
    <n v="0"/>
    <n v="1"/>
    <n v="0"/>
    <n v="-1.2628770451896119"/>
    <x v="1543"/>
  </r>
  <r>
    <n v="8461"/>
    <n v="14"/>
    <n v="0"/>
    <n v="1"/>
    <n v="0"/>
    <n v="0"/>
    <n v="1"/>
    <s v="Single"/>
    <n v="46102"/>
    <n v="2"/>
    <n v="1"/>
    <n v="1"/>
    <n v="0"/>
    <n v="-0.27552417343320817"/>
    <x v="1544"/>
  </r>
  <r>
    <n v="8462"/>
    <n v="1"/>
    <n v="4"/>
    <n v="10"/>
    <n v="29"/>
    <n v="0"/>
    <n v="36"/>
    <s v="Together"/>
    <n v="24882"/>
    <n v="1"/>
    <n v="0"/>
    <n v="0"/>
    <n v="1"/>
    <n v="-1.2573249203250021"/>
    <x v="1545"/>
  </r>
  <r>
    <n v="8475"/>
    <n v="20"/>
    <n v="2"/>
    <n v="1582"/>
    <n v="1"/>
    <n v="2"/>
    <n v="1"/>
    <s v="Together"/>
    <n v="157243"/>
    <n v="0"/>
    <n v="1"/>
    <n v="0"/>
    <n v="1"/>
    <n v="4.8667150730465698"/>
    <x v="1546"/>
  </r>
  <r>
    <n v="8477"/>
    <n v="5"/>
    <n v="1"/>
    <n v="13"/>
    <n v="3"/>
    <n v="5"/>
    <n v="1"/>
    <s v="Single"/>
    <n v="26150"/>
    <n v="2"/>
    <n v="1"/>
    <n v="1"/>
    <n v="0"/>
    <n v="-1.198657467588961"/>
    <x v="1547"/>
  </r>
  <r>
    <n v="8486"/>
    <n v="284"/>
    <n v="0"/>
    <n v="52"/>
    <n v="8"/>
    <n v="3"/>
    <n v="20"/>
    <s v="Together"/>
    <n v="30538"/>
    <n v="1"/>
    <n v="0"/>
    <n v="0"/>
    <n v="1"/>
    <n v="-0.99563476837307063"/>
    <x v="1548"/>
  </r>
  <r>
    <n v="8492"/>
    <n v="795"/>
    <n v="0"/>
    <n v="545"/>
    <n v="95"/>
    <n v="58"/>
    <n v="0"/>
    <s v="Together"/>
    <n v="75437"/>
    <n v="0"/>
    <n v="0"/>
    <n v="0"/>
    <n v="1"/>
    <n v="1.0817390174278088"/>
    <x v="1549"/>
  </r>
  <r>
    <n v="8514"/>
    <n v="8"/>
    <n v="0"/>
    <n v="7"/>
    <n v="3"/>
    <n v="1"/>
    <n v="1"/>
    <s v="Together"/>
    <n v="29478"/>
    <n v="1"/>
    <n v="0"/>
    <n v="0"/>
    <n v="1"/>
    <n v="-1.0446785380104553"/>
    <x v="1550"/>
  </r>
  <r>
    <n v="8523"/>
    <n v="24"/>
    <n v="1"/>
    <n v="16"/>
    <n v="12"/>
    <n v="2"/>
    <n v="5"/>
    <s v="Together"/>
    <n v="19329"/>
    <n v="1"/>
    <n v="0"/>
    <n v="0"/>
    <n v="1"/>
    <n v="-1.5142494984348105"/>
    <x v="1551"/>
  </r>
  <r>
    <n v="8527"/>
    <n v="239"/>
    <n v="7"/>
    <n v="119"/>
    <n v="4"/>
    <n v="15"/>
    <n v="11"/>
    <s v="Together"/>
    <n v="65735"/>
    <n v="1"/>
    <n v="1"/>
    <n v="0"/>
    <n v="1"/>
    <n v="0.63284972212412416"/>
    <x v="1552"/>
  </r>
  <r>
    <n v="8534"/>
    <n v="615"/>
    <n v="28"/>
    <n v="259"/>
    <n v="12"/>
    <n v="48"/>
    <n v="30"/>
    <s v="Together"/>
    <n v="67433"/>
    <n v="0"/>
    <n v="2"/>
    <n v="0"/>
    <n v="1"/>
    <n v="0.71141228895834974"/>
    <x v="1553"/>
  </r>
  <r>
    <n v="8537"/>
    <n v="526"/>
    <n v="80"/>
    <n v="553"/>
    <n v="123"/>
    <n v="94"/>
    <n v="53"/>
    <s v="Single"/>
    <n v="72643"/>
    <n v="0"/>
    <n v="0"/>
    <n v="1"/>
    <n v="0"/>
    <n v="0.95246704349681566"/>
    <x v="1554"/>
  </r>
  <r>
    <n v="8541"/>
    <n v="8"/>
    <n v="4"/>
    <n v="10"/>
    <n v="6"/>
    <n v="7"/>
    <n v="6"/>
    <s v="Together"/>
    <n v="24683"/>
    <n v="1"/>
    <n v="0"/>
    <n v="0"/>
    <n v="1"/>
    <n v="-1.266532194058813"/>
    <x v="1555"/>
  </r>
  <r>
    <n v="8545"/>
    <n v="1296"/>
    <n v="17"/>
    <n v="311"/>
    <n v="45"/>
    <n v="69"/>
    <n v="51"/>
    <s v="Single"/>
    <n v="85683"/>
    <n v="0"/>
    <n v="0"/>
    <n v="1"/>
    <n v="0"/>
    <n v="1.5557979454510567"/>
    <x v="1556"/>
  </r>
  <r>
    <n v="8553"/>
    <n v="30"/>
    <n v="0"/>
    <n v="9"/>
    <n v="0"/>
    <n v="0"/>
    <n v="3"/>
    <s v="Together"/>
    <n v="44300"/>
    <n v="1"/>
    <n v="1"/>
    <n v="0"/>
    <n v="1"/>
    <n v="-0.35889858181676204"/>
    <x v="1557"/>
  </r>
  <r>
    <n v="8560"/>
    <n v="351"/>
    <n v="16"/>
    <n v="156"/>
    <n v="7"/>
    <n v="5"/>
    <n v="145"/>
    <s v="Single"/>
    <n v="48789"/>
    <n v="0"/>
    <n v="0"/>
    <n v="1"/>
    <n v="0"/>
    <n v="-0.15120284417315866"/>
    <x v="1558"/>
  </r>
  <r>
    <n v="8562"/>
    <n v="127"/>
    <n v="4"/>
    <n v="73"/>
    <n v="15"/>
    <n v="6"/>
    <n v="11"/>
    <s v="Together"/>
    <n v="54165"/>
    <n v="0"/>
    <n v="0"/>
    <n v="0"/>
    <n v="1"/>
    <n v="9.7532349761350515E-2"/>
    <x v="1559"/>
  </r>
  <r>
    <n v="8566"/>
    <n v="5"/>
    <n v="0"/>
    <n v="3"/>
    <n v="0"/>
    <n v="0"/>
    <n v="1"/>
    <s v="Together"/>
    <n v="32583"/>
    <n v="1"/>
    <n v="1"/>
    <n v="0"/>
    <n v="1"/>
    <n v="-0.90101730713868244"/>
    <x v="1560"/>
  </r>
  <r>
    <n v="8581"/>
    <n v="604"/>
    <n v="0"/>
    <n v="100"/>
    <n v="19"/>
    <n v="0"/>
    <n v="28"/>
    <s v="Together"/>
    <n v="49505"/>
    <n v="1"/>
    <n v="1"/>
    <n v="0"/>
    <n v="1"/>
    <n v="-0.11807516581432151"/>
    <x v="1561"/>
  </r>
  <r>
    <n v="8584"/>
    <n v="376"/>
    <n v="53"/>
    <n v="462"/>
    <n v="168"/>
    <n v="53"/>
    <n v="53"/>
    <s v="Together"/>
    <n v="85431"/>
    <n v="0"/>
    <n v="0"/>
    <n v="0"/>
    <n v="1"/>
    <n v="1.5441384832353766"/>
    <x v="1562"/>
  </r>
  <r>
    <n v="8594"/>
    <n v="112"/>
    <n v="0"/>
    <n v="6"/>
    <n v="2"/>
    <n v="1"/>
    <n v="14"/>
    <s v="Single"/>
    <n v="50520"/>
    <n v="0"/>
    <n v="1"/>
    <n v="1"/>
    <n v="0"/>
    <n v="-7.1113443001165483E-2"/>
    <x v="1563"/>
  </r>
  <r>
    <n v="8601"/>
    <n v="421"/>
    <n v="76"/>
    <n v="536"/>
    <n v="82"/>
    <n v="178"/>
    <n v="102"/>
    <s v="Together"/>
    <n v="80011"/>
    <n v="0"/>
    <n v="1"/>
    <n v="0"/>
    <n v="1"/>
    <n v="1.2933675101838438"/>
    <x v="1564"/>
  </r>
  <r>
    <n v="8602"/>
    <n v="412"/>
    <n v="172"/>
    <n v="153"/>
    <n v="150"/>
    <n v="105"/>
    <n v="57"/>
    <s v="Single"/>
    <n v="69932"/>
    <n v="0"/>
    <n v="1"/>
    <n v="1"/>
    <n v="0"/>
    <n v="0.82703528926384418"/>
    <x v="1565"/>
  </r>
  <r>
    <n v="8605"/>
    <n v="48"/>
    <n v="0"/>
    <n v="14"/>
    <n v="0"/>
    <n v="0"/>
    <n v="6"/>
    <s v="Together"/>
    <n v="46910"/>
    <n v="1"/>
    <n v="1"/>
    <n v="0"/>
    <n v="1"/>
    <n v="-0.23813986601150366"/>
    <x v="1566"/>
  </r>
  <r>
    <n v="8614"/>
    <n v="245"/>
    <n v="19"/>
    <n v="125"/>
    <n v="37"/>
    <n v="67"/>
    <n v="14"/>
    <s v="Single"/>
    <n v="65486"/>
    <n v="0"/>
    <n v="1"/>
    <n v="1"/>
    <n v="0"/>
    <n v="0.6213290630300593"/>
    <x v="1567"/>
  </r>
  <r>
    <n v="8624"/>
    <n v="183"/>
    <n v="33"/>
    <n v="493"/>
    <n v="59"/>
    <n v="103"/>
    <n v="57"/>
    <s v="Together"/>
    <n v="81320"/>
    <n v="0"/>
    <n v="0"/>
    <n v="0"/>
    <n v="1"/>
    <n v="1.3539319389152933"/>
    <x v="1568"/>
  </r>
  <r>
    <n v="8625"/>
    <n v="15"/>
    <n v="1"/>
    <n v="23"/>
    <n v="0"/>
    <n v="5"/>
    <n v="1"/>
    <s v="Together"/>
    <n v="17649"/>
    <n v="1"/>
    <n v="0"/>
    <n v="0"/>
    <n v="1"/>
    <n v="-1.5919792465393445"/>
    <x v="1569"/>
  </r>
  <r>
    <n v="8629"/>
    <n v="19"/>
    <n v="1"/>
    <n v="10"/>
    <n v="2"/>
    <n v="1"/>
    <n v="8"/>
    <s v="Single"/>
    <n v="46984"/>
    <n v="1"/>
    <n v="1"/>
    <n v="1"/>
    <n v="0"/>
    <n v="-0.23471605567832776"/>
    <x v="1570"/>
  </r>
  <r>
    <n v="8643"/>
    <n v="252"/>
    <n v="98"/>
    <n v="827"/>
    <n v="219"/>
    <n v="70"/>
    <n v="196"/>
    <s v="Together"/>
    <n v="69930"/>
    <n v="0"/>
    <n v="0"/>
    <n v="0"/>
    <n v="1"/>
    <n v="0.82694275384943405"/>
    <x v="1571"/>
  </r>
  <r>
    <n v="8650"/>
    <n v="5"/>
    <n v="6"/>
    <n v="10"/>
    <n v="6"/>
    <n v="5"/>
    <n v="10"/>
    <s v="Single"/>
    <n v="54162"/>
    <n v="1"/>
    <n v="1"/>
    <n v="1"/>
    <n v="0"/>
    <n v="9.7393546639735262E-2"/>
    <x v="1572"/>
  </r>
  <r>
    <n v="8659"/>
    <n v="750"/>
    <n v="71"/>
    <n v="174"/>
    <n v="13"/>
    <n v="10"/>
    <n v="20"/>
    <s v="Together"/>
    <n v="69805"/>
    <n v="0"/>
    <n v="1"/>
    <n v="0"/>
    <n v="1"/>
    <n v="0.8211592904487991"/>
    <x v="1573"/>
  </r>
  <r>
    <n v="8663"/>
    <n v="11"/>
    <n v="0"/>
    <n v="3"/>
    <n v="0"/>
    <n v="0"/>
    <n v="1"/>
    <s v="Single"/>
    <n v="39996"/>
    <n v="1"/>
    <n v="1"/>
    <n v="1"/>
    <n v="0"/>
    <n v="-0.55803479362742558"/>
    <x v="1574"/>
  </r>
  <r>
    <n v="8686"/>
    <n v="5"/>
    <n v="23"/>
    <n v="15"/>
    <n v="0"/>
    <n v="18"/>
    <n v="14"/>
    <s v="Together"/>
    <n v="23724"/>
    <n v="1"/>
    <n v="0"/>
    <n v="0"/>
    <n v="1"/>
    <n v="-1.3109029252684847"/>
    <x v="1575"/>
  </r>
  <r>
    <n v="8687"/>
    <n v="121"/>
    <n v="62"/>
    <n v="90"/>
    <n v="68"/>
    <n v="20"/>
    <n v="125"/>
    <s v="Together"/>
    <n v="53172"/>
    <n v="0"/>
    <n v="1"/>
    <n v="0"/>
    <n v="1"/>
    <n v="5.1588516506706233E-2"/>
    <x v="1576"/>
  </r>
  <r>
    <n v="8690"/>
    <n v="399"/>
    <n v="28"/>
    <n v="756"/>
    <n v="36"/>
    <n v="40"/>
    <n v="126"/>
    <s v="Together"/>
    <n v="86111"/>
    <n v="0"/>
    <n v="0"/>
    <n v="0"/>
    <n v="1"/>
    <n v="1.5756005241348308"/>
    <x v="1577"/>
  </r>
  <r>
    <n v="8692"/>
    <n v="90"/>
    <n v="17"/>
    <n v="97"/>
    <n v="15"/>
    <n v="6"/>
    <n v="15"/>
    <s v="Together"/>
    <n v="43462"/>
    <n v="1"/>
    <n v="1"/>
    <n v="0"/>
    <n v="1"/>
    <n v="-0.39767092045461894"/>
    <x v="1578"/>
  </r>
  <r>
    <n v="8700"/>
    <n v="7"/>
    <n v="7"/>
    <n v="14"/>
    <n v="7"/>
    <n v="16"/>
    <n v="15"/>
    <s v="Single"/>
    <n v="14906"/>
    <n v="0"/>
    <n v="0"/>
    <n v="1"/>
    <n v="0"/>
    <n v="-1.7188915674028786"/>
    <x v="1579"/>
  </r>
  <r>
    <n v="8707"/>
    <n v="565"/>
    <n v="42"/>
    <n v="548"/>
    <n v="64"/>
    <n v="83"/>
    <n v="99"/>
    <s v="Together"/>
    <n v="79456"/>
    <n v="0"/>
    <n v="0"/>
    <n v="0"/>
    <n v="1"/>
    <n v="1.2676889326850245"/>
    <x v="1580"/>
  </r>
  <r>
    <n v="8717"/>
    <n v="1149"/>
    <n v="71"/>
    <n v="449"/>
    <n v="69"/>
    <n v="71"/>
    <n v="26"/>
    <s v="Together"/>
    <n v="80427"/>
    <n v="0"/>
    <n v="1"/>
    <n v="0"/>
    <n v="1"/>
    <n v="1.3126148763811571"/>
    <x v="1581"/>
  </r>
  <r>
    <n v="8724"/>
    <n v="11"/>
    <n v="3"/>
    <n v="22"/>
    <n v="2"/>
    <n v="2"/>
    <n v="6"/>
    <s v="Single"/>
    <n v="28567"/>
    <n v="1"/>
    <n v="0"/>
    <n v="1"/>
    <n v="0"/>
    <n v="-1.086828419274283"/>
    <x v="1582"/>
  </r>
  <r>
    <n v="8726"/>
    <n v="77"/>
    <n v="8"/>
    <n v="44"/>
    <n v="10"/>
    <n v="10"/>
    <n v="25"/>
    <s v="Single"/>
    <n v="41713"/>
    <n v="1"/>
    <n v="1"/>
    <n v="1"/>
    <n v="0"/>
    <n v="-0.47859314035630357"/>
    <x v="1583"/>
  </r>
  <r>
    <n v="8732"/>
    <n v="1298"/>
    <n v="0"/>
    <n v="70"/>
    <n v="37"/>
    <n v="14"/>
    <n v="42"/>
    <s v="Single"/>
    <n v="67369"/>
    <n v="0"/>
    <n v="1"/>
    <n v="1"/>
    <n v="0"/>
    <n v="0.70845115569722461"/>
    <x v="1584"/>
  </r>
  <r>
    <n v="8737"/>
    <n v="29"/>
    <n v="1"/>
    <n v="9"/>
    <n v="2"/>
    <n v="0"/>
    <n v="2"/>
    <s v="Single"/>
    <n v="55563"/>
    <n v="0"/>
    <n v="1"/>
    <n v="1"/>
    <n v="0"/>
    <n v="0.16221460443405211"/>
    <x v="1585"/>
  </r>
  <r>
    <n v="8746"/>
    <n v="800"/>
    <n v="0"/>
    <n v="297"/>
    <n v="0"/>
    <n v="34"/>
    <n v="57"/>
    <s v="Together"/>
    <n v="75433"/>
    <n v="1"/>
    <n v="0"/>
    <n v="0"/>
    <n v="1"/>
    <n v="1.0815539465989883"/>
    <x v="1586"/>
  </r>
  <r>
    <n v="8749"/>
    <n v="20"/>
    <n v="2"/>
    <n v="9"/>
    <n v="4"/>
    <n v="6"/>
    <n v="20"/>
    <s v="Together"/>
    <n v="37235"/>
    <n v="1"/>
    <n v="0"/>
    <n v="0"/>
    <n v="1"/>
    <n v="-0.68577993322065101"/>
    <x v="1587"/>
  </r>
  <r>
    <n v="8754"/>
    <n v="14"/>
    <n v="0"/>
    <n v="3"/>
    <n v="0"/>
    <n v="0"/>
    <n v="3"/>
    <s v="Together"/>
    <n v="45068"/>
    <n v="0"/>
    <n v="1"/>
    <n v="0"/>
    <n v="1"/>
    <n v="-0.32336498268326069"/>
    <x v="1588"/>
  </r>
  <r>
    <n v="8755"/>
    <n v="482"/>
    <n v="34"/>
    <n v="471"/>
    <n v="119"/>
    <n v="68"/>
    <n v="22"/>
    <s v="Together"/>
    <n v="68657"/>
    <n v="0"/>
    <n v="0"/>
    <n v="0"/>
    <n v="1"/>
    <n v="0.7680439625773674"/>
    <x v="1589"/>
  </r>
  <r>
    <n v="8773"/>
    <n v="280"/>
    <n v="0"/>
    <n v="18"/>
    <n v="0"/>
    <n v="0"/>
    <n v="24"/>
    <s v="Together"/>
    <n v="57420"/>
    <n v="0"/>
    <n v="1"/>
    <n v="0"/>
    <n v="1"/>
    <n v="0.24813373671388536"/>
    <x v="1590"/>
  </r>
  <r>
    <n v="8779"/>
    <n v="56"/>
    <n v="4"/>
    <n v="76"/>
    <n v="17"/>
    <n v="1"/>
    <n v="18"/>
    <s v="Together"/>
    <n v="36145"/>
    <n v="1"/>
    <n v="0"/>
    <n v="0"/>
    <n v="1"/>
    <n v="-0.73621173407418805"/>
    <x v="1591"/>
  </r>
  <r>
    <n v="8783"/>
    <n v="296"/>
    <n v="13"/>
    <n v="104"/>
    <n v="11"/>
    <n v="13"/>
    <n v="17"/>
    <s v="Together"/>
    <n v="57045"/>
    <n v="0"/>
    <n v="1"/>
    <n v="0"/>
    <n v="1"/>
    <n v="0.23078334651198043"/>
    <x v="1592"/>
  </r>
  <r>
    <n v="8786"/>
    <n v="301"/>
    <n v="7"/>
    <n v="74"/>
    <n v="10"/>
    <n v="0"/>
    <n v="58"/>
    <s v="Together"/>
    <n v="62058"/>
    <n v="0"/>
    <n v="1"/>
    <n v="0"/>
    <n v="1"/>
    <n v="0.46272336273104564"/>
    <x v="1593"/>
  </r>
  <r>
    <n v="8789"/>
    <n v="35"/>
    <n v="40"/>
    <n v="111"/>
    <n v="36"/>
    <n v="40"/>
    <n v="12"/>
    <s v="Together"/>
    <n v="59060"/>
    <n v="1"/>
    <n v="0"/>
    <n v="0"/>
    <n v="1"/>
    <n v="0.32401277653021626"/>
    <x v="1594"/>
  </r>
  <r>
    <n v="8799"/>
    <n v="70"/>
    <n v="6"/>
    <n v="69"/>
    <n v="2"/>
    <n v="3"/>
    <n v="3"/>
    <s v="Together"/>
    <n v="38175"/>
    <n v="1"/>
    <n v="0"/>
    <n v="0"/>
    <n v="1"/>
    <n v="-0.642288288447876"/>
    <x v="1595"/>
  </r>
  <r>
    <n v="8805"/>
    <n v="283"/>
    <n v="10"/>
    <n v="38"/>
    <n v="0"/>
    <n v="13"/>
    <n v="27"/>
    <s v="Single"/>
    <n v="48904"/>
    <n v="0"/>
    <n v="1"/>
    <n v="1"/>
    <n v="0"/>
    <n v="-0.14588205784457448"/>
    <x v="1596"/>
  </r>
  <r>
    <n v="8812"/>
    <n v="12"/>
    <n v="3"/>
    <n v="8"/>
    <n v="8"/>
    <n v="0"/>
    <n v="17"/>
    <s v="Single"/>
    <n v="13533"/>
    <n v="1"/>
    <n v="0"/>
    <n v="1"/>
    <n v="0"/>
    <n v="-1.7824171293954532"/>
    <x v="1597"/>
  </r>
  <r>
    <n v="8825"/>
    <n v="230"/>
    <n v="14"/>
    <n v="156"/>
    <n v="82"/>
    <n v="24"/>
    <n v="58"/>
    <s v="Together"/>
    <n v="51195"/>
    <n v="1"/>
    <n v="1"/>
    <n v="0"/>
    <n v="1"/>
    <n v="-3.9882740637736593E-2"/>
    <x v="1598"/>
  </r>
  <r>
    <n v="8832"/>
    <n v="37"/>
    <n v="5"/>
    <n v="56"/>
    <n v="12"/>
    <n v="8"/>
    <n v="5"/>
    <s v="Together"/>
    <n v="37509"/>
    <n v="1"/>
    <n v="0"/>
    <n v="0"/>
    <n v="1"/>
    <n v="-0.67310258144645918"/>
    <x v="1599"/>
  </r>
  <r>
    <n v="8852"/>
    <n v="387"/>
    <n v="126"/>
    <n v="342"/>
    <n v="0"/>
    <n v="45"/>
    <n v="180"/>
    <s v="Together"/>
    <n v="61064"/>
    <n v="0"/>
    <n v="1"/>
    <n v="0"/>
    <n v="1"/>
    <n v="0.41673326176919628"/>
    <x v="1600"/>
  </r>
  <r>
    <n v="8858"/>
    <n v="516"/>
    <n v="0"/>
    <n v="21"/>
    <n v="0"/>
    <n v="0"/>
    <n v="5"/>
    <s v="Together"/>
    <n v="44325"/>
    <n v="0"/>
    <n v="1"/>
    <n v="0"/>
    <n v="1"/>
    <n v="-0.35774188913663502"/>
    <x v="1601"/>
  </r>
  <r>
    <n v="8870"/>
    <n v="75"/>
    <n v="12"/>
    <n v="141"/>
    <n v="43"/>
    <n v="39"/>
    <n v="187"/>
    <s v="Together"/>
    <n v="35196"/>
    <n v="1"/>
    <n v="0"/>
    <n v="0"/>
    <n v="1"/>
    <n v="-0.78011978821180883"/>
    <x v="1602"/>
  </r>
  <r>
    <n v="8876"/>
    <n v="132"/>
    <n v="0"/>
    <n v="16"/>
    <n v="0"/>
    <n v="0"/>
    <n v="4"/>
    <s v="Together"/>
    <n v="33629"/>
    <n v="1"/>
    <n v="1"/>
    <n v="0"/>
    <n v="1"/>
    <n v="-0.85262128540216886"/>
    <x v="1603"/>
  </r>
  <r>
    <n v="8890"/>
    <n v="155"/>
    <n v="7"/>
    <n v="80"/>
    <n v="13"/>
    <n v="7"/>
    <n v="10"/>
    <s v="Single"/>
    <n v="65808"/>
    <n v="1"/>
    <n v="1"/>
    <n v="1"/>
    <n v="0"/>
    <n v="0.63622726475009495"/>
    <x v="1604"/>
  </r>
  <r>
    <n v="8897"/>
    <n v="392"/>
    <n v="5"/>
    <n v="91"/>
    <n v="28"/>
    <n v="26"/>
    <n v="112"/>
    <s v="Single"/>
    <n v="42720"/>
    <n v="1"/>
    <n v="1"/>
    <n v="1"/>
    <n v="0"/>
    <n v="-0.43200155920078814"/>
    <x v="1605"/>
  </r>
  <r>
    <n v="8908"/>
    <n v="217"/>
    <n v="76"/>
    <n v="690"/>
    <n v="50"/>
    <n v="26"/>
    <n v="38"/>
    <s v="Together"/>
    <n v="87195"/>
    <n v="0"/>
    <n v="0"/>
    <n v="0"/>
    <n v="1"/>
    <n v="1.6257547187451373"/>
    <x v="1606"/>
  </r>
  <r>
    <n v="8910"/>
    <n v="194"/>
    <n v="2"/>
    <n v="56"/>
    <n v="0"/>
    <n v="0"/>
    <n v="0"/>
    <s v="Together"/>
    <n v="42586"/>
    <n v="1"/>
    <n v="1"/>
    <n v="0"/>
    <n v="1"/>
    <n v="-0.43820143196626887"/>
    <x v="1607"/>
  </r>
  <r>
    <n v="8911"/>
    <n v="201"/>
    <n v="53"/>
    <n v="172"/>
    <n v="116"/>
    <n v="77"/>
    <n v="83"/>
    <s v="Together"/>
    <n v="56320"/>
    <n v="0"/>
    <n v="1"/>
    <n v="0"/>
    <n v="1"/>
    <n v="0.19723925878829754"/>
    <x v="1608"/>
  </r>
  <r>
    <n v="8916"/>
    <n v="9"/>
    <n v="1"/>
    <n v="5"/>
    <n v="0"/>
    <n v="0"/>
    <n v="1"/>
    <s v="Single"/>
    <n v="36627"/>
    <n v="2"/>
    <n v="0"/>
    <n v="1"/>
    <n v="0"/>
    <n v="-0.71391069920133954"/>
    <x v="1609"/>
  </r>
  <r>
    <n v="8920"/>
    <n v="448"/>
    <n v="40"/>
    <n v="469"/>
    <n v="80"/>
    <n v="0"/>
    <n v="91"/>
    <s v="Single"/>
    <n v="59235"/>
    <n v="1"/>
    <n v="0"/>
    <n v="1"/>
    <n v="0"/>
    <n v="0.33210962529110527"/>
    <x v="1610"/>
  </r>
  <r>
    <n v="8923"/>
    <n v="514"/>
    <n v="22"/>
    <n v="732"/>
    <n v="42"/>
    <n v="198"/>
    <n v="79"/>
    <s v="Single"/>
    <n v="83917"/>
    <n v="0"/>
    <n v="0"/>
    <n v="1"/>
    <n v="0"/>
    <n v="1.4740891745268856"/>
    <x v="1611"/>
  </r>
  <r>
    <n v="8925"/>
    <n v="512"/>
    <n v="53"/>
    <n v="98"/>
    <n v="81"/>
    <n v="179"/>
    <n v="89"/>
    <s v="Together"/>
    <n v="70053"/>
    <n v="0"/>
    <n v="1"/>
    <n v="0"/>
    <n v="1"/>
    <n v="0.83263368183565889"/>
    <x v="1612"/>
  </r>
  <r>
    <n v="8931"/>
    <n v="812"/>
    <n v="99"/>
    <n v="431"/>
    <n v="237"/>
    <n v="149"/>
    <n v="33"/>
    <s v="Together"/>
    <n v="83033"/>
    <n v="1"/>
    <n v="0"/>
    <n v="0"/>
    <n v="1"/>
    <n v="1.433188521357595"/>
    <x v="1613"/>
  </r>
  <r>
    <n v="8932"/>
    <n v="960"/>
    <n v="28"/>
    <n v="183"/>
    <n v="220"/>
    <n v="70"/>
    <n v="70"/>
    <s v="Together"/>
    <n v="65176"/>
    <n v="0"/>
    <n v="1"/>
    <n v="0"/>
    <n v="1"/>
    <n v="0.6069860737964845"/>
    <x v="1614"/>
  </r>
  <r>
    <n v="8933"/>
    <n v="26"/>
    <n v="3"/>
    <n v="23"/>
    <n v="4"/>
    <n v="7"/>
    <n v="3"/>
    <s v="Together"/>
    <n v="32146"/>
    <n v="1"/>
    <n v="0"/>
    <n v="0"/>
    <n v="1"/>
    <n v="-0.92123629518730232"/>
    <x v="1615"/>
  </r>
  <r>
    <n v="8939"/>
    <n v="382"/>
    <n v="138"/>
    <n v="65"/>
    <n v="60"/>
    <n v="26"/>
    <n v="59"/>
    <s v="Single"/>
    <n v="61250"/>
    <n v="0"/>
    <n v="1"/>
    <n v="1"/>
    <n v="0"/>
    <n v="0.42533905530934113"/>
    <x v="1616"/>
  </r>
  <r>
    <n v="8945"/>
    <n v="171"/>
    <n v="0"/>
    <n v="11"/>
    <n v="0"/>
    <n v="1"/>
    <n v="20"/>
    <s v="Single"/>
    <n v="54137"/>
    <n v="0"/>
    <n v="1"/>
    <n v="1"/>
    <n v="0"/>
    <n v="9.6236853959608279E-2"/>
    <x v="1617"/>
  </r>
  <r>
    <n v="8952"/>
    <n v="397"/>
    <n v="46"/>
    <n v="288"/>
    <n v="20"/>
    <n v="38"/>
    <n v="70"/>
    <s v="Together"/>
    <n v="65569"/>
    <n v="0"/>
    <n v="1"/>
    <n v="0"/>
    <n v="1"/>
    <n v="0.62516928272808092"/>
    <x v="1618"/>
  </r>
  <r>
    <n v="8953"/>
    <n v="27"/>
    <n v="0"/>
    <n v="5"/>
    <n v="0"/>
    <n v="0"/>
    <n v="3"/>
    <s v="Single"/>
    <n v="35791"/>
    <n v="2"/>
    <n v="1"/>
    <n v="1"/>
    <n v="0"/>
    <n v="-0.75259050242478631"/>
    <x v="1619"/>
  </r>
  <r>
    <n v="8955"/>
    <n v="35"/>
    <n v="0"/>
    <n v="4"/>
    <n v="0"/>
    <n v="0"/>
    <n v="10"/>
    <s v="Together"/>
    <n v="40451"/>
    <n v="0"/>
    <n v="2"/>
    <n v="0"/>
    <n v="1"/>
    <n v="-0.53698298684911427"/>
    <x v="1620"/>
  </r>
  <r>
    <n v="8957"/>
    <n v="480"/>
    <n v="86"/>
    <n v="249"/>
    <n v="75"/>
    <n v="86"/>
    <n v="144"/>
    <s v="Single"/>
    <n v="64831"/>
    <n v="1"/>
    <n v="1"/>
    <n v="1"/>
    <n v="0"/>
    <n v="0.59102371481073201"/>
    <x v="1621"/>
  </r>
  <r>
    <n v="8962"/>
    <n v="26"/>
    <n v="0"/>
    <n v="8"/>
    <n v="0"/>
    <n v="0"/>
    <n v="3"/>
    <s v="Together"/>
    <n v="44319"/>
    <n v="1"/>
    <n v="1"/>
    <n v="0"/>
    <n v="1"/>
    <n v="-0.35801949537986549"/>
    <x v="1622"/>
  </r>
  <r>
    <n v="8969"/>
    <n v="548"/>
    <n v="31"/>
    <n v="422"/>
    <n v="0"/>
    <n v="112"/>
    <n v="28"/>
    <s v="Together"/>
    <n v="71855"/>
    <n v="0"/>
    <n v="1"/>
    <n v="0"/>
    <n v="1"/>
    <n v="0.9160080902192127"/>
    <x v="1623"/>
  </r>
  <r>
    <n v="8970"/>
    <n v="371"/>
    <n v="22"/>
    <n v="39"/>
    <n v="6"/>
    <n v="0"/>
    <n v="92"/>
    <s v="Together"/>
    <n v="62010"/>
    <n v="0"/>
    <n v="1"/>
    <n v="0"/>
    <n v="1"/>
    <n v="0.46050251278520177"/>
    <x v="1624"/>
  </r>
  <r>
    <n v="8975"/>
    <n v="14"/>
    <n v="3"/>
    <n v="21"/>
    <n v="2"/>
    <n v="1"/>
    <n v="28"/>
    <s v="Together"/>
    <n v="19514"/>
    <n v="1"/>
    <n v="1"/>
    <n v="0"/>
    <n v="1"/>
    <n v="-1.5056899726018707"/>
    <x v="1625"/>
  </r>
  <r>
    <n v="8977"/>
    <n v="1"/>
    <n v="3"/>
    <n v="4"/>
    <n v="2"/>
    <n v="3"/>
    <n v="11"/>
    <s v="Single"/>
    <n v="16581"/>
    <n v="0"/>
    <n v="0"/>
    <n v="1"/>
    <n v="0"/>
    <n v="-1.6413931578343699"/>
    <x v="1626"/>
  </r>
  <r>
    <n v="8985"/>
    <n v="806"/>
    <n v="80"/>
    <n v="161"/>
    <n v="120"/>
    <n v="11"/>
    <n v="33"/>
    <s v="Together"/>
    <n v="68316"/>
    <n v="0"/>
    <n v="1"/>
    <n v="0"/>
    <n v="1"/>
    <n v="0.75226667442043516"/>
    <x v="1627"/>
  </r>
  <r>
    <n v="9010"/>
    <n v="968"/>
    <n v="147"/>
    <n v="842"/>
    <n v="137"/>
    <n v="42"/>
    <n v="210"/>
    <s v="Together"/>
    <n v="83151"/>
    <n v="0"/>
    <n v="0"/>
    <n v="0"/>
    <n v="1"/>
    <n v="1.4386481108077944"/>
    <x v="1628"/>
  </r>
  <r>
    <n v="9014"/>
    <n v="39"/>
    <n v="1"/>
    <n v="16"/>
    <n v="2"/>
    <n v="0"/>
    <n v="3"/>
    <s v="Together"/>
    <n v="37085"/>
    <n v="1"/>
    <n v="1"/>
    <n v="0"/>
    <n v="1"/>
    <n v="-0.69272008930141304"/>
    <x v="1629"/>
  </r>
  <r>
    <n v="9029"/>
    <n v="707"/>
    <n v="44"/>
    <n v="603"/>
    <n v="95"/>
    <n v="58"/>
    <n v="29"/>
    <s v="Together"/>
    <n v="70116"/>
    <n v="0"/>
    <n v="0"/>
    <n v="0"/>
    <n v="1"/>
    <n v="0.83554854738957895"/>
    <x v="1630"/>
  </r>
  <r>
    <n v="9058"/>
    <n v="1060"/>
    <n v="21"/>
    <n v="530"/>
    <n v="32"/>
    <n v="0"/>
    <n v="224"/>
    <s v="Single"/>
    <n v="79800"/>
    <n v="0"/>
    <n v="0"/>
    <n v="1"/>
    <n v="0"/>
    <n v="1.2836050239635719"/>
    <x v="1631"/>
  </r>
  <r>
    <n v="9076"/>
    <n v="155"/>
    <n v="1"/>
    <n v="25"/>
    <n v="0"/>
    <n v="1"/>
    <n v="3"/>
    <s v="Together"/>
    <n v="30732"/>
    <n v="1"/>
    <n v="0"/>
    <n v="0"/>
    <n v="1"/>
    <n v="-0.98665883317528513"/>
    <x v="1632"/>
  </r>
  <r>
    <n v="9081"/>
    <n v="4"/>
    <n v="1"/>
    <n v="6"/>
    <n v="4"/>
    <n v="1"/>
    <n v="9"/>
    <s v="Single"/>
    <n v="20518"/>
    <n v="1"/>
    <n v="0"/>
    <n v="1"/>
    <n v="0"/>
    <n v="-1.4592371945679705"/>
    <x v="1633"/>
  </r>
  <r>
    <n v="9094"/>
    <n v="313"/>
    <n v="15"/>
    <n v="47"/>
    <n v="20"/>
    <n v="0"/>
    <n v="192"/>
    <s v="Together"/>
    <n v="62972"/>
    <n v="0"/>
    <n v="1"/>
    <n v="0"/>
    <n v="1"/>
    <n v="0.50501204711648862"/>
    <x v="1634"/>
  </r>
  <r>
    <n v="9097"/>
    <n v="244"/>
    <n v="8"/>
    <n v="32"/>
    <n v="7"/>
    <n v="2"/>
    <n v="50"/>
    <s v="Single"/>
    <n v="46086"/>
    <n v="0"/>
    <n v="1"/>
    <n v="1"/>
    <n v="0"/>
    <n v="-0.27626445674848943"/>
    <x v="1635"/>
  </r>
  <r>
    <n v="9119"/>
    <n v="208"/>
    <n v="17"/>
    <n v="76"/>
    <n v="36"/>
    <n v="17"/>
    <n v="38"/>
    <s v="Together"/>
    <n v="60905"/>
    <n v="0"/>
    <n v="1"/>
    <n v="0"/>
    <n v="1"/>
    <n v="0.40937669632358858"/>
    <x v="1636"/>
  </r>
  <r>
    <n v="9120"/>
    <n v="747"/>
    <n v="10"/>
    <n v="161"/>
    <n v="65"/>
    <n v="40"/>
    <n v="42"/>
    <s v="Single"/>
    <n v="66565"/>
    <n v="0"/>
    <n v="1"/>
    <n v="1"/>
    <n v="0"/>
    <n v="0.67125191910434046"/>
    <x v="1637"/>
  </r>
  <r>
    <n v="9135"/>
    <n v="13"/>
    <n v="2"/>
    <n v="21"/>
    <n v="4"/>
    <n v="0"/>
    <n v="24"/>
    <s v="Together"/>
    <n v="27203"/>
    <n v="1"/>
    <n v="1"/>
    <n v="0"/>
    <n v="1"/>
    <n v="-1.149937571902012"/>
    <x v="1638"/>
  </r>
  <r>
    <n v="9140"/>
    <n v="51"/>
    <n v="4"/>
    <n v="24"/>
    <n v="4"/>
    <n v="7"/>
    <n v="1"/>
    <s v="Together"/>
    <n v="50523"/>
    <n v="1"/>
    <n v="1"/>
    <n v="0"/>
    <n v="1"/>
    <n v="-7.0974639879550244E-2"/>
    <x v="1639"/>
  </r>
  <r>
    <n v="9145"/>
    <n v="604"/>
    <n v="26"/>
    <n v="470"/>
    <n v="123"/>
    <n v="161"/>
    <n v="94"/>
    <s v="Single"/>
    <n v="72504"/>
    <n v="0"/>
    <n v="1"/>
    <n v="1"/>
    <n v="0"/>
    <n v="0.94603583219530951"/>
    <x v="1640"/>
  </r>
  <r>
    <n v="9153"/>
    <n v="418"/>
    <n v="61"/>
    <n v="428"/>
    <n v="80"/>
    <n v="51"/>
    <n v="10"/>
    <s v="Together"/>
    <n v="59304"/>
    <n v="0"/>
    <n v="1"/>
    <n v="0"/>
    <n v="1"/>
    <n v="0.33530209708825576"/>
    <x v="1641"/>
  </r>
  <r>
    <n v="9166"/>
    <n v="387"/>
    <n v="84"/>
    <n v="141"/>
    <n v="73"/>
    <n v="35"/>
    <n v="162"/>
    <s v="Together"/>
    <n v="63967"/>
    <n v="0"/>
    <n v="1"/>
    <n v="0"/>
    <n v="1"/>
    <n v="0.55104841578554298"/>
    <x v="1642"/>
  </r>
  <r>
    <n v="9167"/>
    <n v="465"/>
    <n v="71"/>
    <n v="250"/>
    <n v="93"/>
    <n v="35"/>
    <n v="62"/>
    <s v="Together"/>
    <n v="67131"/>
    <n v="0"/>
    <n v="1"/>
    <n v="0"/>
    <n v="1"/>
    <n v="0.69743944138241565"/>
    <x v="1643"/>
  </r>
  <r>
    <n v="9185"/>
    <n v="452"/>
    <n v="20"/>
    <n v="514"/>
    <n v="13"/>
    <n v="30"/>
    <n v="0"/>
    <s v="Single"/>
    <n v="69759"/>
    <n v="0"/>
    <n v="0"/>
    <n v="1"/>
    <n v="0"/>
    <n v="0.8190309759173654"/>
    <x v="1644"/>
  </r>
  <r>
    <n v="9197"/>
    <n v="32"/>
    <n v="0"/>
    <n v="5"/>
    <n v="2"/>
    <n v="0"/>
    <n v="8"/>
    <s v="Together"/>
    <n v="39722"/>
    <n v="0"/>
    <n v="1"/>
    <n v="0"/>
    <n v="1"/>
    <n v="-0.57071214540161752"/>
    <x v="1645"/>
  </r>
  <r>
    <n v="9204"/>
    <n v="371"/>
    <n v="159"/>
    <n v="194"/>
    <n v="58"/>
    <n v="106"/>
    <n v="141"/>
    <s v="Single"/>
    <n v="66731"/>
    <n v="0"/>
    <n v="1"/>
    <n v="1"/>
    <n v="0"/>
    <n v="0.67893235850038369"/>
    <x v="1646"/>
  </r>
  <r>
    <n v="9206"/>
    <n v="491"/>
    <n v="48"/>
    <n v="231"/>
    <n v="112"/>
    <n v="105"/>
    <n v="134"/>
    <s v="Together"/>
    <n v="77382"/>
    <n v="0"/>
    <n v="1"/>
    <n v="0"/>
    <n v="1"/>
    <n v="1.1717297079416888"/>
    <x v="1647"/>
  </r>
  <r>
    <n v="9212"/>
    <n v="1205"/>
    <n v="0"/>
    <n v="235"/>
    <n v="19"/>
    <n v="14"/>
    <n v="205"/>
    <s v="Together"/>
    <n v="72828"/>
    <n v="0"/>
    <n v="1"/>
    <n v="0"/>
    <n v="1"/>
    <n v="0.96102656932975539"/>
    <x v="1648"/>
  </r>
  <r>
    <n v="9213"/>
    <n v="4"/>
    <n v="1"/>
    <n v="5"/>
    <n v="2"/>
    <n v="0"/>
    <n v="3"/>
    <s v="Single"/>
    <n v="31880"/>
    <n v="1"/>
    <n v="0"/>
    <n v="1"/>
    <n v="0"/>
    <n v="-0.93354350530385355"/>
    <x v="1649"/>
  </r>
  <r>
    <n v="9214"/>
    <n v="179"/>
    <n v="2"/>
    <n v="64"/>
    <n v="38"/>
    <n v="17"/>
    <n v="58"/>
    <s v="Together"/>
    <n v="42691"/>
    <n v="0"/>
    <n v="0"/>
    <n v="0"/>
    <n v="1"/>
    <n v="-0.43334332270973547"/>
    <x v="1650"/>
  </r>
  <r>
    <n v="9215"/>
    <n v="378"/>
    <n v="0"/>
    <n v="101"/>
    <n v="0"/>
    <n v="0"/>
    <n v="72"/>
    <s v="Together"/>
    <n v="43974"/>
    <n v="1"/>
    <n v="0"/>
    <n v="0"/>
    <n v="1"/>
    <n v="-0.37398185436561804"/>
    <x v="1651"/>
  </r>
  <r>
    <n v="9216"/>
    <n v="23"/>
    <n v="2"/>
    <n v="11"/>
    <n v="3"/>
    <n v="1"/>
    <n v="4"/>
    <s v="Together"/>
    <n v="35788"/>
    <n v="1"/>
    <n v="1"/>
    <n v="0"/>
    <n v="1"/>
    <n v="-0.75272930554640161"/>
    <x v="1652"/>
  </r>
  <r>
    <n v="9220"/>
    <n v="576"/>
    <n v="172"/>
    <n v="961"/>
    <n v="125"/>
    <n v="115"/>
    <n v="19"/>
    <s v="Single"/>
    <n v="91700"/>
    <n v="0"/>
    <n v="0"/>
    <n v="1"/>
    <n v="0"/>
    <n v="1.834190739704022"/>
    <x v="1653"/>
  </r>
  <r>
    <n v="9224"/>
    <n v="825"/>
    <n v="8"/>
    <n v="53"/>
    <n v="11"/>
    <n v="0"/>
    <n v="242"/>
    <s v="Single"/>
    <n v="55260"/>
    <n v="0"/>
    <n v="1"/>
    <n v="1"/>
    <n v="0"/>
    <n v="0.14819548915091293"/>
    <x v="1654"/>
  </r>
  <r>
    <n v="9239"/>
    <n v="92"/>
    <n v="4"/>
    <n v="18"/>
    <n v="3"/>
    <n v="3"/>
    <n v="6"/>
    <s v="Together"/>
    <n v="61923"/>
    <n v="0"/>
    <n v="2"/>
    <n v="0"/>
    <n v="1"/>
    <n v="0.45647722225835985"/>
    <x v="1655"/>
  </r>
  <r>
    <n v="9240"/>
    <n v="458"/>
    <n v="0"/>
    <n v="24"/>
    <n v="6"/>
    <n v="4"/>
    <n v="34"/>
    <s v="Single"/>
    <n v="60504"/>
    <n v="0"/>
    <n v="1"/>
    <n v="1"/>
    <n v="0"/>
    <n v="0.39082334573435157"/>
    <x v="1656"/>
  </r>
  <r>
    <n v="9242"/>
    <n v="836"/>
    <n v="185"/>
    <n v="575"/>
    <n v="24"/>
    <n v="25"/>
    <n v="77"/>
    <s v="Single"/>
    <n v="64509"/>
    <n v="0"/>
    <n v="0"/>
    <n v="1"/>
    <n v="0"/>
    <n v="0.57612551309069626"/>
    <x v="1657"/>
  </r>
  <r>
    <n v="9246"/>
    <n v="171"/>
    <n v="3"/>
    <n v="129"/>
    <n v="26"/>
    <n v="24"/>
    <n v="62"/>
    <s v="Together"/>
    <n v="40101"/>
    <n v="1"/>
    <n v="0"/>
    <n v="0"/>
    <n v="1"/>
    <n v="-0.55317668437089229"/>
    <x v="1658"/>
  </r>
  <r>
    <n v="9256"/>
    <n v="493"/>
    <n v="26"/>
    <n v="206"/>
    <n v="116"/>
    <n v="80"/>
    <n v="80"/>
    <s v="Single"/>
    <n v="58350"/>
    <n v="0"/>
    <n v="1"/>
    <n v="1"/>
    <n v="0"/>
    <n v="0.29116270441460962"/>
    <x v="1659"/>
  </r>
  <r>
    <n v="9260"/>
    <n v="1349"/>
    <n v="16"/>
    <n v="249"/>
    <n v="43"/>
    <n v="16"/>
    <n v="33"/>
    <s v="Together"/>
    <n v="70356"/>
    <n v="0"/>
    <n v="0"/>
    <n v="0"/>
    <n v="1"/>
    <n v="0.84665279711879804"/>
    <x v="1660"/>
  </r>
  <r>
    <n v="9262"/>
    <n v="20"/>
    <n v="6"/>
    <n v="5"/>
    <n v="0"/>
    <n v="9"/>
    <n v="12"/>
    <s v="Together"/>
    <n v="32414"/>
    <n v="0"/>
    <n v="0"/>
    <n v="0"/>
    <n v="1"/>
    <n v="-0.90883654965634086"/>
    <x v="1661"/>
  </r>
  <r>
    <n v="9264"/>
    <n v="423"/>
    <n v="42"/>
    <n v="706"/>
    <n v="73"/>
    <n v="197"/>
    <n v="197"/>
    <s v="Together"/>
    <n v="79529"/>
    <n v="0"/>
    <n v="0"/>
    <n v="0"/>
    <n v="1"/>
    <n v="1.2710664753109953"/>
    <x v="1662"/>
  </r>
  <r>
    <n v="9265"/>
    <n v="925"/>
    <n v="64"/>
    <n v="179"/>
    <n v="133"/>
    <n v="12"/>
    <n v="77"/>
    <s v="Together"/>
    <n v="75027"/>
    <n v="0"/>
    <n v="1"/>
    <n v="0"/>
    <n v="1"/>
    <n v="1.062769257473726"/>
    <x v="1663"/>
  </r>
  <r>
    <n v="9274"/>
    <n v="525"/>
    <n v="147"/>
    <n v="112"/>
    <n v="219"/>
    <n v="147"/>
    <n v="63"/>
    <s v="Together"/>
    <n v="80950"/>
    <n v="0"/>
    <n v="0"/>
    <n v="0"/>
    <n v="1"/>
    <n v="1.3368128872494138"/>
    <x v="1664"/>
  </r>
  <r>
    <n v="9283"/>
    <n v="8"/>
    <n v="1"/>
    <n v="7"/>
    <n v="2"/>
    <n v="0"/>
    <n v="0"/>
    <s v="Single"/>
    <n v="60199"/>
    <n v="1"/>
    <n v="2"/>
    <n v="1"/>
    <n v="0"/>
    <n v="0.37671169503680219"/>
    <x v="1665"/>
  </r>
  <r>
    <n v="9284"/>
    <n v="620"/>
    <n v="16"/>
    <n v="165"/>
    <n v="0"/>
    <n v="24"/>
    <n v="82"/>
    <s v="Together"/>
    <n v="53977"/>
    <n v="0"/>
    <n v="1"/>
    <n v="0"/>
    <n v="1"/>
    <n v="8.8834020806795505E-2"/>
    <x v="1666"/>
  </r>
  <r>
    <n v="9286"/>
    <n v="407"/>
    <n v="28"/>
    <n v="100"/>
    <n v="120"/>
    <n v="74"/>
    <n v="18"/>
    <s v="Together"/>
    <n v="83151"/>
    <n v="0"/>
    <n v="0"/>
    <n v="0"/>
    <n v="1"/>
    <n v="1.4386481108077944"/>
    <x v="1628"/>
  </r>
  <r>
    <n v="9289"/>
    <n v="29"/>
    <n v="1"/>
    <n v="17"/>
    <n v="0"/>
    <n v="3"/>
    <n v="13"/>
    <s v="Together"/>
    <n v="36781"/>
    <n v="1"/>
    <n v="0"/>
    <n v="0"/>
    <n v="1"/>
    <n v="-0.70678547229175726"/>
    <x v="1667"/>
  </r>
  <r>
    <n v="9291"/>
    <n v="8"/>
    <n v="2"/>
    <n v="4"/>
    <n v="0"/>
    <n v="0"/>
    <n v="1"/>
    <s v="Together"/>
    <n v="34242"/>
    <n v="0"/>
    <n v="1"/>
    <n v="0"/>
    <n v="1"/>
    <n v="-0.82425918088545502"/>
    <x v="1668"/>
  </r>
  <r>
    <n v="9292"/>
    <n v="324"/>
    <n v="132"/>
    <n v="693"/>
    <n v="27"/>
    <n v="118"/>
    <n v="88"/>
    <s v="Together"/>
    <n v="81795"/>
    <n v="0"/>
    <n v="0"/>
    <n v="0"/>
    <n v="1"/>
    <n v="1.3759090998377062"/>
    <x v="1669"/>
  </r>
  <r>
    <n v="9298"/>
    <n v="1252"/>
    <n v="0"/>
    <n v="465"/>
    <n v="46"/>
    <n v="35"/>
    <n v="0"/>
    <s v="Together"/>
    <n v="81574"/>
    <n v="0"/>
    <n v="0"/>
    <n v="0"/>
    <n v="1"/>
    <n v="1.3656839365453837"/>
    <x v="1670"/>
  </r>
  <r>
    <n v="9303"/>
    <n v="12"/>
    <n v="4"/>
    <n v="7"/>
    <n v="1"/>
    <n v="3"/>
    <n v="5"/>
    <s v="Together"/>
    <n v="5305"/>
    <n v="0"/>
    <n v="1"/>
    <n v="0"/>
    <n v="1"/>
    <n v="-2.1631078242788502"/>
    <x v="1671"/>
  </r>
  <r>
    <n v="9305"/>
    <n v="311"/>
    <n v="26"/>
    <n v="640"/>
    <n v="180"/>
    <n v="37"/>
    <n v="121"/>
    <s v="Single"/>
    <n v="79689"/>
    <n v="0"/>
    <n v="0"/>
    <n v="1"/>
    <n v="0"/>
    <n v="1.2784693084638081"/>
    <x v="1672"/>
  </r>
  <r>
    <n v="9316"/>
    <n v="2"/>
    <n v="0"/>
    <n v="7"/>
    <n v="3"/>
    <n v="7"/>
    <n v="10"/>
    <s v="Together"/>
    <n v="13084"/>
    <n v="0"/>
    <n v="0"/>
    <n v="0"/>
    <n v="1"/>
    <n v="-1.803191329930534"/>
    <x v="1673"/>
  </r>
  <r>
    <n v="9336"/>
    <n v="512"/>
    <n v="0"/>
    <n v="83"/>
    <n v="0"/>
    <n v="0"/>
    <n v="41"/>
    <s v="Single"/>
    <n v="62187"/>
    <n v="0"/>
    <n v="1"/>
    <n v="1"/>
    <n v="0"/>
    <n v="0.4686918969605009"/>
    <x v="1674"/>
  </r>
  <r>
    <n v="9347"/>
    <n v="31"/>
    <n v="0"/>
    <n v="7"/>
    <n v="2"/>
    <n v="0"/>
    <n v="6"/>
    <s v="Together"/>
    <n v="50943"/>
    <n v="0"/>
    <n v="1"/>
    <n v="0"/>
    <n v="1"/>
    <n v="-5.1542202853416708E-2"/>
    <x v="1675"/>
  </r>
  <r>
    <n v="9349"/>
    <n v="693"/>
    <n v="21"/>
    <n v="118"/>
    <n v="110"/>
    <n v="147"/>
    <n v="42"/>
    <s v="Together"/>
    <n v="92533"/>
    <n v="0"/>
    <n v="0"/>
    <n v="0"/>
    <n v="1"/>
    <n v="1.8727317398058534"/>
    <x v="1676"/>
  </r>
  <r>
    <n v="9353"/>
    <n v="515"/>
    <n v="47"/>
    <n v="267"/>
    <n v="62"/>
    <n v="66"/>
    <n v="38"/>
    <s v="Single"/>
    <n v="62450"/>
    <n v="0"/>
    <n v="1"/>
    <n v="1"/>
    <n v="0"/>
    <n v="0.48086030395543689"/>
    <x v="1677"/>
  </r>
  <r>
    <n v="9360"/>
    <n v="86"/>
    <n v="2"/>
    <n v="73"/>
    <n v="69"/>
    <n v="38"/>
    <n v="48"/>
    <s v="Together"/>
    <n v="37040"/>
    <n v="0"/>
    <n v="0"/>
    <n v="0"/>
    <n v="1"/>
    <n v="-0.69480213612564157"/>
    <x v="1678"/>
  </r>
  <r>
    <n v="9362"/>
    <n v="492"/>
    <n v="5"/>
    <n v="32"/>
    <n v="13"/>
    <n v="5"/>
    <n v="21"/>
    <s v="Single"/>
    <n v="69263"/>
    <n v="0"/>
    <n v="1"/>
    <n v="1"/>
    <n v="0"/>
    <n v="0.79608219314364581"/>
    <x v="1679"/>
  </r>
  <r>
    <n v="9365"/>
    <n v="1048"/>
    <n v="0"/>
    <n v="217"/>
    <n v="0"/>
    <n v="0"/>
    <n v="12"/>
    <s v="Single"/>
    <n v="60000"/>
    <n v="0"/>
    <n v="1"/>
    <n v="1"/>
    <n v="0"/>
    <n v="0.36750442130299132"/>
    <x v="1680"/>
  </r>
  <r>
    <n v="9369"/>
    <n v="688"/>
    <n v="14"/>
    <n v="309"/>
    <n v="201"/>
    <n v="24"/>
    <n v="38"/>
    <s v="Single"/>
    <n v="88194"/>
    <n v="0"/>
    <n v="1"/>
    <n v="1"/>
    <n v="0"/>
    <n v="1.6719761582430122"/>
    <x v="1681"/>
  </r>
  <r>
    <n v="9370"/>
    <n v="562"/>
    <n v="81"/>
    <n v="276"/>
    <n v="80"/>
    <n v="40"/>
    <n v="81"/>
    <s v="Together"/>
    <n v="65846"/>
    <n v="0"/>
    <n v="0"/>
    <n v="0"/>
    <n v="1"/>
    <n v="0.63798543762388804"/>
    <x v="1682"/>
  </r>
  <r>
    <n v="9381"/>
    <n v="328"/>
    <n v="9"/>
    <n v="124"/>
    <n v="12"/>
    <n v="24"/>
    <n v="109"/>
    <s v="Together"/>
    <n v="66373"/>
    <n v="1"/>
    <n v="1"/>
    <n v="0"/>
    <n v="1"/>
    <n v="0.66236851932096508"/>
    <x v="1683"/>
  </r>
  <r>
    <n v="9386"/>
    <n v="274"/>
    <n v="0"/>
    <n v="21"/>
    <n v="4"/>
    <n v="6"/>
    <n v="15"/>
    <s v="Together"/>
    <n v="50127"/>
    <n v="0"/>
    <n v="1"/>
    <n v="0"/>
    <n v="1"/>
    <n v="-8.9296651932761845E-2"/>
    <x v="1684"/>
  </r>
  <r>
    <n v="9392"/>
    <n v="4"/>
    <n v="1"/>
    <n v="11"/>
    <n v="0"/>
    <n v="0"/>
    <n v="1"/>
    <s v="Single"/>
    <n v="26954"/>
    <n v="1"/>
    <n v="0"/>
    <n v="1"/>
    <n v="0"/>
    <n v="-1.1614582309960768"/>
    <x v="1685"/>
  </r>
  <r>
    <n v="9400"/>
    <n v="630"/>
    <n v="26"/>
    <n v="611"/>
    <n v="44"/>
    <n v="18"/>
    <n v="54"/>
    <s v="Single"/>
    <n v="85485"/>
    <n v="0"/>
    <n v="0"/>
    <n v="1"/>
    <n v="0"/>
    <n v="1.5466369394244508"/>
    <x v="1686"/>
  </r>
  <r>
    <n v="9405"/>
    <n v="84"/>
    <n v="3"/>
    <n v="61"/>
    <n v="2"/>
    <n v="1"/>
    <n v="21"/>
    <s v="Together"/>
    <n v="52869"/>
    <n v="1"/>
    <n v="1"/>
    <n v="0"/>
    <n v="1"/>
    <n v="3.7569401223567049E-2"/>
    <x v="1687"/>
  </r>
  <r>
    <n v="9422"/>
    <n v="36"/>
    <n v="2"/>
    <n v="42"/>
    <n v="20"/>
    <n v="21"/>
    <n v="10"/>
    <s v="Together"/>
    <n v="38360"/>
    <n v="1"/>
    <n v="0"/>
    <n v="0"/>
    <n v="1"/>
    <n v="-0.63372876261493627"/>
    <x v="1688"/>
  </r>
  <r>
    <n v="9423"/>
    <n v="13"/>
    <n v="3"/>
    <n v="17"/>
    <n v="7"/>
    <n v="3"/>
    <n v="3"/>
    <s v="Together"/>
    <n v="32765"/>
    <n v="1"/>
    <n v="0"/>
    <n v="0"/>
    <n v="1"/>
    <n v="-0.8925965844273579"/>
    <x v="1689"/>
  </r>
  <r>
    <n v="9426"/>
    <n v="691"/>
    <n v="0"/>
    <n v="69"/>
    <n v="10"/>
    <n v="0"/>
    <n v="130"/>
    <s v="Single"/>
    <n v="58308"/>
    <n v="0"/>
    <n v="1"/>
    <n v="1"/>
    <n v="0"/>
    <n v="0.28921946071199622"/>
    <x v="1690"/>
  </r>
  <r>
    <n v="9449"/>
    <n v="415"/>
    <n v="5"/>
    <n v="124"/>
    <n v="15"/>
    <n v="35"/>
    <n v="11"/>
    <s v="Single"/>
    <n v="79761"/>
    <n v="0"/>
    <n v="1"/>
    <n v="1"/>
    <n v="0"/>
    <n v="1.2818005833825739"/>
    <x v="1691"/>
  </r>
  <r>
    <n v="9451"/>
    <n v="811"/>
    <n v="76"/>
    <n v="428"/>
    <n v="99"/>
    <n v="137"/>
    <n v="107"/>
    <s v="Together"/>
    <n v="73538"/>
    <n v="0"/>
    <n v="1"/>
    <n v="0"/>
    <n v="1"/>
    <n v="0.99387664144536203"/>
    <x v="1692"/>
  </r>
  <r>
    <n v="9463"/>
    <n v="931"/>
    <n v="56"/>
    <n v="253"/>
    <n v="91"/>
    <n v="98"/>
    <n v="14"/>
    <s v="Together"/>
    <n v="71706"/>
    <n v="0"/>
    <n v="1"/>
    <n v="0"/>
    <n v="1"/>
    <n v="0.90911420184565583"/>
    <x v="1693"/>
  </r>
  <r>
    <n v="9467"/>
    <n v="3"/>
    <n v="2"/>
    <n v="10"/>
    <n v="3"/>
    <n v="0"/>
    <n v="2"/>
    <s v="Single"/>
    <n v="34738"/>
    <n v="1"/>
    <n v="0"/>
    <n v="1"/>
    <n v="0"/>
    <n v="-0.80131039811173543"/>
    <x v="1694"/>
  </r>
  <r>
    <n v="9478"/>
    <n v="91"/>
    <n v="64"/>
    <n v="128"/>
    <n v="65"/>
    <n v="3"/>
    <n v="50"/>
    <s v="Single"/>
    <n v="66503"/>
    <n v="1"/>
    <n v="0"/>
    <n v="1"/>
    <n v="0"/>
    <n v="0.66838332125762545"/>
    <x v="1695"/>
  </r>
  <r>
    <n v="9481"/>
    <n v="9"/>
    <n v="9"/>
    <n v="11"/>
    <n v="13"/>
    <n v="10"/>
    <n v="16"/>
    <s v="Together"/>
    <n v="17148"/>
    <n v="1"/>
    <n v="0"/>
    <n v="0"/>
    <n v="1"/>
    <n v="-1.6151593678490896"/>
    <x v="1696"/>
  </r>
  <r>
    <n v="9483"/>
    <n v="290"/>
    <n v="59"/>
    <n v="177"/>
    <n v="77"/>
    <n v="5"/>
    <n v="29"/>
    <s v="Together"/>
    <n v="57957"/>
    <n v="0"/>
    <n v="1"/>
    <n v="0"/>
    <n v="1"/>
    <n v="0.27297949548301326"/>
    <x v="1697"/>
  </r>
  <r>
    <n v="9485"/>
    <n v="102"/>
    <n v="9"/>
    <n v="49"/>
    <n v="24"/>
    <n v="3"/>
    <n v="12"/>
    <s v="Together"/>
    <n v="45921"/>
    <n v="0"/>
    <n v="0"/>
    <n v="0"/>
    <n v="1"/>
    <n v="-0.2838986284373276"/>
    <x v="1698"/>
  </r>
  <r>
    <n v="9491"/>
    <n v="14"/>
    <n v="1"/>
    <n v="21"/>
    <n v="2"/>
    <n v="3"/>
    <n v="25"/>
    <s v="Together"/>
    <n v="23976"/>
    <n v="1"/>
    <n v="0"/>
    <n v="0"/>
    <n v="1"/>
    <n v="-1.2992434630528045"/>
    <x v="1699"/>
  </r>
  <r>
    <n v="9493"/>
    <n v="840"/>
    <n v="53"/>
    <n v="804"/>
    <n v="23"/>
    <n v="71"/>
    <n v="17"/>
    <s v="Single"/>
    <n v="76412"/>
    <n v="0"/>
    <n v="0"/>
    <n v="1"/>
    <n v="0"/>
    <n v="1.1268500319527615"/>
    <x v="1700"/>
  </r>
  <r>
    <n v="9499"/>
    <n v="1279"/>
    <n v="15"/>
    <n v="287"/>
    <n v="20"/>
    <n v="0"/>
    <n v="15"/>
    <s v="Together"/>
    <n v="93404"/>
    <n v="1"/>
    <n v="2"/>
    <n v="0"/>
    <n v="1"/>
    <n v="1.913030912781478"/>
    <x v="1701"/>
  </r>
  <r>
    <n v="9500"/>
    <n v="221"/>
    <n v="104"/>
    <n v="169"/>
    <n v="102"/>
    <n v="78"/>
    <n v="84"/>
    <s v="Together"/>
    <n v="58113"/>
    <n v="0"/>
    <n v="1"/>
    <n v="0"/>
    <n v="1"/>
    <n v="0.28019725780700566"/>
    <x v="1702"/>
  </r>
  <r>
    <n v="9503"/>
    <n v="39"/>
    <n v="33"/>
    <n v="130"/>
    <n v="41"/>
    <n v="26"/>
    <n v="44"/>
    <s v="Single"/>
    <n v="28071"/>
    <n v="0"/>
    <n v="0"/>
    <n v="1"/>
    <n v="0"/>
    <n v="-1.1097772020480026"/>
    <x v="1703"/>
  </r>
  <r>
    <n v="9504"/>
    <n v="179"/>
    <n v="28"/>
    <n v="520"/>
    <n v="111"/>
    <n v="123"/>
    <n v="47"/>
    <s v="Together"/>
    <n v="81698"/>
    <n v="0"/>
    <n v="0"/>
    <n v="0"/>
    <n v="1"/>
    <n v="1.3714211322388135"/>
    <x v="1704"/>
  </r>
  <r>
    <n v="9507"/>
    <n v="261"/>
    <n v="23"/>
    <n v="73"/>
    <n v="4"/>
    <n v="23"/>
    <n v="50"/>
    <s v="Together"/>
    <n v="40794"/>
    <n v="0"/>
    <n v="1"/>
    <n v="0"/>
    <n v="1"/>
    <n v="-0.52111316327777191"/>
    <x v="1705"/>
  </r>
  <r>
    <n v="9516"/>
    <n v="620"/>
    <n v="54"/>
    <n v="239"/>
    <n v="99"/>
    <n v="98"/>
    <n v="119"/>
    <s v="Single"/>
    <n v="49118"/>
    <n v="0"/>
    <n v="0"/>
    <n v="1"/>
    <n v="0"/>
    <n v="-0.13598076850268739"/>
    <x v="1706"/>
  </r>
  <r>
    <n v="9523"/>
    <n v="5"/>
    <n v="0"/>
    <n v="8"/>
    <n v="2"/>
    <n v="0"/>
    <n v="0"/>
    <s v="Together"/>
    <n v="40479"/>
    <n v="1"/>
    <n v="0"/>
    <n v="0"/>
    <n v="1"/>
    <n v="-0.53568749104737201"/>
    <x v="1707"/>
  </r>
  <r>
    <n v="9529"/>
    <n v="559"/>
    <n v="153"/>
    <n v="503"/>
    <n v="218"/>
    <n v="13"/>
    <n v="181"/>
    <s v="Together"/>
    <n v="73687"/>
    <n v="0"/>
    <n v="0"/>
    <n v="0"/>
    <n v="1"/>
    <n v="1.0007705298189189"/>
    <x v="1708"/>
  </r>
  <r>
    <n v="9530"/>
    <n v="5"/>
    <n v="3"/>
    <n v="4"/>
    <n v="4"/>
    <n v="1"/>
    <n v="0"/>
    <s v="Together"/>
    <n v="24645"/>
    <n v="1"/>
    <n v="0"/>
    <n v="0"/>
    <n v="1"/>
    <n v="-1.2682903669326062"/>
    <x v="1709"/>
  </r>
  <r>
    <n v="9553"/>
    <n v="0"/>
    <n v="2"/>
    <n v="3"/>
    <n v="4"/>
    <n v="1"/>
    <n v="5"/>
    <s v="Together"/>
    <n v="7500"/>
    <n v="0"/>
    <n v="0"/>
    <n v="0"/>
    <n v="1"/>
    <n v="-2.0615502069636999"/>
    <x v="79"/>
  </r>
  <r>
    <n v="9559"/>
    <n v="944"/>
    <n v="0"/>
    <n v="60"/>
    <n v="0"/>
    <n v="0"/>
    <n v="30"/>
    <s v="Together"/>
    <n v="57072"/>
    <n v="0"/>
    <n v="1"/>
    <n v="0"/>
    <n v="1"/>
    <n v="0.23203257460651758"/>
    <x v="1710"/>
  </r>
  <r>
    <n v="9560"/>
    <n v="856"/>
    <n v="61"/>
    <n v="570"/>
    <n v="40"/>
    <n v="25"/>
    <n v="122"/>
    <s v="Together"/>
    <n v="83003"/>
    <n v="0"/>
    <n v="0"/>
    <n v="0"/>
    <n v="1"/>
    <n v="1.4318004901414427"/>
    <x v="1711"/>
  </r>
  <r>
    <n v="9576"/>
    <n v="86"/>
    <n v="4"/>
    <n v="56"/>
    <n v="2"/>
    <n v="4"/>
    <n v="7"/>
    <s v="Together"/>
    <n v="32313"/>
    <n v="1"/>
    <n v="0"/>
    <n v="0"/>
    <n v="1"/>
    <n v="-0.91350958808405403"/>
    <x v="1712"/>
  </r>
  <r>
    <n v="9579"/>
    <n v="53"/>
    <n v="1"/>
    <n v="34"/>
    <n v="2"/>
    <n v="0"/>
    <n v="16"/>
    <s v="Together"/>
    <n v="33762"/>
    <n v="2"/>
    <n v="1"/>
    <n v="0"/>
    <n v="1"/>
    <n v="-0.8464676803438933"/>
    <x v="1713"/>
  </r>
  <r>
    <n v="9592"/>
    <n v="11"/>
    <n v="2"/>
    <n v="9"/>
    <n v="3"/>
    <n v="0"/>
    <n v="8"/>
    <s v="Together"/>
    <n v="22010"/>
    <n v="1"/>
    <n v="0"/>
    <n v="0"/>
    <n v="1"/>
    <n v="-1.3902057754179915"/>
    <x v="1714"/>
  </r>
  <r>
    <n v="9595"/>
    <n v="539"/>
    <n v="169"/>
    <n v="816"/>
    <n v="20"/>
    <n v="0"/>
    <n v="30"/>
    <s v="Together"/>
    <n v="64260"/>
    <n v="0"/>
    <n v="0"/>
    <n v="0"/>
    <n v="1"/>
    <n v="0.56460485399663141"/>
    <x v="1715"/>
  </r>
  <r>
    <n v="9596"/>
    <n v="365"/>
    <n v="32"/>
    <n v="117"/>
    <n v="34"/>
    <n v="110"/>
    <n v="6"/>
    <s v="Single"/>
    <n v="65295"/>
    <n v="0"/>
    <n v="0"/>
    <n v="1"/>
    <n v="0"/>
    <n v="0.61249193095388899"/>
    <x v="1716"/>
  </r>
  <r>
    <n v="9597"/>
    <n v="236"/>
    <n v="106"/>
    <n v="189"/>
    <n v="23"/>
    <n v="41"/>
    <n v="130"/>
    <s v="Together"/>
    <n v="73448"/>
    <n v="0"/>
    <n v="0"/>
    <n v="0"/>
    <n v="1"/>
    <n v="0.98971254779690487"/>
    <x v="1717"/>
  </r>
  <r>
    <n v="9606"/>
    <n v="882"/>
    <n v="29"/>
    <n v="514"/>
    <n v="38"/>
    <n v="29"/>
    <n v="44"/>
    <s v="Together"/>
    <n v="69969"/>
    <n v="0"/>
    <n v="0"/>
    <n v="0"/>
    <n v="1"/>
    <n v="0.82874719443043221"/>
    <x v="1718"/>
  </r>
  <r>
    <n v="9612"/>
    <n v="1"/>
    <n v="8"/>
    <n v="6"/>
    <n v="4"/>
    <n v="8"/>
    <n v="16"/>
    <s v="Single"/>
    <n v="23830"/>
    <n v="0"/>
    <n v="0"/>
    <n v="1"/>
    <n v="0"/>
    <n v="-1.3059985483047463"/>
    <x v="1719"/>
  </r>
  <r>
    <n v="9617"/>
    <n v="0"/>
    <n v="4"/>
    <n v="5"/>
    <n v="6"/>
    <n v="0"/>
    <n v="4"/>
    <s v="Single"/>
    <n v="15033"/>
    <n v="0"/>
    <n v="0"/>
    <n v="1"/>
    <n v="0"/>
    <n v="-1.7130155685878334"/>
    <x v="1720"/>
  </r>
  <r>
    <n v="9624"/>
    <n v="603"/>
    <n v="45"/>
    <n v="207"/>
    <n v="36"/>
    <n v="18"/>
    <n v="54"/>
    <s v="Together"/>
    <n v="65488"/>
    <n v="0"/>
    <n v="0"/>
    <n v="0"/>
    <n v="1"/>
    <n v="0.62142159844446943"/>
    <x v="1721"/>
  </r>
  <r>
    <n v="9635"/>
    <n v="66"/>
    <n v="2"/>
    <n v="40"/>
    <n v="4"/>
    <n v="3"/>
    <n v="14"/>
    <s v="Together"/>
    <n v="35876"/>
    <n v="0"/>
    <n v="0"/>
    <n v="0"/>
    <n v="1"/>
    <n v="-0.74865774731235457"/>
    <x v="1722"/>
  </r>
  <r>
    <n v="9645"/>
    <n v="920"/>
    <n v="138"/>
    <n v="168"/>
    <n v="36"/>
    <n v="46"/>
    <n v="30"/>
    <s v="Together"/>
    <n v="64590"/>
    <n v="0"/>
    <n v="0"/>
    <n v="0"/>
    <n v="1"/>
    <n v="0.57987319737430776"/>
    <x v="1723"/>
  </r>
  <r>
    <n v="9648"/>
    <n v="153"/>
    <n v="4"/>
    <n v="56"/>
    <n v="0"/>
    <n v="9"/>
    <n v="31"/>
    <s v="Single"/>
    <n v="46904"/>
    <n v="1"/>
    <n v="1"/>
    <n v="1"/>
    <n v="0"/>
    <n v="-0.23841747225473414"/>
    <x v="1724"/>
  </r>
  <r>
    <n v="9653"/>
    <n v="27"/>
    <n v="1"/>
    <n v="14"/>
    <n v="4"/>
    <n v="1"/>
    <n v="21"/>
    <s v="Together"/>
    <n v="35797"/>
    <n v="0"/>
    <n v="1"/>
    <n v="0"/>
    <n v="1"/>
    <n v="-0.75231289618155583"/>
    <x v="1725"/>
  </r>
  <r>
    <n v="9665"/>
    <n v="267"/>
    <n v="3"/>
    <n v="30"/>
    <n v="4"/>
    <n v="0"/>
    <n v="57"/>
    <s v="Single"/>
    <n v="54237"/>
    <n v="0"/>
    <n v="1"/>
    <n v="1"/>
    <n v="0"/>
    <n v="0.10086362468011625"/>
    <x v="1726"/>
  </r>
  <r>
    <n v="9668"/>
    <n v="4"/>
    <n v="16"/>
    <n v="20"/>
    <n v="0"/>
    <n v="17"/>
    <n v="20"/>
    <s v="Together"/>
    <n v="18793"/>
    <n v="1"/>
    <n v="0"/>
    <n v="0"/>
    <n v="1"/>
    <n v="-1.5390489894967332"/>
    <x v="1727"/>
  </r>
  <r>
    <n v="9672"/>
    <n v="8"/>
    <n v="3"/>
    <n v="9"/>
    <n v="19"/>
    <n v="4"/>
    <n v="22"/>
    <s v="Together"/>
    <n v="23162"/>
    <n v="1"/>
    <n v="1"/>
    <n v="0"/>
    <n v="1"/>
    <n v="-1.3369053767177395"/>
    <x v="1728"/>
  </r>
  <r>
    <n v="9687"/>
    <n v="184"/>
    <n v="174"/>
    <n v="256"/>
    <n v="50"/>
    <n v="30"/>
    <n v="32"/>
    <s v="Single"/>
    <n v="73170"/>
    <n v="0"/>
    <n v="0"/>
    <n v="1"/>
    <n v="0"/>
    <n v="0.97685012519389269"/>
    <x v="1729"/>
  </r>
  <r>
    <n v="9697"/>
    <n v="335"/>
    <n v="42"/>
    <n v="127"/>
    <n v="28"/>
    <n v="5"/>
    <n v="5"/>
    <s v="Together"/>
    <n v="53790"/>
    <n v="0"/>
    <n v="2"/>
    <n v="0"/>
    <n v="1"/>
    <n v="8.018195955944557E-2"/>
    <x v="1730"/>
  </r>
  <r>
    <n v="9699"/>
    <n v="357"/>
    <n v="35"/>
    <n v="271"/>
    <n v="28"/>
    <n v="28"/>
    <n v="14"/>
    <s v="Single"/>
    <n v="67272"/>
    <n v="0"/>
    <n v="1"/>
    <n v="1"/>
    <n v="0"/>
    <n v="0.7039631880983318"/>
    <x v="1731"/>
  </r>
  <r>
    <n v="9701"/>
    <n v="32"/>
    <n v="34"/>
    <n v="41"/>
    <n v="73"/>
    <n v="16"/>
    <n v="116"/>
    <s v="Together"/>
    <n v="41883"/>
    <n v="1"/>
    <n v="0"/>
    <n v="0"/>
    <n v="1"/>
    <n v="-0.47072763013143998"/>
    <x v="1732"/>
  </r>
  <r>
    <n v="9703"/>
    <n v="77"/>
    <n v="2"/>
    <n v="35"/>
    <n v="0"/>
    <n v="1"/>
    <n v="69"/>
    <s v="Together"/>
    <n v="38097"/>
    <n v="1"/>
    <n v="1"/>
    <n v="0"/>
    <n v="1"/>
    <n v="-0.6458971696098722"/>
    <x v="1733"/>
  </r>
  <r>
    <n v="9706"/>
    <n v="62"/>
    <n v="1"/>
    <n v="20"/>
    <n v="4"/>
    <n v="0"/>
    <n v="7"/>
    <s v="Single"/>
    <n v="31560"/>
    <n v="1"/>
    <n v="0"/>
    <n v="1"/>
    <n v="0"/>
    <n v="-0.94834917160947907"/>
    <x v="1734"/>
  </r>
  <r>
    <n v="9707"/>
    <n v="1103"/>
    <n v="0"/>
    <n v="45"/>
    <n v="0"/>
    <n v="0"/>
    <n v="34"/>
    <s v="Together"/>
    <n v="55212"/>
    <n v="0"/>
    <n v="1"/>
    <n v="0"/>
    <n v="1"/>
    <n v="0.14597463920506909"/>
    <x v="1735"/>
  </r>
  <r>
    <n v="9710"/>
    <n v="708"/>
    <n v="7"/>
    <n v="62"/>
    <n v="0"/>
    <n v="0"/>
    <n v="15"/>
    <s v="Single"/>
    <n v="58086"/>
    <n v="0"/>
    <n v="1"/>
    <n v="1"/>
    <n v="0"/>
    <n v="0.27894802971246851"/>
    <x v="1736"/>
  </r>
  <r>
    <n v="9723"/>
    <n v="530"/>
    <n v="142"/>
    <n v="217"/>
    <n v="62"/>
    <n v="9"/>
    <n v="56"/>
    <s v="Together"/>
    <n v="67716"/>
    <n v="0"/>
    <n v="1"/>
    <n v="0"/>
    <n v="1"/>
    <n v="0.72450605009738733"/>
    <x v="1737"/>
  </r>
  <r>
    <n v="9725"/>
    <n v="8"/>
    <n v="0"/>
    <n v="3"/>
    <n v="0"/>
    <n v="0"/>
    <n v="1"/>
    <s v="Together"/>
    <n v="28764"/>
    <n v="1"/>
    <n v="1"/>
    <n v="0"/>
    <n v="1"/>
    <n v="-1.0777136809548824"/>
    <x v="1738"/>
  </r>
  <r>
    <n v="9727"/>
    <n v="4"/>
    <n v="24"/>
    <n v="11"/>
    <n v="16"/>
    <n v="1"/>
    <n v="25"/>
    <s v="Together"/>
    <n v="23539"/>
    <n v="0"/>
    <n v="0"/>
    <n v="0"/>
    <n v="1"/>
    <n v="-1.3194624511014243"/>
    <x v="1739"/>
  </r>
  <r>
    <n v="9729"/>
    <n v="189"/>
    <n v="10"/>
    <n v="253"/>
    <n v="56"/>
    <n v="43"/>
    <n v="64"/>
    <s v="Single"/>
    <n v="58275"/>
    <n v="1"/>
    <n v="1"/>
    <n v="1"/>
    <n v="0"/>
    <n v="0.2876926263742286"/>
    <x v="1740"/>
  </r>
  <r>
    <n v="9736"/>
    <n v="53"/>
    <n v="5"/>
    <n v="19"/>
    <n v="2"/>
    <n v="13"/>
    <n v="4"/>
    <s v="Together"/>
    <n v="41850"/>
    <n v="1"/>
    <n v="1"/>
    <n v="0"/>
    <n v="1"/>
    <n v="-0.4722544644692076"/>
    <x v="1741"/>
  </r>
  <r>
    <n v="9738"/>
    <n v="65"/>
    <n v="4"/>
    <n v="16"/>
    <n v="0"/>
    <n v="4"/>
    <n v="11"/>
    <s v="Together"/>
    <n v="42386"/>
    <n v="1"/>
    <n v="0"/>
    <n v="0"/>
    <n v="1"/>
    <n v="-0.44745497340728485"/>
    <x v="1742"/>
  </r>
  <r>
    <n v="9739"/>
    <n v="62"/>
    <n v="0"/>
    <n v="22"/>
    <n v="3"/>
    <n v="1"/>
    <n v="26"/>
    <s v="Single"/>
    <n v="34377"/>
    <n v="0"/>
    <n v="1"/>
    <n v="1"/>
    <n v="0"/>
    <n v="-0.81801304041276923"/>
    <x v="1743"/>
  </r>
  <r>
    <n v="9743"/>
    <n v="1449"/>
    <n v="89"/>
    <n v="161"/>
    <n v="69"/>
    <n v="35"/>
    <n v="107"/>
    <s v="Together"/>
    <n v="76998"/>
    <n v="0"/>
    <n v="1"/>
    <n v="0"/>
    <n v="1"/>
    <n v="1.1539629083749383"/>
    <x v="1744"/>
  </r>
  <r>
    <n v="9750"/>
    <n v="731"/>
    <n v="60"/>
    <n v="353"/>
    <n v="78"/>
    <n v="12"/>
    <n v="73"/>
    <s v="Single"/>
    <n v="64325"/>
    <n v="0"/>
    <n v="1"/>
    <n v="1"/>
    <n v="0"/>
    <n v="0.56761225496496159"/>
    <x v="1745"/>
  </r>
  <r>
    <n v="9771"/>
    <n v="104"/>
    <n v="20"/>
    <n v="101"/>
    <n v="24"/>
    <n v="15"/>
    <n v="5"/>
    <s v="Single"/>
    <n v="23331"/>
    <n v="1"/>
    <n v="0"/>
    <n v="1"/>
    <n v="0"/>
    <n v="-1.329086134200081"/>
    <x v="1746"/>
  </r>
  <r>
    <n v="9780"/>
    <n v="465"/>
    <n v="25"/>
    <n v="132"/>
    <n v="136"/>
    <n v="0"/>
    <n v="37"/>
    <s v="Together"/>
    <n v="71499"/>
    <n v="0"/>
    <n v="1"/>
    <n v="0"/>
    <n v="1"/>
    <n v="0.89953678645420432"/>
    <x v="1747"/>
  </r>
  <r>
    <n v="9790"/>
    <n v="912"/>
    <n v="72"/>
    <n v="170"/>
    <n v="47"/>
    <n v="36"/>
    <n v="97"/>
    <s v="Single"/>
    <n v="78499"/>
    <n v="0"/>
    <n v="0"/>
    <n v="1"/>
    <n v="0"/>
    <n v="1.2234107368897631"/>
    <x v="1748"/>
  </r>
  <r>
    <n v="9797"/>
    <n v="228"/>
    <n v="19"/>
    <n v="130"/>
    <n v="4"/>
    <n v="11"/>
    <n v="51"/>
    <s v="Together"/>
    <n v="58116"/>
    <n v="0"/>
    <n v="1"/>
    <n v="0"/>
    <n v="1"/>
    <n v="0.2803360609286209"/>
    <x v="1749"/>
  </r>
  <r>
    <n v="9799"/>
    <n v="866"/>
    <n v="21"/>
    <n v="151"/>
    <n v="28"/>
    <n v="21"/>
    <n v="86"/>
    <s v="Single"/>
    <n v="83664"/>
    <n v="1"/>
    <n v="1"/>
    <n v="1"/>
    <n v="0"/>
    <n v="1.4623834446040005"/>
    <x v="1750"/>
  </r>
  <r>
    <n v="9817"/>
    <n v="853"/>
    <n v="10"/>
    <n v="143"/>
    <n v="13"/>
    <n v="10"/>
    <n v="20"/>
    <s v="Single"/>
    <n v="44802"/>
    <n v="0"/>
    <n v="0"/>
    <n v="1"/>
    <n v="0"/>
    <n v="-0.33567219279981197"/>
    <x v="1751"/>
  </r>
  <r>
    <n v="9829"/>
    <n v="22"/>
    <n v="4"/>
    <n v="17"/>
    <n v="12"/>
    <n v="10"/>
    <n v="13"/>
    <s v="Together"/>
    <n v="28587"/>
    <n v="1"/>
    <n v="0"/>
    <n v="0"/>
    <n v="1"/>
    <n v="-1.0859030651301815"/>
    <x v="1752"/>
  </r>
  <r>
    <n v="9850"/>
    <n v="3"/>
    <n v="6"/>
    <n v="7"/>
    <n v="0"/>
    <n v="0"/>
    <n v="3"/>
    <s v="Together"/>
    <n v="24884"/>
    <n v="1"/>
    <n v="0"/>
    <n v="0"/>
    <n v="1"/>
    <n v="-1.257232384910592"/>
    <x v="1753"/>
  </r>
  <r>
    <n v="9855"/>
    <n v="899"/>
    <n v="0"/>
    <n v="101"/>
    <n v="0"/>
    <n v="0"/>
    <n v="20"/>
    <s v="Single"/>
    <n v="62000"/>
    <n v="0"/>
    <n v="1"/>
    <n v="1"/>
    <n v="0"/>
    <n v="0.46003983571315099"/>
    <x v="1754"/>
  </r>
  <r>
    <n v="9860"/>
    <n v="159"/>
    <n v="0"/>
    <n v="22"/>
    <n v="2"/>
    <n v="1"/>
    <n v="31"/>
    <s v="Together"/>
    <n v="44911"/>
    <n v="0"/>
    <n v="1"/>
    <n v="0"/>
    <n v="1"/>
    <n v="-0.33062901271445827"/>
    <x v="1755"/>
  </r>
  <r>
    <n v="9862"/>
    <n v="1"/>
    <n v="6"/>
    <n v="7"/>
    <n v="11"/>
    <n v="5"/>
    <n v="3"/>
    <s v="Together"/>
    <n v="21918"/>
    <n v="1"/>
    <n v="0"/>
    <n v="0"/>
    <n v="1"/>
    <n v="-1.3944624044808589"/>
    <x v="1756"/>
  </r>
  <r>
    <n v="9904"/>
    <n v="336"/>
    <n v="123"/>
    <n v="274"/>
    <n v="46"/>
    <n v="123"/>
    <n v="141"/>
    <s v="Together"/>
    <n v="71391"/>
    <n v="0"/>
    <n v="1"/>
    <n v="0"/>
    <n v="1"/>
    <n v="0.89453987407605573"/>
    <x v="1757"/>
  </r>
  <r>
    <n v="9905"/>
    <n v="135"/>
    <n v="1"/>
    <n v="41"/>
    <n v="10"/>
    <n v="1"/>
    <n v="67"/>
    <s v="Together"/>
    <n v="34074"/>
    <n v="1"/>
    <n v="1"/>
    <n v="0"/>
    <n v="1"/>
    <n v="-0.83203215569590838"/>
    <x v="1758"/>
  </r>
  <r>
    <n v="9907"/>
    <n v="742"/>
    <n v="28"/>
    <n v="152"/>
    <n v="25"/>
    <n v="9"/>
    <n v="57"/>
    <s v="Together"/>
    <n v="66476"/>
    <n v="0"/>
    <n v="1"/>
    <n v="0"/>
    <n v="1"/>
    <n v="0.66713409316308836"/>
    <x v="1759"/>
  </r>
  <r>
    <n v="9909"/>
    <n v="3"/>
    <n v="18"/>
    <n v="14"/>
    <n v="15"/>
    <n v="22"/>
    <n v="50"/>
    <s v="Together"/>
    <n v="7500"/>
    <n v="0"/>
    <n v="0"/>
    <n v="0"/>
    <n v="1"/>
    <n v="-2.0615502069636999"/>
    <x v="79"/>
  </r>
  <r>
    <n v="9925"/>
    <n v="127"/>
    <n v="1"/>
    <n v="56"/>
    <n v="0"/>
    <n v="1"/>
    <n v="31"/>
    <s v="Together"/>
    <n v="39665"/>
    <n v="1"/>
    <n v="0"/>
    <n v="0"/>
    <n v="1"/>
    <n v="-0.573349404712307"/>
    <x v="1760"/>
  </r>
  <r>
    <n v="9930"/>
    <n v="606"/>
    <n v="148"/>
    <n v="228"/>
    <n v="15"/>
    <n v="148"/>
    <n v="22"/>
    <s v="Single"/>
    <n v="82716"/>
    <n v="0"/>
    <n v="0"/>
    <n v="1"/>
    <n v="0"/>
    <n v="1.4185216581735849"/>
    <x v="1761"/>
  </r>
  <r>
    <n v="9931"/>
    <n v="5"/>
    <n v="0"/>
    <n v="1"/>
    <n v="1"/>
    <n v="1"/>
    <n v="1"/>
    <s v="Together"/>
    <n v="4023"/>
    <n v="1"/>
    <n v="1"/>
    <n v="0"/>
    <n v="1"/>
    <n v="-2.2224230249157624"/>
    <x v="1762"/>
  </r>
  <r>
    <n v="9937"/>
    <n v="187"/>
    <n v="81"/>
    <n v="149"/>
    <n v="25"/>
    <n v="43"/>
    <n v="91"/>
    <s v="Single"/>
    <n v="70337"/>
    <n v="0"/>
    <n v="0"/>
    <n v="1"/>
    <n v="0"/>
    <n v="0.84577371068190155"/>
    <x v="1763"/>
  </r>
  <r>
    <n v="9938"/>
    <n v="519"/>
    <n v="17"/>
    <n v="813"/>
    <n v="27"/>
    <n v="173"/>
    <n v="51"/>
    <s v="Together"/>
    <n v="80067"/>
    <n v="0"/>
    <n v="0"/>
    <n v="0"/>
    <n v="1"/>
    <n v="1.2959585017873283"/>
    <x v="1764"/>
  </r>
  <r>
    <n v="9940"/>
    <n v="382"/>
    <n v="114"/>
    <n v="276"/>
    <n v="75"/>
    <n v="124"/>
    <n v="38"/>
    <s v="Together"/>
    <n v="64961"/>
    <n v="0"/>
    <n v="1"/>
    <n v="0"/>
    <n v="1"/>
    <n v="0.59703851674739239"/>
    <x v="1765"/>
  </r>
  <r>
    <n v="9949"/>
    <n v="598"/>
    <n v="16"/>
    <n v="141"/>
    <n v="32"/>
    <n v="41"/>
    <n v="49"/>
    <s v="Together"/>
    <n v="59809"/>
    <n v="0"/>
    <n v="2"/>
    <n v="0"/>
    <n v="1"/>
    <n v="0.35866728922682106"/>
    <x v="1766"/>
  </r>
  <r>
    <n v="9952"/>
    <n v="368"/>
    <n v="32"/>
    <n v="639"/>
    <n v="13"/>
    <n v="43"/>
    <n v="10"/>
    <s v="Together"/>
    <n v="78093"/>
    <n v="0"/>
    <n v="0"/>
    <n v="0"/>
    <n v="1"/>
    <n v="1.2046260477645008"/>
    <x v="1767"/>
  </r>
  <r>
    <n v="9960"/>
    <n v="0"/>
    <n v="0"/>
    <n v="1"/>
    <n v="8"/>
    <n v="3"/>
    <n v="2"/>
    <s v="Single"/>
    <n v="26868"/>
    <n v="1"/>
    <n v="0"/>
    <n v="1"/>
    <n v="0"/>
    <n v="-1.1654372538157136"/>
    <x v="1768"/>
  </r>
  <r>
    <n v="9967"/>
    <n v="160"/>
    <n v="15"/>
    <n v="196"/>
    <n v="15"/>
    <n v="11"/>
    <n v="50"/>
    <s v="Single"/>
    <n v="53034"/>
    <n v="1"/>
    <n v="1"/>
    <n v="1"/>
    <n v="0"/>
    <n v="4.5203572912405218E-2"/>
    <x v="1769"/>
  </r>
  <r>
    <n v="9970"/>
    <n v="42"/>
    <n v="11"/>
    <n v="57"/>
    <n v="10"/>
    <n v="28"/>
    <n v="14"/>
    <s v="Together"/>
    <n v="55375"/>
    <n v="0"/>
    <n v="1"/>
    <n v="0"/>
    <n v="1"/>
    <n v="0.15351627547949712"/>
    <x v="1770"/>
  </r>
  <r>
    <n v="9971"/>
    <n v="397"/>
    <n v="19"/>
    <n v="69"/>
    <n v="12"/>
    <n v="0"/>
    <n v="9"/>
    <s v="Together"/>
    <n v="65526"/>
    <n v="0"/>
    <n v="1"/>
    <n v="0"/>
    <n v="1"/>
    <n v="0.62317977131826252"/>
    <x v="1771"/>
  </r>
  <r>
    <n v="9973"/>
    <n v="370"/>
    <n v="9"/>
    <n v="92"/>
    <n v="6"/>
    <n v="9"/>
    <n v="4"/>
    <s v="Together"/>
    <n v="50437"/>
    <n v="0"/>
    <n v="2"/>
    <n v="0"/>
    <n v="1"/>
    <n v="-7.4953662699187101E-2"/>
    <x v="1772"/>
  </r>
  <r>
    <n v="9974"/>
    <n v="15"/>
    <n v="6"/>
    <n v="20"/>
    <n v="4"/>
    <n v="5"/>
    <n v="20"/>
    <s v="Together"/>
    <n v="30631"/>
    <n v="1"/>
    <n v="0"/>
    <n v="0"/>
    <n v="1"/>
    <n v="-0.99133187160299829"/>
    <x v="1773"/>
  </r>
  <r>
    <n v="9977"/>
    <n v="321"/>
    <n v="11"/>
    <n v="309"/>
    <n v="33"/>
    <n v="26"/>
    <n v="34"/>
    <s v="Single"/>
    <n v="78901"/>
    <n v="0"/>
    <n v="1"/>
    <n v="1"/>
    <n v="0"/>
    <n v="1.2420103551862052"/>
    <x v="1774"/>
  </r>
  <r>
    <n v="9984"/>
    <n v="349"/>
    <n v="16"/>
    <n v="144"/>
    <n v="28"/>
    <n v="5"/>
    <n v="182"/>
    <s v="Together"/>
    <n v="56337"/>
    <n v="1"/>
    <n v="1"/>
    <n v="0"/>
    <n v="1"/>
    <n v="0.19802580981078391"/>
    <x v="1775"/>
  </r>
  <r>
    <n v="9986"/>
    <n v="16"/>
    <n v="0"/>
    <n v="23"/>
    <n v="3"/>
    <n v="2"/>
    <n v="10"/>
    <s v="Together"/>
    <n v="19444"/>
    <n v="1"/>
    <n v="0"/>
    <n v="0"/>
    <n v="1"/>
    <n v="-1.5089287121062263"/>
    <x v="1776"/>
  </r>
  <r>
    <n v="9988"/>
    <n v="553"/>
    <n v="25"/>
    <n v="142"/>
    <n v="65"/>
    <n v="67"/>
    <n v="8"/>
    <s v="Single"/>
    <n v="70379"/>
    <n v="0"/>
    <n v="1"/>
    <n v="1"/>
    <n v="0"/>
    <n v="0.84771695438451489"/>
    <x v="1777"/>
  </r>
  <r>
    <n v="9999"/>
    <n v="610"/>
    <n v="105"/>
    <n v="125"/>
    <n v="137"/>
    <n v="42"/>
    <n v="21"/>
    <s v="Together"/>
    <n v="75276"/>
    <n v="0"/>
    <n v="0"/>
    <n v="0"/>
    <n v="1"/>
    <n v="1.0742899165677908"/>
    <x v="1778"/>
  </r>
  <r>
    <n v="10001"/>
    <n v="5"/>
    <n v="17"/>
    <n v="17"/>
    <n v="13"/>
    <n v="14"/>
    <n v="34"/>
    <s v="Together"/>
    <n v="7500"/>
    <n v="1"/>
    <n v="0"/>
    <n v="0"/>
    <n v="1"/>
    <n v="-2.0615502069636999"/>
    <x v="90"/>
  </r>
  <r>
    <n v="10010"/>
    <n v="100"/>
    <n v="2"/>
    <n v="16"/>
    <n v="2"/>
    <n v="1"/>
    <n v="31"/>
    <s v="Single"/>
    <n v="36957"/>
    <n v="1"/>
    <n v="1"/>
    <n v="1"/>
    <n v="0"/>
    <n v="-0.69864235582366319"/>
    <x v="1779"/>
  </r>
  <r>
    <n v="10022"/>
    <n v="12"/>
    <n v="0"/>
    <n v="4"/>
    <n v="0"/>
    <n v="0"/>
    <n v="0"/>
    <s v="Single"/>
    <n v="54466"/>
    <n v="1"/>
    <n v="1"/>
    <n v="1"/>
    <n v="0"/>
    <n v="0.11145892963007954"/>
    <x v="1780"/>
  </r>
  <r>
    <n v="10031"/>
    <n v="20"/>
    <n v="2"/>
    <n v="23"/>
    <n v="3"/>
    <n v="1"/>
    <n v="4"/>
    <s v="Together"/>
    <n v="16927"/>
    <n v="1"/>
    <n v="1"/>
    <n v="0"/>
    <n v="1"/>
    <n v="-1.6253845311414123"/>
    <x v="1781"/>
  </r>
  <r>
    <n v="10032"/>
    <n v="3"/>
    <n v="5"/>
    <n v="14"/>
    <n v="2"/>
    <n v="12"/>
    <n v="17"/>
    <s v="Single"/>
    <n v="12571"/>
    <n v="1"/>
    <n v="0"/>
    <n v="1"/>
    <n v="0"/>
    <n v="-1.8269266637267401"/>
    <x v="1782"/>
  </r>
  <r>
    <n v="10057"/>
    <n v="503"/>
    <n v="27"/>
    <n v="419"/>
    <n v="90"/>
    <n v="139"/>
    <n v="153"/>
    <s v="Single"/>
    <n v="72282"/>
    <n v="0"/>
    <n v="0"/>
    <n v="1"/>
    <n v="0"/>
    <n v="0.93576440119578186"/>
    <x v="1783"/>
  </r>
  <r>
    <n v="10061"/>
    <n v="724"/>
    <n v="17"/>
    <n v="143"/>
    <n v="0"/>
    <n v="8"/>
    <n v="196"/>
    <s v="Together"/>
    <n v="59462"/>
    <n v="0"/>
    <n v="1"/>
    <n v="0"/>
    <n v="1"/>
    <n v="0.3426123948266584"/>
    <x v="1784"/>
  </r>
  <r>
    <n v="10067"/>
    <n v="4"/>
    <n v="0"/>
    <n v="4"/>
    <n v="0"/>
    <n v="0"/>
    <n v="5"/>
    <s v="Together"/>
    <n v="25176"/>
    <n v="1"/>
    <n v="1"/>
    <n v="0"/>
    <n v="1"/>
    <n v="-1.2437222144067088"/>
    <x v="1785"/>
  </r>
  <r>
    <n v="10069"/>
    <n v="2"/>
    <n v="7"/>
    <n v="5"/>
    <n v="2"/>
    <n v="15"/>
    <n v="27"/>
    <s v="Together"/>
    <n v="13724"/>
    <n v="1"/>
    <n v="0"/>
    <n v="0"/>
    <n v="1"/>
    <n v="-1.773579997319283"/>
    <x v="1786"/>
  </r>
  <r>
    <n v="10084"/>
    <n v="3"/>
    <n v="2"/>
    <n v="8"/>
    <n v="20"/>
    <n v="0"/>
    <n v="17"/>
    <s v="Together"/>
    <n v="24434"/>
    <n v="2"/>
    <n v="0"/>
    <n v="0"/>
    <n v="1"/>
    <n v="-1.2780528531528779"/>
    <x v="1787"/>
  </r>
  <r>
    <n v="10089"/>
    <n v="168"/>
    <n v="148"/>
    <n v="444"/>
    <n v="32"/>
    <n v="172"/>
    <n v="148"/>
    <s v="Single"/>
    <n v="102692"/>
    <n v="0"/>
    <n v="0"/>
    <n v="1"/>
    <n v="0"/>
    <n v="2.3427653773022596"/>
    <x v="1788"/>
  </r>
  <r>
    <n v="10091"/>
    <n v="520"/>
    <n v="20"/>
    <n v="367"/>
    <n v="39"/>
    <n v="81"/>
    <n v="40"/>
    <s v="Single"/>
    <n v="60230"/>
    <n v="0"/>
    <n v="1"/>
    <n v="1"/>
    <n v="0"/>
    <n v="0.37814599396015969"/>
    <x v="1789"/>
  </r>
  <r>
    <n v="10092"/>
    <n v="1073"/>
    <n v="0"/>
    <n v="250"/>
    <n v="153"/>
    <n v="14"/>
    <n v="14"/>
    <s v="Single"/>
    <n v="70044"/>
    <n v="0"/>
    <n v="1"/>
    <n v="1"/>
    <n v="0"/>
    <n v="0.83221727247081312"/>
    <x v="1790"/>
  </r>
  <r>
    <n v="10095"/>
    <n v="1001"/>
    <n v="12"/>
    <n v="240"/>
    <n v="16"/>
    <n v="12"/>
    <n v="12"/>
    <s v="Single"/>
    <n v="74165"/>
    <n v="0"/>
    <n v="0"/>
    <n v="1"/>
    <n v="0"/>
    <n v="1.0228864938629472"/>
    <x v="1791"/>
  </r>
  <r>
    <n v="10099"/>
    <n v="238"/>
    <n v="115"/>
    <n v="215"/>
    <n v="169"/>
    <n v="69"/>
    <n v="76"/>
    <s v="Together"/>
    <n v="55434"/>
    <n v="1"/>
    <n v="0"/>
    <n v="0"/>
    <n v="1"/>
    <n v="0.15624607020459683"/>
    <x v="1792"/>
  </r>
  <r>
    <n v="10102"/>
    <n v="395"/>
    <n v="183"/>
    <n v="565"/>
    <n v="166"/>
    <n v="141"/>
    <n v="28"/>
    <s v="Single"/>
    <n v="79946"/>
    <n v="0"/>
    <n v="0"/>
    <n v="1"/>
    <n v="0"/>
    <n v="1.2903601092155137"/>
    <x v="1793"/>
  </r>
  <r>
    <n v="10104"/>
    <n v="4"/>
    <n v="0"/>
    <n v="2"/>
    <n v="0"/>
    <n v="0"/>
    <n v="2"/>
    <s v="Together"/>
    <n v="33590"/>
    <n v="2"/>
    <n v="1"/>
    <n v="0"/>
    <n v="1"/>
    <n v="-0.85442572598316702"/>
    <x v="1794"/>
  </r>
  <r>
    <n v="10127"/>
    <n v="301"/>
    <n v="11"/>
    <n v="61"/>
    <n v="4"/>
    <n v="7"/>
    <n v="11"/>
    <s v="Together"/>
    <n v="58692"/>
    <n v="0"/>
    <n v="1"/>
    <n v="0"/>
    <n v="1"/>
    <n v="0.30698626027874693"/>
    <x v="1795"/>
  </r>
  <r>
    <n v="10129"/>
    <n v="482"/>
    <n v="147"/>
    <n v="509"/>
    <n v="104"/>
    <n v="107"/>
    <n v="107"/>
    <s v="Together"/>
    <n v="82427"/>
    <n v="0"/>
    <n v="0"/>
    <n v="0"/>
    <n v="1"/>
    <n v="1.4051502907913167"/>
    <x v="1796"/>
  </r>
  <r>
    <n v="10133"/>
    <n v="1302"/>
    <n v="68"/>
    <n v="731"/>
    <n v="89"/>
    <n v="114"/>
    <n v="45"/>
    <s v="Single"/>
    <n v="93790"/>
    <n v="0"/>
    <n v="0"/>
    <n v="1"/>
    <n v="0"/>
    <n v="1.9308902477626388"/>
    <x v="1797"/>
  </r>
  <r>
    <n v="10140"/>
    <n v="1308"/>
    <n v="0"/>
    <n v="396"/>
    <n v="23"/>
    <n v="0"/>
    <n v="0"/>
    <s v="Together"/>
    <n v="70123"/>
    <n v="0"/>
    <n v="0"/>
    <n v="0"/>
    <n v="1"/>
    <n v="0.83587242134001449"/>
    <x v="1798"/>
  </r>
  <r>
    <n v="10141"/>
    <n v="7"/>
    <n v="1"/>
    <n v="6"/>
    <n v="0"/>
    <n v="3"/>
    <n v="3"/>
    <s v="Single"/>
    <n v="39228"/>
    <n v="0"/>
    <n v="0"/>
    <n v="1"/>
    <n v="0"/>
    <n v="-0.59356839276092699"/>
    <x v="1799"/>
  </r>
  <r>
    <n v="10142"/>
    <n v="372"/>
    <n v="18"/>
    <n v="126"/>
    <n v="47"/>
    <n v="48"/>
    <n v="78"/>
    <s v="Single"/>
    <n v="66476"/>
    <n v="0"/>
    <n v="1"/>
    <n v="1"/>
    <n v="0"/>
    <n v="0.66713409316308836"/>
    <x v="1800"/>
  </r>
  <r>
    <n v="10146"/>
    <n v="25"/>
    <n v="1"/>
    <n v="13"/>
    <n v="0"/>
    <n v="0"/>
    <n v="3"/>
    <s v="Together"/>
    <n v="38887"/>
    <n v="1"/>
    <n v="0"/>
    <n v="0"/>
    <n v="1"/>
    <n v="-0.60934568091785912"/>
    <x v="1801"/>
  </r>
  <r>
    <n v="10150"/>
    <n v="464"/>
    <n v="28"/>
    <n v="873"/>
    <n v="29"/>
    <n v="18"/>
    <n v="37"/>
    <s v="Single"/>
    <n v="86429"/>
    <n v="0"/>
    <n v="0"/>
    <n v="1"/>
    <n v="0"/>
    <n v="1.5903136550260462"/>
    <x v="1802"/>
  </r>
  <r>
    <n v="10151"/>
    <n v="317"/>
    <n v="46"/>
    <n v="247"/>
    <n v="151"/>
    <n v="46"/>
    <n v="139"/>
    <s v="Single"/>
    <n v="62204"/>
    <n v="0"/>
    <n v="2"/>
    <n v="1"/>
    <n v="0"/>
    <n v="0.46947844798298727"/>
    <x v="1803"/>
  </r>
  <r>
    <n v="10156"/>
    <n v="215"/>
    <n v="63"/>
    <n v="507"/>
    <n v="231"/>
    <n v="31"/>
    <n v="190"/>
    <s v="Single"/>
    <n v="84196"/>
    <n v="0"/>
    <n v="1"/>
    <n v="1"/>
    <n v="0"/>
    <n v="1.4869978648371029"/>
    <x v="1804"/>
  </r>
  <r>
    <n v="10157"/>
    <n v="89"/>
    <n v="15"/>
    <n v="89"/>
    <n v="34"/>
    <n v="42"/>
    <n v="5"/>
    <s v="Single"/>
    <n v="59686"/>
    <n v="0"/>
    <n v="1"/>
    <n v="1"/>
    <n v="0"/>
    <n v="0.35297636124059628"/>
    <x v="1805"/>
  </r>
  <r>
    <n v="10159"/>
    <n v="440"/>
    <n v="81"/>
    <n v="368"/>
    <n v="0"/>
    <n v="122"/>
    <n v="174"/>
    <s v="Single"/>
    <n v="58710"/>
    <n v="0"/>
    <n v="1"/>
    <n v="1"/>
    <n v="0"/>
    <n v="0.30781907900843836"/>
    <x v="1806"/>
  </r>
  <r>
    <n v="10163"/>
    <n v="712"/>
    <n v="50"/>
    <n v="420"/>
    <n v="65"/>
    <n v="38"/>
    <n v="38"/>
    <s v="Single"/>
    <n v="82733"/>
    <n v="0"/>
    <n v="0"/>
    <n v="1"/>
    <n v="0"/>
    <n v="1.4193082091960711"/>
    <x v="1807"/>
  </r>
  <r>
    <n v="10164"/>
    <n v="1017"/>
    <n v="33"/>
    <n v="417"/>
    <n v="108"/>
    <n v="100"/>
    <n v="16"/>
    <s v="Single"/>
    <n v="94472"/>
    <n v="0"/>
    <n v="1"/>
    <n v="1"/>
    <n v="0"/>
    <n v="1.9624448240765033"/>
    <x v="1808"/>
  </r>
  <r>
    <n v="10175"/>
    <n v="18"/>
    <n v="0"/>
    <n v="2"/>
    <n v="0"/>
    <n v="0"/>
    <n v="2"/>
    <s v="Single"/>
    <n v="32173"/>
    <n v="0"/>
    <n v="1"/>
    <n v="1"/>
    <n v="0"/>
    <n v="-0.91998706709276512"/>
    <x v="1809"/>
  </r>
  <r>
    <n v="10176"/>
    <n v="159"/>
    <n v="0"/>
    <n v="120"/>
    <n v="0"/>
    <n v="0"/>
    <n v="137"/>
    <s v="Single"/>
    <n v="57107"/>
    <n v="0"/>
    <n v="1"/>
    <n v="1"/>
    <n v="0"/>
    <n v="0.23365194435869538"/>
    <x v="1810"/>
  </r>
  <r>
    <n v="10196"/>
    <n v="212"/>
    <n v="123"/>
    <n v="177"/>
    <n v="15"/>
    <n v="64"/>
    <n v="23"/>
    <s v="Together"/>
    <n v="71427"/>
    <n v="2"/>
    <n v="0"/>
    <n v="0"/>
    <n v="1"/>
    <n v="0.89620551153543859"/>
    <x v="1811"/>
  </r>
  <r>
    <n v="10203"/>
    <n v="11"/>
    <n v="7"/>
    <n v="9"/>
    <n v="3"/>
    <n v="1"/>
    <n v="11"/>
    <s v="Single"/>
    <n v="26095"/>
    <n v="1"/>
    <n v="0"/>
    <n v="1"/>
    <n v="0"/>
    <n v="-1.2012021914852404"/>
    <x v="1812"/>
  </r>
  <r>
    <n v="10219"/>
    <n v="6"/>
    <n v="2"/>
    <n v="15"/>
    <n v="6"/>
    <n v="6"/>
    <n v="3"/>
    <s v="Together"/>
    <n v="31590"/>
    <n v="1"/>
    <n v="0"/>
    <n v="0"/>
    <n v="1"/>
    <n v="-0.94696114039332668"/>
    <x v="1813"/>
  </r>
  <r>
    <n v="10232"/>
    <n v="174"/>
    <n v="18"/>
    <n v="81"/>
    <n v="28"/>
    <n v="6"/>
    <n v="24"/>
    <s v="Single"/>
    <n v="48799"/>
    <n v="0"/>
    <n v="1"/>
    <n v="1"/>
    <n v="0"/>
    <n v="-0.15074016710110788"/>
    <x v="1814"/>
  </r>
  <r>
    <n v="10236"/>
    <n v="16"/>
    <n v="3"/>
    <n v="25"/>
    <n v="6"/>
    <n v="1"/>
    <n v="13"/>
    <s v="Single"/>
    <n v="31160"/>
    <n v="1"/>
    <n v="0"/>
    <n v="1"/>
    <n v="0"/>
    <n v="-0.96685625449151102"/>
    <x v="1815"/>
  </r>
  <r>
    <n v="10240"/>
    <n v="997"/>
    <n v="26"/>
    <n v="269"/>
    <n v="34"/>
    <n v="13"/>
    <n v="42"/>
    <s v="Together"/>
    <n v="69372"/>
    <n v="0"/>
    <n v="0"/>
    <n v="0"/>
    <n v="1"/>
    <n v="0.80112537322899946"/>
    <x v="1816"/>
  </r>
  <r>
    <n v="10241"/>
    <n v="0"/>
    <n v="0"/>
    <n v="0"/>
    <n v="6"/>
    <n v="2"/>
    <n v="6"/>
    <s v="Single"/>
    <n v="11448"/>
    <n v="0"/>
    <n v="0"/>
    <n v="1"/>
    <n v="0"/>
    <n v="-1.8788852989180447"/>
    <x v="1817"/>
  </r>
  <r>
    <n v="10242"/>
    <n v="56"/>
    <n v="0"/>
    <n v="11"/>
    <n v="0"/>
    <n v="0"/>
    <n v="8"/>
    <s v="Together"/>
    <n v="47472"/>
    <n v="1"/>
    <n v="1"/>
    <n v="0"/>
    <n v="1"/>
    <n v="-0.2121374145622488"/>
    <x v="1818"/>
  </r>
  <r>
    <n v="10245"/>
    <n v="160"/>
    <n v="80"/>
    <n v="369"/>
    <n v="67"/>
    <n v="39"/>
    <n v="41"/>
    <s v="Single"/>
    <n v="80910"/>
    <n v="0"/>
    <n v="0"/>
    <n v="1"/>
    <n v="0"/>
    <n v="1.3349621789612105"/>
    <x v="1819"/>
  </r>
  <r>
    <n v="10250"/>
    <n v="1"/>
    <n v="5"/>
    <n v="3"/>
    <n v="7"/>
    <n v="4"/>
    <n v="8"/>
    <s v="Together"/>
    <n v="28389"/>
    <n v="0"/>
    <n v="0"/>
    <n v="0"/>
    <n v="1"/>
    <n v="-1.0950640711567872"/>
    <x v="1820"/>
  </r>
  <r>
    <n v="10262"/>
    <n v="8"/>
    <n v="2"/>
    <n v="15"/>
    <n v="0"/>
    <n v="10"/>
    <n v="18"/>
    <s v="Together"/>
    <n v="15072"/>
    <n v="2"/>
    <n v="0"/>
    <n v="0"/>
    <n v="1"/>
    <n v="-1.7112111280068354"/>
    <x v="1821"/>
  </r>
  <r>
    <n v="10270"/>
    <n v="11"/>
    <n v="5"/>
    <n v="22"/>
    <n v="12"/>
    <n v="5"/>
    <n v="11"/>
    <s v="Together"/>
    <n v="35523"/>
    <n v="1"/>
    <n v="0"/>
    <n v="0"/>
    <n v="1"/>
    <n v="-0.76499024795574766"/>
    <x v="1822"/>
  </r>
  <r>
    <n v="10277"/>
    <n v="36"/>
    <n v="0"/>
    <n v="2"/>
    <n v="0"/>
    <n v="0"/>
    <n v="4"/>
    <s v="Single"/>
    <n v="30081"/>
    <n v="0"/>
    <n v="1"/>
    <n v="1"/>
    <n v="0"/>
    <n v="-1.0167791105657922"/>
    <x v="1823"/>
  </r>
  <r>
    <n v="10281"/>
    <n v="180"/>
    <n v="60"/>
    <n v="241"/>
    <n v="13"/>
    <n v="54"/>
    <n v="54"/>
    <s v="Single"/>
    <n v="64713"/>
    <n v="1"/>
    <n v="0"/>
    <n v="1"/>
    <n v="0"/>
    <n v="0.58556412536053259"/>
    <x v="1824"/>
  </r>
  <r>
    <n v="10286"/>
    <n v="318"/>
    <n v="8"/>
    <n v="407"/>
    <n v="150"/>
    <n v="35"/>
    <n v="8"/>
    <s v="Together"/>
    <n v="83715"/>
    <n v="0"/>
    <n v="0"/>
    <n v="0"/>
    <n v="1"/>
    <n v="1.4647430976714595"/>
    <x v="1825"/>
  </r>
  <r>
    <n v="10299"/>
    <n v="389"/>
    <n v="91"/>
    <n v="248"/>
    <n v="64"/>
    <n v="49"/>
    <n v="41"/>
    <s v="Single"/>
    <n v="48240"/>
    <n v="0"/>
    <n v="0"/>
    <n v="1"/>
    <n v="0"/>
    <n v="-0.17660381542874751"/>
    <x v="1826"/>
  </r>
  <r>
    <n v="10307"/>
    <n v="369"/>
    <n v="9"/>
    <n v="87"/>
    <n v="12"/>
    <n v="14"/>
    <n v="34"/>
    <s v="Together"/>
    <n v="50387"/>
    <n v="0"/>
    <n v="2"/>
    <n v="0"/>
    <n v="1"/>
    <n v="-7.7267048059441096E-2"/>
    <x v="1827"/>
  </r>
  <r>
    <n v="10311"/>
    <n v="16"/>
    <n v="4"/>
    <n v="12"/>
    <n v="2"/>
    <n v="4"/>
    <n v="321"/>
    <s v="Together"/>
    <n v="4428"/>
    <n v="0"/>
    <n v="1"/>
    <n v="0"/>
    <n v="1"/>
    <n v="-2.2036846034977051"/>
    <x v="1828"/>
  </r>
  <r>
    <n v="10313"/>
    <n v="159"/>
    <n v="4"/>
    <n v="45"/>
    <n v="6"/>
    <n v="2"/>
    <n v="38"/>
    <s v="Together"/>
    <n v="48178"/>
    <n v="1"/>
    <n v="1"/>
    <n v="0"/>
    <n v="1"/>
    <n v="-0.17947241327546246"/>
    <x v="1829"/>
  </r>
  <r>
    <n v="10314"/>
    <n v="847"/>
    <n v="66"/>
    <n v="119"/>
    <n v="86"/>
    <n v="89"/>
    <n v="111"/>
    <s v="Together"/>
    <n v="83837"/>
    <n v="0"/>
    <n v="0"/>
    <n v="0"/>
    <n v="1"/>
    <n v="1.4703877579504794"/>
    <x v="1830"/>
  </r>
  <r>
    <n v="10319"/>
    <n v="1090"/>
    <n v="12"/>
    <n v="96"/>
    <n v="16"/>
    <n v="12"/>
    <n v="60"/>
    <s v="Together"/>
    <n v="66303"/>
    <n v="0"/>
    <n v="1"/>
    <n v="0"/>
    <n v="1"/>
    <n v="0.65912977981660947"/>
    <x v="1831"/>
  </r>
  <r>
    <n v="10323"/>
    <n v="205"/>
    <n v="7"/>
    <n v="41"/>
    <n v="3"/>
    <n v="2"/>
    <n v="46"/>
    <s v="Together"/>
    <n v="49413"/>
    <n v="0"/>
    <n v="1"/>
    <n v="0"/>
    <n v="1"/>
    <n v="-0.12233179487718886"/>
    <x v="1832"/>
  </r>
  <r>
    <n v="10341"/>
    <n v="68"/>
    <n v="28"/>
    <n v="39"/>
    <n v="16"/>
    <n v="30"/>
    <n v="41"/>
    <s v="Together"/>
    <n v="51315"/>
    <n v="0"/>
    <n v="0"/>
    <n v="0"/>
    <n v="1"/>
    <n v="-3.4330615773127009E-2"/>
    <x v="1833"/>
  </r>
  <r>
    <n v="10343"/>
    <n v="605"/>
    <n v="91"/>
    <n v="399"/>
    <n v="0"/>
    <n v="45"/>
    <n v="205"/>
    <s v="Single"/>
    <n v="61618"/>
    <n v="0"/>
    <n v="0"/>
    <n v="1"/>
    <n v="0"/>
    <n v="0.44236557156081047"/>
    <x v="1834"/>
  </r>
  <r>
    <n v="10350"/>
    <n v="33"/>
    <n v="0"/>
    <n v="5"/>
    <n v="0"/>
    <n v="0"/>
    <n v="0"/>
    <s v="Together"/>
    <n v="54432"/>
    <n v="2"/>
    <n v="1"/>
    <n v="0"/>
    <n v="1"/>
    <n v="0.10988582758510683"/>
    <x v="1835"/>
  </r>
  <r>
    <n v="10352"/>
    <n v="50"/>
    <n v="4"/>
    <n v="28"/>
    <n v="6"/>
    <n v="3"/>
    <n v="26"/>
    <s v="Single"/>
    <n v="34213"/>
    <n v="1"/>
    <n v="1"/>
    <n v="1"/>
    <n v="0"/>
    <n v="-0.82560094439440224"/>
    <x v="1836"/>
  </r>
  <r>
    <n v="10356"/>
    <n v="29"/>
    <n v="0"/>
    <n v="2"/>
    <n v="0"/>
    <n v="0"/>
    <n v="1"/>
    <s v="Single"/>
    <n v="41437"/>
    <n v="1"/>
    <n v="1"/>
    <n v="1"/>
    <n v="0"/>
    <n v="-0.49136302754490557"/>
    <x v="1837"/>
  </r>
  <r>
    <n v="10364"/>
    <n v="0"/>
    <n v="0"/>
    <n v="1"/>
    <n v="2"/>
    <n v="12"/>
    <n v="5"/>
    <s v="Single"/>
    <n v="23295"/>
    <n v="0"/>
    <n v="0"/>
    <n v="1"/>
    <n v="0"/>
    <n v="-1.3307517716594639"/>
    <x v="1838"/>
  </r>
  <r>
    <n v="10377"/>
    <n v="170"/>
    <n v="6"/>
    <n v="97"/>
    <n v="24"/>
    <n v="12"/>
    <n v="88"/>
    <s v="Together"/>
    <n v="46692"/>
    <n v="0"/>
    <n v="1"/>
    <n v="0"/>
    <n v="1"/>
    <n v="-0.24822622618221107"/>
    <x v="1839"/>
  </r>
  <r>
    <n v="10379"/>
    <n v="327"/>
    <n v="9"/>
    <n v="122"/>
    <n v="19"/>
    <n v="14"/>
    <n v="83"/>
    <s v="Single"/>
    <n v="59247"/>
    <n v="0"/>
    <n v="2"/>
    <n v="1"/>
    <n v="0"/>
    <n v="0.33266483777756622"/>
    <x v="1840"/>
  </r>
  <r>
    <n v="10380"/>
    <n v="40"/>
    <n v="1"/>
    <n v="40"/>
    <n v="4"/>
    <n v="3"/>
    <n v="18"/>
    <s v="Together"/>
    <n v="37787"/>
    <n v="1"/>
    <n v="0"/>
    <n v="0"/>
    <n v="1"/>
    <n v="-0.660240158843447"/>
    <x v="1841"/>
  </r>
  <r>
    <n v="10381"/>
    <n v="14"/>
    <n v="0"/>
    <n v="3"/>
    <n v="0"/>
    <n v="0"/>
    <n v="4"/>
    <s v="Single"/>
    <n v="47691"/>
    <n v="0"/>
    <n v="1"/>
    <n v="1"/>
    <n v="0"/>
    <n v="-0.20200478668433633"/>
    <x v="1842"/>
  </r>
  <r>
    <n v="10383"/>
    <n v="295"/>
    <n v="35"/>
    <n v="482"/>
    <n v="121"/>
    <n v="120"/>
    <n v="40"/>
    <s v="Single"/>
    <n v="70287"/>
    <n v="0"/>
    <n v="0"/>
    <n v="1"/>
    <n v="0"/>
    <n v="0.8434603253216475"/>
    <x v="1843"/>
  </r>
  <r>
    <n v="10390"/>
    <n v="6"/>
    <n v="7"/>
    <n v="4"/>
    <n v="3"/>
    <n v="4"/>
    <n v="6"/>
    <s v="Together"/>
    <n v="26887"/>
    <n v="0"/>
    <n v="1"/>
    <n v="0"/>
    <n v="1"/>
    <n v="-1.1645581673788172"/>
    <x v="1844"/>
  </r>
  <r>
    <n v="10394"/>
    <n v="675"/>
    <n v="144"/>
    <n v="133"/>
    <n v="94"/>
    <n v="192"/>
    <n v="241"/>
    <s v="Together"/>
    <n v="90000"/>
    <n v="0"/>
    <n v="0"/>
    <n v="0"/>
    <n v="1"/>
    <n v="1.7555356374553863"/>
    <x v="1845"/>
  </r>
  <r>
    <n v="10395"/>
    <n v="1"/>
    <n v="45"/>
    <n v="3"/>
    <n v="4"/>
    <n v="6"/>
    <n v="42"/>
    <s v="Single"/>
    <n v="8940"/>
    <n v="1"/>
    <n v="0"/>
    <n v="1"/>
    <n v="0"/>
    <n v="-1.9949247085883848"/>
    <x v="1846"/>
  </r>
  <r>
    <n v="10398"/>
    <n v="1"/>
    <n v="6"/>
    <n v="2"/>
    <n v="8"/>
    <n v="2"/>
    <n v="12"/>
    <s v="Single"/>
    <n v="24336"/>
    <n v="1"/>
    <n v="0"/>
    <n v="1"/>
    <n v="0"/>
    <n v="-1.2825870884589758"/>
    <x v="1847"/>
  </r>
  <r>
    <n v="10401"/>
    <n v="1"/>
    <n v="0"/>
    <n v="5"/>
    <n v="0"/>
    <n v="3"/>
    <n v="9"/>
    <s v="Together"/>
    <n v="26326"/>
    <n v="0"/>
    <n v="0"/>
    <n v="0"/>
    <n v="1"/>
    <n v="-1.1905143511208669"/>
    <x v="1848"/>
  </r>
  <r>
    <n v="10402"/>
    <n v="25"/>
    <n v="1"/>
    <n v="9"/>
    <n v="2"/>
    <n v="1"/>
    <n v="1"/>
    <s v="Together"/>
    <n v="35441"/>
    <n v="1"/>
    <n v="1"/>
    <n v="0"/>
    <n v="1"/>
    <n v="-0.76878419994656422"/>
    <x v="1849"/>
  </r>
  <r>
    <n v="10403"/>
    <n v="2"/>
    <n v="13"/>
    <n v="6"/>
    <n v="7"/>
    <n v="5"/>
    <n v="11"/>
    <s v="Together"/>
    <n v="16531"/>
    <n v="1"/>
    <n v="0"/>
    <n v="0"/>
    <n v="1"/>
    <n v="-1.6437065431946238"/>
    <x v="1850"/>
  </r>
  <r>
    <n v="10413"/>
    <n v="274"/>
    <n v="83"/>
    <n v="216"/>
    <n v="151"/>
    <n v="141"/>
    <n v="224"/>
    <s v="Together"/>
    <n v="72570"/>
    <n v="0"/>
    <n v="0"/>
    <n v="0"/>
    <n v="1"/>
    <n v="0.94908950087084476"/>
    <x v="1851"/>
  </r>
  <r>
    <n v="10420"/>
    <n v="95"/>
    <n v="14"/>
    <n v="64"/>
    <n v="2"/>
    <n v="9"/>
    <n v="38"/>
    <s v="Single"/>
    <n v="46390"/>
    <n v="0"/>
    <n v="1"/>
    <n v="1"/>
    <n v="0"/>
    <n v="-0.26219907375814516"/>
    <x v="1852"/>
  </r>
  <r>
    <n v="10424"/>
    <n v="265"/>
    <n v="138"/>
    <n v="553"/>
    <n v="224"/>
    <n v="23"/>
    <n v="92"/>
    <s v="Single"/>
    <n v="75922"/>
    <n v="0"/>
    <n v="0"/>
    <n v="1"/>
    <n v="0"/>
    <n v="1.1041788554222725"/>
    <x v="1853"/>
  </r>
  <r>
    <n v="10430"/>
    <n v="1126"/>
    <n v="28"/>
    <n v="211"/>
    <n v="37"/>
    <n v="28"/>
    <n v="42"/>
    <s v="Single"/>
    <n v="89694"/>
    <n v="1"/>
    <n v="1"/>
    <n v="1"/>
    <n v="0"/>
    <n v="1.7413777190506319"/>
    <x v="1854"/>
  </r>
  <r>
    <n v="10432"/>
    <n v="2"/>
    <n v="0"/>
    <n v="9"/>
    <n v="3"/>
    <n v="6"/>
    <n v="2"/>
    <s v="Single"/>
    <n v="19346"/>
    <n v="1"/>
    <n v="0"/>
    <n v="1"/>
    <n v="0"/>
    <n v="-1.5134629474123242"/>
    <x v="1855"/>
  </r>
  <r>
    <n v="10446"/>
    <n v="184"/>
    <n v="23"/>
    <n v="446"/>
    <n v="30"/>
    <n v="23"/>
    <n v="23"/>
    <s v="Together"/>
    <n v="82017"/>
    <n v="0"/>
    <n v="0"/>
    <n v="0"/>
    <n v="1"/>
    <n v="1.3861805308372339"/>
    <x v="1856"/>
  </r>
  <r>
    <n v="10448"/>
    <n v="172"/>
    <n v="41"/>
    <n v="86"/>
    <n v="45"/>
    <n v="6"/>
    <n v="27"/>
    <s v="Single"/>
    <n v="46998"/>
    <n v="0"/>
    <n v="1"/>
    <n v="1"/>
    <n v="0"/>
    <n v="-0.23406830777745666"/>
    <x v="1857"/>
  </r>
  <r>
    <n v="10466"/>
    <n v="24"/>
    <n v="2"/>
    <n v="20"/>
    <n v="2"/>
    <n v="2"/>
    <n v="10"/>
    <s v="Together"/>
    <n v="44393"/>
    <n v="1"/>
    <n v="1"/>
    <n v="0"/>
    <n v="1"/>
    <n v="-0.35459568504668959"/>
    <x v="1858"/>
  </r>
  <r>
    <n v="10469"/>
    <n v="519"/>
    <n v="71"/>
    <n v="860"/>
    <n v="93"/>
    <n v="27"/>
    <n v="53"/>
    <s v="Together"/>
    <n v="88325"/>
    <n v="0"/>
    <n v="0"/>
    <n v="0"/>
    <n v="1"/>
    <n v="1.6780372278868776"/>
    <x v="1859"/>
  </r>
  <r>
    <n v="10470"/>
    <n v="40"/>
    <n v="2"/>
    <n v="23"/>
    <n v="0"/>
    <n v="4"/>
    <n v="23"/>
    <s v="Together"/>
    <n v="40662"/>
    <n v="1"/>
    <n v="0"/>
    <n v="0"/>
    <n v="1"/>
    <n v="-0.5272205006288424"/>
    <x v="1860"/>
  </r>
  <r>
    <n v="10473"/>
    <n v="158"/>
    <n v="19"/>
    <n v="288"/>
    <n v="25"/>
    <n v="0"/>
    <n v="38"/>
    <s v="Single"/>
    <n v="78028"/>
    <n v="0"/>
    <n v="1"/>
    <n v="1"/>
    <n v="0"/>
    <n v="1.2016186467961705"/>
    <x v="1861"/>
  </r>
  <r>
    <n v="10476"/>
    <n v="134"/>
    <n v="11"/>
    <n v="59"/>
    <n v="15"/>
    <n v="2"/>
    <n v="30"/>
    <s v="Together"/>
    <n v="67267"/>
    <n v="0"/>
    <n v="1"/>
    <n v="0"/>
    <n v="1"/>
    <n v="0.7037318495623065"/>
    <x v="1862"/>
  </r>
  <r>
    <n v="10477"/>
    <n v="71"/>
    <n v="0"/>
    <n v="18"/>
    <n v="0"/>
    <n v="0"/>
    <n v="13"/>
    <s v="Together"/>
    <n v="39435"/>
    <n v="1"/>
    <n v="0"/>
    <n v="0"/>
    <n v="1"/>
    <n v="-0.58399097736947536"/>
    <x v="1863"/>
  </r>
  <r>
    <n v="10478"/>
    <n v="483"/>
    <n v="0"/>
    <n v="108"/>
    <n v="0"/>
    <n v="6"/>
    <n v="36"/>
    <s v="Together"/>
    <n v="55517"/>
    <n v="1"/>
    <n v="1"/>
    <n v="0"/>
    <n v="1"/>
    <n v="0.16008628990261844"/>
    <x v="1864"/>
  </r>
  <r>
    <n v="10479"/>
    <n v="749"/>
    <n v="40"/>
    <n v="294"/>
    <n v="121"/>
    <n v="160"/>
    <n v="147"/>
    <s v="Together"/>
    <n v="76618"/>
    <n v="0"/>
    <n v="0"/>
    <n v="0"/>
    <n v="1"/>
    <n v="1.136381179637008"/>
    <x v="1865"/>
  </r>
  <r>
    <n v="10486"/>
    <n v="476"/>
    <n v="75"/>
    <n v="162"/>
    <n v="29"/>
    <n v="151"/>
    <n v="97"/>
    <s v="Together"/>
    <n v="77142"/>
    <n v="0"/>
    <n v="0"/>
    <n v="0"/>
    <n v="1"/>
    <n v="1.1606254582124698"/>
    <x v="1866"/>
  </r>
  <r>
    <n v="10489"/>
    <n v="693"/>
    <n v="21"/>
    <n v="925"/>
    <n v="31"/>
    <n v="24"/>
    <n v="84"/>
    <s v="Together"/>
    <n v="92955"/>
    <n v="0"/>
    <n v="0"/>
    <n v="0"/>
    <n v="1"/>
    <n v="1.8922567122463971"/>
    <x v="1867"/>
  </r>
  <r>
    <n v="10490"/>
    <n v="100"/>
    <n v="64"/>
    <n v="79"/>
    <n v="65"/>
    <n v="0"/>
    <n v="109"/>
    <s v="Together"/>
    <n v="51039"/>
    <n v="1"/>
    <n v="1"/>
    <n v="0"/>
    <n v="1"/>
    <n v="-4.7100502961729046E-2"/>
    <x v="1868"/>
  </r>
  <r>
    <n v="10492"/>
    <n v="2"/>
    <n v="0"/>
    <n v="5"/>
    <n v="2"/>
    <n v="0"/>
    <n v="1"/>
    <s v="Together"/>
    <n v="38285"/>
    <n v="2"/>
    <n v="1"/>
    <n v="0"/>
    <n v="1"/>
    <n v="-0.63719884065531718"/>
    <x v="1869"/>
  </r>
  <r>
    <n v="10500"/>
    <n v="19"/>
    <n v="1"/>
    <n v="20"/>
    <n v="16"/>
    <n v="14"/>
    <n v="28"/>
    <s v="Together"/>
    <n v="31761"/>
    <n v="1"/>
    <n v="0"/>
    <n v="0"/>
    <n v="1"/>
    <n v="-0.93904936246125803"/>
    <x v="1870"/>
  </r>
  <r>
    <n v="10505"/>
    <n v="741"/>
    <n v="19"/>
    <n v="154"/>
    <n v="50"/>
    <n v="9"/>
    <n v="28"/>
    <s v="Together"/>
    <n v="73113"/>
    <n v="0"/>
    <n v="0"/>
    <n v="0"/>
    <n v="1"/>
    <n v="0.97421286588320311"/>
    <x v="1871"/>
  </r>
  <r>
    <n v="10507"/>
    <n v="691"/>
    <n v="7"/>
    <n v="69"/>
    <n v="0"/>
    <n v="7"/>
    <n v="23"/>
    <s v="Single"/>
    <n v="59601"/>
    <n v="0"/>
    <n v="1"/>
    <n v="1"/>
    <n v="0"/>
    <n v="0.34904360612816449"/>
    <x v="1872"/>
  </r>
  <r>
    <n v="10509"/>
    <n v="51"/>
    <n v="0"/>
    <n v="16"/>
    <n v="0"/>
    <n v="0"/>
    <n v="4"/>
    <s v="Single"/>
    <n v="36927"/>
    <n v="1"/>
    <n v="1"/>
    <n v="1"/>
    <n v="0"/>
    <n v="-0.70003038703981568"/>
    <x v="1873"/>
  </r>
  <r>
    <n v="10513"/>
    <n v="438"/>
    <n v="169"/>
    <n v="565"/>
    <n v="91"/>
    <n v="169"/>
    <n v="70"/>
    <s v="Together"/>
    <n v="63207"/>
    <n v="0"/>
    <n v="0"/>
    <n v="0"/>
    <n v="1"/>
    <n v="0.5158849583096824"/>
    <x v="1874"/>
  </r>
  <r>
    <n v="10524"/>
    <n v="386"/>
    <n v="23"/>
    <n v="95"/>
    <n v="54"/>
    <n v="41"/>
    <n v="196"/>
    <s v="Single"/>
    <n v="49476"/>
    <n v="0"/>
    <n v="1"/>
    <n v="1"/>
    <n v="0"/>
    <n v="-0.11941692932326882"/>
    <x v="1875"/>
  </r>
  <r>
    <n v="10525"/>
    <n v="10"/>
    <n v="0"/>
    <n v="8"/>
    <n v="0"/>
    <n v="0"/>
    <n v="9"/>
    <s v="Single"/>
    <n v="26576"/>
    <n v="1"/>
    <n v="0"/>
    <n v="1"/>
    <n v="0"/>
    <n v="-1.178947424319597"/>
    <x v="1876"/>
  </r>
  <r>
    <n v="10530"/>
    <n v="431"/>
    <n v="82"/>
    <n v="441"/>
    <n v="80"/>
    <n v="20"/>
    <n v="102"/>
    <s v="Single"/>
    <n v="67786"/>
    <n v="0"/>
    <n v="0"/>
    <n v="1"/>
    <n v="0"/>
    <n v="0.72774478960174294"/>
    <x v="1877"/>
  </r>
  <r>
    <n v="10542"/>
    <n v="29"/>
    <n v="4"/>
    <n v="34"/>
    <n v="2"/>
    <n v="4"/>
    <n v="4"/>
    <s v="Together"/>
    <n v="36778"/>
    <n v="1"/>
    <n v="1"/>
    <n v="0"/>
    <n v="1"/>
    <n v="-0.70692427541337255"/>
    <x v="1878"/>
  </r>
  <r>
    <n v="10548"/>
    <n v="283"/>
    <n v="17"/>
    <n v="372"/>
    <n v="138"/>
    <n v="106"/>
    <n v="44"/>
    <s v="Single"/>
    <n v="71163"/>
    <n v="0"/>
    <n v="0"/>
    <n v="1"/>
    <n v="0"/>
    <n v="0.88399083683329749"/>
    <x v="1879"/>
  </r>
  <r>
    <n v="10552"/>
    <n v="70"/>
    <n v="54"/>
    <n v="109"/>
    <n v="80"/>
    <n v="9"/>
    <n v="45"/>
    <s v="Together"/>
    <n v="54210"/>
    <n v="0"/>
    <n v="1"/>
    <n v="0"/>
    <n v="1"/>
    <n v="9.9614396585579107E-2"/>
    <x v="1880"/>
  </r>
  <r>
    <n v="10556"/>
    <n v="173"/>
    <n v="13"/>
    <n v="131"/>
    <n v="32"/>
    <n v="3"/>
    <n v="6"/>
    <s v="Together"/>
    <n v="54984"/>
    <n v="0"/>
    <n v="1"/>
    <n v="0"/>
    <n v="1"/>
    <n v="0.1354256019623109"/>
    <x v="1881"/>
  </r>
  <r>
    <n v="10560"/>
    <n v="16"/>
    <n v="1"/>
    <n v="2"/>
    <n v="0"/>
    <n v="0"/>
    <n v="1"/>
    <s v="Single"/>
    <n v="36802"/>
    <n v="1"/>
    <n v="0"/>
    <n v="1"/>
    <n v="0"/>
    <n v="-0.70581385044045064"/>
    <x v="1882"/>
  </r>
  <r>
    <n v="10573"/>
    <n v="125"/>
    <n v="16"/>
    <n v="98"/>
    <n v="134"/>
    <n v="21"/>
    <n v="27"/>
    <s v="Single"/>
    <n v="62551"/>
    <n v="0"/>
    <n v="0"/>
    <n v="1"/>
    <n v="0"/>
    <n v="0.48553334238314999"/>
    <x v="1883"/>
  </r>
  <r>
    <n v="10581"/>
    <n v="281"/>
    <n v="7"/>
    <n v="84"/>
    <n v="15"/>
    <n v="0"/>
    <n v="119"/>
    <s v="Together"/>
    <n v="41124"/>
    <n v="1"/>
    <n v="0"/>
    <n v="0"/>
    <n v="1"/>
    <n v="-0.50584481990009555"/>
    <x v="1884"/>
  </r>
  <r>
    <n v="10582"/>
    <n v="180"/>
    <n v="32"/>
    <n v="348"/>
    <n v="76"/>
    <n v="32"/>
    <n v="90"/>
    <s v="Together"/>
    <n v="72063"/>
    <n v="0"/>
    <n v="1"/>
    <n v="0"/>
    <n v="1"/>
    <n v="0.92563177331786928"/>
    <x v="1885"/>
  </r>
  <r>
    <n v="10584"/>
    <n v="225"/>
    <n v="162"/>
    <n v="387"/>
    <n v="106"/>
    <n v="36"/>
    <n v="29"/>
    <s v="Together"/>
    <n v="65665"/>
    <n v="0"/>
    <n v="1"/>
    <n v="0"/>
    <n v="1"/>
    <n v="0.62961098261976856"/>
    <x v="1886"/>
  </r>
  <r>
    <n v="10590"/>
    <n v="794"/>
    <n v="73"/>
    <n v="573"/>
    <n v="0"/>
    <n v="29"/>
    <n v="14"/>
    <s v="Together"/>
    <n v="76542"/>
    <n v="0"/>
    <n v="0"/>
    <n v="0"/>
    <n v="1"/>
    <n v="1.1328648338894218"/>
    <x v="1887"/>
  </r>
  <r>
    <n v="10591"/>
    <n v="63"/>
    <n v="10"/>
    <n v="83"/>
    <n v="7"/>
    <n v="19"/>
    <n v="19"/>
    <s v="Single"/>
    <n v="43638"/>
    <n v="0"/>
    <n v="1"/>
    <n v="1"/>
    <n v="0"/>
    <n v="-0.38952780398652487"/>
    <x v="1888"/>
  </r>
  <r>
    <n v="10595"/>
    <n v="2"/>
    <n v="6"/>
    <n v="28"/>
    <n v="13"/>
    <n v="4"/>
    <n v="16"/>
    <s v="Together"/>
    <n v="30093"/>
    <n v="0"/>
    <n v="0"/>
    <n v="0"/>
    <n v="1"/>
    <n v="-1.0162238980793312"/>
    <x v="1889"/>
  </r>
  <r>
    <n v="10598"/>
    <n v="12"/>
    <n v="1"/>
    <n v="16"/>
    <n v="4"/>
    <n v="1"/>
    <n v="3"/>
    <s v="Together"/>
    <n v="27943"/>
    <n v="1"/>
    <n v="1"/>
    <n v="0"/>
    <n v="1"/>
    <n v="-1.1156994685702528"/>
    <x v="1890"/>
  </r>
  <r>
    <n v="10609"/>
    <n v="71"/>
    <n v="0"/>
    <n v="13"/>
    <n v="3"/>
    <n v="1"/>
    <n v="0"/>
    <s v="Together"/>
    <n v="42769"/>
    <n v="0"/>
    <n v="1"/>
    <n v="0"/>
    <n v="1"/>
    <n v="-0.42973444154773927"/>
    <x v="1891"/>
  </r>
  <r>
    <n v="10613"/>
    <n v="26"/>
    <n v="1"/>
    <n v="16"/>
    <n v="2"/>
    <n v="2"/>
    <n v="15"/>
    <s v="Together"/>
    <n v="37334"/>
    <n v="1"/>
    <n v="1"/>
    <n v="0"/>
    <n v="1"/>
    <n v="-0.68119943020734819"/>
    <x v="1892"/>
  </r>
  <r>
    <n v="10619"/>
    <n v="770"/>
    <n v="29"/>
    <n v="890"/>
    <n v="250"/>
    <n v="27"/>
    <n v="24"/>
    <s v="Single"/>
    <n v="95529"/>
    <n v="0"/>
    <n v="0"/>
    <n v="1"/>
    <n v="0"/>
    <n v="2.0113497905922726"/>
    <x v="1893"/>
  </r>
  <r>
    <n v="10623"/>
    <n v="28"/>
    <n v="0"/>
    <n v="4"/>
    <n v="0"/>
    <n v="0"/>
    <n v="0"/>
    <s v="Together"/>
    <n v="48330"/>
    <n v="0"/>
    <n v="1"/>
    <n v="0"/>
    <n v="1"/>
    <n v="-0.17243972178029029"/>
    <x v="1894"/>
  </r>
  <r>
    <n v="10634"/>
    <n v="90"/>
    <n v="67"/>
    <n v="165"/>
    <n v="30"/>
    <n v="43"/>
    <n v="11"/>
    <s v="Together"/>
    <n v="59412"/>
    <n v="0"/>
    <n v="0"/>
    <n v="0"/>
    <n v="1"/>
    <n v="0.3402990094664044"/>
    <x v="1895"/>
  </r>
  <r>
    <n v="10637"/>
    <n v="24"/>
    <n v="0"/>
    <n v="27"/>
    <n v="8"/>
    <n v="30"/>
    <n v="10"/>
    <s v="Together"/>
    <n v="40800"/>
    <n v="1"/>
    <n v="2"/>
    <n v="0"/>
    <n v="1"/>
    <n v="-0.52083555703454143"/>
    <x v="1896"/>
  </r>
  <r>
    <n v="10640"/>
    <n v="87"/>
    <n v="5"/>
    <n v="71"/>
    <n v="7"/>
    <n v="12"/>
    <n v="29"/>
    <s v="Together"/>
    <n v="44392"/>
    <n v="1"/>
    <n v="1"/>
    <n v="0"/>
    <n v="1"/>
    <n v="-0.35464195275389471"/>
    <x v="1897"/>
  </r>
  <r>
    <n v="10641"/>
    <n v="6"/>
    <n v="5"/>
    <n v="4"/>
    <n v="13"/>
    <n v="4"/>
    <n v="25"/>
    <s v="Single"/>
    <n v="7500"/>
    <n v="1"/>
    <n v="1"/>
    <n v="1"/>
    <n v="0"/>
    <n v="-2.0615502069636999"/>
    <x v="1898"/>
  </r>
  <r>
    <n v="10652"/>
    <n v="240"/>
    <n v="67"/>
    <n v="500"/>
    <n v="199"/>
    <n v="0"/>
    <n v="163"/>
    <s v="Together"/>
    <n v="65487"/>
    <n v="0"/>
    <n v="0"/>
    <n v="0"/>
    <n v="1"/>
    <n v="0.62137533073726436"/>
    <x v="1899"/>
  </r>
  <r>
    <n v="10659"/>
    <n v="2"/>
    <n v="8"/>
    <n v="11"/>
    <n v="3"/>
    <n v="8"/>
    <n v="21"/>
    <s v="Together"/>
    <n v="7500"/>
    <n v="1"/>
    <n v="0"/>
    <n v="0"/>
    <n v="1"/>
    <n v="-2.0615502069636999"/>
    <x v="90"/>
  </r>
  <r>
    <n v="10660"/>
    <n v="349"/>
    <n v="7"/>
    <n v="35"/>
    <n v="0"/>
    <n v="0"/>
    <n v="47"/>
    <s v="Together"/>
    <n v="66726"/>
    <n v="1"/>
    <n v="1"/>
    <n v="0"/>
    <n v="1"/>
    <n v="0.67870101996435828"/>
    <x v="1900"/>
  </r>
  <r>
    <n v="10664"/>
    <n v="400"/>
    <n v="4"/>
    <n v="35"/>
    <n v="6"/>
    <n v="0"/>
    <n v="22"/>
    <s v="Single"/>
    <n v="51529"/>
    <n v="0"/>
    <n v="1"/>
    <n v="1"/>
    <n v="0"/>
    <n v="-2.4429326431239927E-2"/>
    <x v="1901"/>
  </r>
  <r>
    <n v="10669"/>
    <n v="277"/>
    <n v="21"/>
    <n v="64"/>
    <n v="62"/>
    <n v="21"/>
    <n v="25"/>
    <s v="Together"/>
    <n v="54386"/>
    <n v="0"/>
    <n v="1"/>
    <n v="0"/>
    <n v="1"/>
    <n v="0.10775751305367315"/>
    <x v="1902"/>
  </r>
  <r>
    <n v="10673"/>
    <n v="760"/>
    <n v="80"/>
    <n v="466"/>
    <n v="17"/>
    <n v="13"/>
    <n v="80"/>
    <s v="Together"/>
    <n v="68397"/>
    <n v="0"/>
    <n v="1"/>
    <n v="0"/>
    <n v="1"/>
    <n v="0.75601435870404665"/>
    <x v="1903"/>
  </r>
  <r>
    <n v="10675"/>
    <n v="909"/>
    <n v="11"/>
    <n v="218"/>
    <n v="0"/>
    <n v="0"/>
    <n v="23"/>
    <s v="Together"/>
    <n v="66334"/>
    <n v="0"/>
    <n v="1"/>
    <n v="0"/>
    <n v="1"/>
    <n v="0.66056407873996703"/>
    <x v="1904"/>
  </r>
  <r>
    <n v="10676"/>
    <n v="145"/>
    <n v="193"/>
    <n v="459"/>
    <n v="205"/>
    <n v="26"/>
    <n v="145"/>
    <s v="Together"/>
    <n v="63211"/>
    <n v="0"/>
    <n v="0"/>
    <n v="0"/>
    <n v="1"/>
    <n v="0.51607002913850264"/>
    <x v="1905"/>
  </r>
  <r>
    <n v="10678"/>
    <n v="653"/>
    <n v="17"/>
    <n v="170"/>
    <n v="34"/>
    <n v="26"/>
    <n v="17"/>
    <s v="Together"/>
    <n v="71232"/>
    <n v="0"/>
    <n v="1"/>
    <n v="0"/>
    <n v="1"/>
    <n v="0.88718330863044803"/>
    <x v="1906"/>
  </r>
  <r>
    <n v="10680"/>
    <n v="45"/>
    <n v="0"/>
    <n v="16"/>
    <n v="2"/>
    <n v="1"/>
    <n v="6"/>
    <s v="Together"/>
    <n v="33235"/>
    <n v="1"/>
    <n v="0"/>
    <n v="0"/>
    <n v="1"/>
    <n v="-0.87085076204097034"/>
    <x v="1907"/>
  </r>
  <r>
    <n v="10686"/>
    <n v="15"/>
    <n v="0"/>
    <n v="4"/>
    <n v="0"/>
    <n v="0"/>
    <n v="2"/>
    <s v="Together"/>
    <n v="34230"/>
    <n v="1"/>
    <n v="1"/>
    <n v="0"/>
    <n v="1"/>
    <n v="-0.82481439337191598"/>
    <x v="1908"/>
  </r>
  <r>
    <n v="10691"/>
    <n v="11"/>
    <n v="0"/>
    <n v="10"/>
    <n v="0"/>
    <n v="2"/>
    <n v="20"/>
    <s v="Together"/>
    <n v="28520"/>
    <n v="1"/>
    <n v="1"/>
    <n v="0"/>
    <n v="1"/>
    <n v="-1.0890030015129217"/>
    <x v="1909"/>
  </r>
  <r>
    <n v="10699"/>
    <n v="46"/>
    <n v="0"/>
    <n v="40"/>
    <n v="3"/>
    <n v="0"/>
    <n v="3"/>
    <s v="Together"/>
    <n v="44322"/>
    <n v="1"/>
    <n v="0"/>
    <n v="0"/>
    <n v="1"/>
    <n v="-0.35788069225825025"/>
    <x v="1910"/>
  </r>
  <r>
    <n v="10701"/>
    <n v="713"/>
    <n v="0"/>
    <n v="264"/>
    <n v="120"/>
    <n v="80"/>
    <n v="34"/>
    <s v="Together"/>
    <n v="65308"/>
    <n v="0"/>
    <n v="0"/>
    <n v="0"/>
    <n v="1"/>
    <n v="0.61309341114755511"/>
    <x v="1911"/>
  </r>
  <r>
    <n v="10702"/>
    <n v="185"/>
    <n v="8"/>
    <n v="133"/>
    <n v="56"/>
    <n v="56"/>
    <n v="12"/>
    <s v="Single"/>
    <n v="52413"/>
    <n v="1"/>
    <n v="0"/>
    <n v="1"/>
    <n v="0"/>
    <n v="1.6471326738050643E-2"/>
    <x v="1912"/>
  </r>
  <r>
    <n v="10704"/>
    <n v="404"/>
    <n v="0"/>
    <n v="92"/>
    <n v="28"/>
    <n v="27"/>
    <n v="142"/>
    <s v="Single"/>
    <n v="54803"/>
    <n v="0"/>
    <n v="1"/>
    <n v="1"/>
    <n v="0"/>
    <n v="0.12705114695819145"/>
    <x v="1913"/>
  </r>
  <r>
    <n v="10708"/>
    <n v="10"/>
    <n v="6"/>
    <n v="11"/>
    <n v="0"/>
    <n v="4"/>
    <n v="2"/>
    <s v="Single"/>
    <n v="36975"/>
    <n v="1"/>
    <n v="0"/>
    <n v="1"/>
    <n v="0"/>
    <n v="-0.69780953709397175"/>
    <x v="1914"/>
  </r>
  <r>
    <n v="10710"/>
    <n v="5"/>
    <n v="2"/>
    <n v="3"/>
    <n v="3"/>
    <n v="0"/>
    <n v="5"/>
    <s v="Together"/>
    <n v="7500"/>
    <n v="0"/>
    <n v="1"/>
    <n v="0"/>
    <n v="1"/>
    <n v="-2.0615502069636999"/>
    <x v="90"/>
  </r>
  <r>
    <n v="10711"/>
    <n v="217"/>
    <n v="77"/>
    <n v="373"/>
    <n v="111"/>
    <n v="23"/>
    <n v="93"/>
    <s v="Together"/>
    <n v="69755"/>
    <n v="0"/>
    <n v="0"/>
    <n v="0"/>
    <n v="1"/>
    <n v="0.81884590508854505"/>
    <x v="1915"/>
  </r>
  <r>
    <n v="10722"/>
    <n v="293"/>
    <n v="8"/>
    <n v="124"/>
    <n v="11"/>
    <n v="4"/>
    <n v="106"/>
    <s v="Together"/>
    <n v="55593"/>
    <n v="0"/>
    <n v="1"/>
    <n v="0"/>
    <n v="1"/>
    <n v="0.1636026356502045"/>
    <x v="1916"/>
  </r>
  <r>
    <n v="10736"/>
    <n v="522"/>
    <n v="0"/>
    <n v="522"/>
    <n v="227"/>
    <n v="120"/>
    <n v="134"/>
    <s v="Single"/>
    <n v="72258"/>
    <n v="0"/>
    <n v="1"/>
    <n v="1"/>
    <n v="0"/>
    <n v="0.93465397622285995"/>
    <x v="1917"/>
  </r>
  <r>
    <n v="10738"/>
    <n v="40"/>
    <n v="0"/>
    <n v="19"/>
    <n v="2"/>
    <n v="1"/>
    <n v="3"/>
    <s v="Single"/>
    <n v="49389"/>
    <n v="1"/>
    <n v="1"/>
    <n v="1"/>
    <n v="0"/>
    <n v="-0.12344221985011077"/>
    <x v="1918"/>
  </r>
  <r>
    <n v="10742"/>
    <n v="532"/>
    <n v="21"/>
    <n v="127"/>
    <n v="26"/>
    <n v="20"/>
    <n v="20"/>
    <s v="Together"/>
    <n v="86580"/>
    <n v="0"/>
    <n v="0"/>
    <n v="0"/>
    <n v="1"/>
    <n v="1.5973000788140133"/>
    <x v="1919"/>
  </r>
  <r>
    <n v="10749"/>
    <n v="73"/>
    <n v="18"/>
    <n v="66"/>
    <n v="7"/>
    <n v="12"/>
    <n v="2"/>
    <s v="Single"/>
    <n v="8028"/>
    <n v="0"/>
    <n v="0"/>
    <n v="1"/>
    <n v="0"/>
    <n v="-2.0371208575594175"/>
    <x v="1920"/>
  </r>
  <r>
    <n v="10755"/>
    <n v="6"/>
    <n v="3"/>
    <n v="14"/>
    <n v="15"/>
    <n v="7"/>
    <n v="36"/>
    <s v="Together"/>
    <n v="23718"/>
    <n v="1"/>
    <n v="0"/>
    <n v="0"/>
    <n v="1"/>
    <n v="-1.3111805315117151"/>
    <x v="1921"/>
  </r>
  <r>
    <n v="10757"/>
    <n v="4"/>
    <n v="2"/>
    <n v="5"/>
    <n v="2"/>
    <n v="0"/>
    <n v="0"/>
    <s v="Single"/>
    <n v="28420"/>
    <n v="1"/>
    <n v="0"/>
    <n v="1"/>
    <n v="0"/>
    <n v="-1.0936297722334298"/>
    <x v="1922"/>
  </r>
  <r>
    <n v="10767"/>
    <n v="760"/>
    <n v="40"/>
    <n v="480"/>
    <n v="0"/>
    <n v="40"/>
    <n v="26"/>
    <s v="Together"/>
    <n v="77845"/>
    <n v="0"/>
    <n v="0"/>
    <n v="0"/>
    <n v="1"/>
    <n v="1.193151656377641"/>
    <x v="1923"/>
  </r>
  <r>
    <n v="10770"/>
    <n v="247"/>
    <n v="161"/>
    <n v="295"/>
    <n v="210"/>
    <n v="85"/>
    <n v="47"/>
    <s v="Together"/>
    <n v="65492"/>
    <n v="0"/>
    <n v="0"/>
    <n v="0"/>
    <n v="1"/>
    <n v="0.62160666927328978"/>
    <x v="1924"/>
  </r>
  <r>
    <n v="10779"/>
    <n v="15"/>
    <n v="5"/>
    <n v="14"/>
    <n v="0"/>
    <n v="4"/>
    <n v="11"/>
    <s v="Single"/>
    <n v="22148"/>
    <n v="0"/>
    <n v="0"/>
    <n v="1"/>
    <n v="0"/>
    <n v="-1.3838208318236904"/>
    <x v="1925"/>
  </r>
  <r>
    <n v="10785"/>
    <n v="24"/>
    <n v="1"/>
    <n v="10"/>
    <n v="2"/>
    <n v="0"/>
    <n v="4"/>
    <s v="Together"/>
    <n v="44078"/>
    <n v="1"/>
    <n v="1"/>
    <n v="0"/>
    <n v="1"/>
    <n v="-0.36917001281628975"/>
    <x v="1926"/>
  </r>
  <r>
    <n v="10790"/>
    <n v="9"/>
    <n v="0"/>
    <n v="5"/>
    <n v="0"/>
    <n v="0"/>
    <n v="7"/>
    <s v="Together"/>
    <n v="18169"/>
    <n v="1"/>
    <n v="0"/>
    <n v="0"/>
    <n v="1"/>
    <n v="-1.567920038792703"/>
    <x v="1927"/>
  </r>
  <r>
    <n v="10796"/>
    <n v="47"/>
    <n v="1"/>
    <n v="6"/>
    <n v="0"/>
    <n v="0"/>
    <n v="12"/>
    <s v="Together"/>
    <n v="30477"/>
    <n v="1"/>
    <n v="0"/>
    <n v="0"/>
    <n v="1"/>
    <n v="-0.99845709851258058"/>
    <x v="1928"/>
  </r>
  <r>
    <n v="10812"/>
    <n v="37"/>
    <n v="0"/>
    <n v="46"/>
    <n v="4"/>
    <n v="3"/>
    <n v="0"/>
    <s v="Together"/>
    <n v="46377"/>
    <n v="1"/>
    <n v="0"/>
    <n v="0"/>
    <n v="1"/>
    <n v="-0.26280055395181123"/>
    <x v="1929"/>
  </r>
  <r>
    <n v="10814"/>
    <n v="303"/>
    <n v="23"/>
    <n v="751"/>
    <n v="82"/>
    <n v="26"/>
    <n v="191"/>
    <s v="Together"/>
    <n v="70321"/>
    <n v="0"/>
    <n v="0"/>
    <n v="0"/>
    <n v="1"/>
    <n v="0.84503342736662024"/>
    <x v="1930"/>
  </r>
  <r>
    <n v="10821"/>
    <n v="182"/>
    <n v="4"/>
    <n v="33"/>
    <n v="0"/>
    <n v="2"/>
    <n v="42"/>
    <s v="Together"/>
    <n v="57113"/>
    <n v="1"/>
    <n v="1"/>
    <n v="0"/>
    <n v="1"/>
    <n v="0.23392955060192586"/>
    <x v="1931"/>
  </r>
  <r>
    <n v="10827"/>
    <n v="88"/>
    <n v="3"/>
    <n v="21"/>
    <n v="4"/>
    <n v="1"/>
    <n v="29"/>
    <s v="Together"/>
    <n v="36947"/>
    <n v="1"/>
    <n v="1"/>
    <n v="0"/>
    <n v="1"/>
    <n v="-0.69910503289571402"/>
    <x v="1932"/>
  </r>
  <r>
    <n v="10832"/>
    <n v="288"/>
    <n v="10"/>
    <n v="30"/>
    <n v="4"/>
    <n v="10"/>
    <n v="125"/>
    <s v="Together"/>
    <n v="46610"/>
    <n v="0"/>
    <n v="0"/>
    <n v="0"/>
    <n v="1"/>
    <n v="-0.25202017817302763"/>
    <x v="1933"/>
  </r>
  <r>
    <n v="10833"/>
    <n v="790"/>
    <n v="19"/>
    <n v="133"/>
    <n v="12"/>
    <n v="0"/>
    <n v="19"/>
    <s v="Together"/>
    <n v="65106"/>
    <n v="0"/>
    <n v="1"/>
    <n v="0"/>
    <n v="1"/>
    <n v="0.6037473342921289"/>
    <x v="1934"/>
  </r>
  <r>
    <n v="10837"/>
    <n v="2"/>
    <n v="1"/>
    <n v="18"/>
    <n v="20"/>
    <n v="11"/>
    <n v="16"/>
    <s v="Together"/>
    <n v="23957"/>
    <n v="1"/>
    <n v="0"/>
    <n v="0"/>
    <n v="1"/>
    <n v="-1.3001225494897011"/>
    <x v="1935"/>
  </r>
  <r>
    <n v="10839"/>
    <n v="6"/>
    <n v="5"/>
    <n v="5"/>
    <n v="8"/>
    <n v="0"/>
    <n v="5"/>
    <s v="Together"/>
    <n v="36283"/>
    <n v="1"/>
    <n v="1"/>
    <n v="0"/>
    <n v="1"/>
    <n v="-0.72982679047988708"/>
    <x v="1936"/>
  </r>
  <r>
    <n v="10841"/>
    <n v="226"/>
    <n v="22"/>
    <n v="133"/>
    <n v="41"/>
    <n v="31"/>
    <n v="31"/>
    <s v="Together"/>
    <n v="56559"/>
    <n v="0"/>
    <n v="1"/>
    <n v="0"/>
    <n v="1"/>
    <n v="0.20829724081031162"/>
    <x v="1937"/>
  </r>
  <r>
    <n v="10846"/>
    <n v="327"/>
    <n v="9"/>
    <n v="125"/>
    <n v="25"/>
    <n v="4"/>
    <n v="139"/>
    <s v="Together"/>
    <n v="43783"/>
    <n v="1"/>
    <n v="0"/>
    <n v="0"/>
    <n v="1"/>
    <n v="-0.3828189864417883"/>
    <x v="1938"/>
  </r>
  <r>
    <n v="10854"/>
    <n v="29"/>
    <n v="0"/>
    <n v="14"/>
    <n v="0"/>
    <n v="0"/>
    <n v="2"/>
    <s v="Together"/>
    <n v="38853"/>
    <n v="1"/>
    <n v="1"/>
    <n v="0"/>
    <n v="1"/>
    <n v="-0.61091878296283186"/>
    <x v="1939"/>
  </r>
  <r>
    <n v="10855"/>
    <n v="234"/>
    <n v="14"/>
    <n v="77"/>
    <n v="19"/>
    <n v="10"/>
    <n v="42"/>
    <s v="Single"/>
    <n v="50014"/>
    <n v="1"/>
    <n v="0"/>
    <n v="1"/>
    <n v="0"/>
    <n v="-9.4524902846935877E-2"/>
    <x v="1940"/>
  </r>
  <r>
    <n v="10856"/>
    <n v="31"/>
    <n v="0"/>
    <n v="6"/>
    <n v="0"/>
    <n v="1"/>
    <n v="8"/>
    <s v="Single"/>
    <n v="45889"/>
    <n v="0"/>
    <n v="1"/>
    <n v="1"/>
    <n v="0"/>
    <n v="-0.28537919506789017"/>
    <x v="1941"/>
  </r>
  <r>
    <n v="10858"/>
    <n v="355"/>
    <n v="30"/>
    <n v="177"/>
    <n v="90"/>
    <n v="138"/>
    <n v="30"/>
    <s v="Together"/>
    <n v="76532"/>
    <n v="1"/>
    <n v="1"/>
    <n v="0"/>
    <n v="1"/>
    <n v="1.132402156817371"/>
    <x v="1942"/>
  </r>
  <r>
    <n v="10862"/>
    <n v="179"/>
    <n v="8"/>
    <n v="83"/>
    <n v="19"/>
    <n v="11"/>
    <n v="26"/>
    <s v="Together"/>
    <n v="30522"/>
    <n v="0"/>
    <n v="1"/>
    <n v="0"/>
    <n v="1"/>
    <n v="-0.99637505168835194"/>
    <x v="1943"/>
  </r>
  <r>
    <n v="10868"/>
    <n v="344"/>
    <n v="45"/>
    <n v="654"/>
    <n v="104"/>
    <n v="11"/>
    <n v="114"/>
    <s v="Single"/>
    <n v="70792"/>
    <n v="0"/>
    <n v="0"/>
    <n v="1"/>
    <n v="0"/>
    <n v="0.86682551746021286"/>
    <x v="1944"/>
  </r>
  <r>
    <n v="10870"/>
    <n v="709"/>
    <n v="43"/>
    <n v="182"/>
    <n v="42"/>
    <n v="118"/>
    <n v="247"/>
    <s v="Together"/>
    <n v="61223"/>
    <n v="0"/>
    <n v="1"/>
    <n v="0"/>
    <n v="1"/>
    <n v="0.42408982721480398"/>
    <x v="1945"/>
  </r>
  <r>
    <n v="10882"/>
    <n v="407"/>
    <n v="53"/>
    <n v="221"/>
    <n v="58"/>
    <n v="150"/>
    <n v="26"/>
    <s v="Together"/>
    <n v="53858"/>
    <n v="0"/>
    <n v="1"/>
    <n v="0"/>
    <n v="1"/>
    <n v="8.3328163649390996E-2"/>
    <x v="1946"/>
  </r>
  <r>
    <n v="10888"/>
    <n v="273"/>
    <n v="11"/>
    <n v="178"/>
    <n v="62"/>
    <n v="83"/>
    <n v="29"/>
    <s v="Single"/>
    <n v="45938"/>
    <n v="0"/>
    <n v="0"/>
    <n v="1"/>
    <n v="0"/>
    <n v="-0.28311207741484129"/>
    <x v="1947"/>
  </r>
  <r>
    <n v="10909"/>
    <n v="992"/>
    <n v="24"/>
    <n v="694"/>
    <n v="51"/>
    <n v="19"/>
    <n v="119"/>
    <s v="Together"/>
    <n v="92344"/>
    <n v="0"/>
    <n v="0"/>
    <n v="0"/>
    <n v="1"/>
    <n v="1.8639871431440933"/>
    <x v="1948"/>
  </r>
  <r>
    <n v="10913"/>
    <n v="3"/>
    <n v="2"/>
    <n v="12"/>
    <n v="0"/>
    <n v="1"/>
    <n v="9"/>
    <s v="Single"/>
    <n v="31385"/>
    <n v="1"/>
    <n v="0"/>
    <n v="1"/>
    <n v="0"/>
    <n v="-0.95644602037036808"/>
    <x v="1949"/>
  </r>
  <r>
    <n v="10914"/>
    <n v="4"/>
    <n v="1"/>
    <n v="7"/>
    <n v="2"/>
    <n v="1"/>
    <n v="2"/>
    <s v="Single"/>
    <n v="24163"/>
    <n v="1"/>
    <n v="1"/>
    <n v="1"/>
    <n v="0"/>
    <n v="-1.2905914018054545"/>
    <x v="1950"/>
  </r>
  <r>
    <n v="10925"/>
    <n v="255"/>
    <n v="31"/>
    <n v="446"/>
    <n v="40"/>
    <n v="56"/>
    <n v="175"/>
    <s v="Together"/>
    <n v="76630"/>
    <n v="0"/>
    <n v="0"/>
    <n v="0"/>
    <n v="1"/>
    <n v="1.136936392123469"/>
    <x v="1951"/>
  </r>
  <r>
    <n v="10928"/>
    <n v="315"/>
    <n v="4"/>
    <n v="62"/>
    <n v="41"/>
    <n v="31"/>
    <n v="146"/>
    <s v="Together"/>
    <n v="66886"/>
    <n v="0"/>
    <n v="1"/>
    <n v="0"/>
    <n v="1"/>
    <n v="0.68610385311717104"/>
    <x v="1952"/>
  </r>
  <r>
    <n v="10936"/>
    <n v="597"/>
    <n v="166"/>
    <n v="597"/>
    <n v="172"/>
    <n v="166"/>
    <n v="249"/>
    <s v="Together"/>
    <n v="72190"/>
    <n v="0"/>
    <n v="0"/>
    <n v="0"/>
    <n v="1"/>
    <n v="0.93150777213291447"/>
    <x v="1953"/>
  </r>
  <r>
    <n v="10949"/>
    <n v="1092"/>
    <n v="37"/>
    <n v="592"/>
    <n v="145"/>
    <n v="37"/>
    <n v="55"/>
    <s v="Single"/>
    <n v="72968"/>
    <n v="0"/>
    <n v="0"/>
    <n v="1"/>
    <n v="0"/>
    <n v="0.96750404833846659"/>
    <x v="1954"/>
  </r>
  <r>
    <n v="10951"/>
    <n v="279"/>
    <n v="0"/>
    <n v="18"/>
    <n v="0"/>
    <n v="0"/>
    <n v="9"/>
    <s v="Together"/>
    <n v="45688"/>
    <n v="0"/>
    <n v="1"/>
    <n v="0"/>
    <n v="1"/>
    <n v="-0.29467900421611121"/>
    <x v="1955"/>
  </r>
  <r>
    <n v="10955"/>
    <n v="416"/>
    <n v="46"/>
    <n v="925"/>
    <n v="60"/>
    <n v="107"/>
    <n v="46"/>
    <s v="Single"/>
    <n v="85620"/>
    <n v="0"/>
    <n v="0"/>
    <n v="1"/>
    <n v="0"/>
    <n v="1.5528830798971367"/>
    <x v="1956"/>
  </r>
  <r>
    <n v="10965"/>
    <n v="983"/>
    <n v="20"/>
    <n v="389"/>
    <n v="240"/>
    <n v="50"/>
    <n v="40"/>
    <s v="Together"/>
    <n v="76005"/>
    <n v="0"/>
    <n v="0"/>
    <n v="0"/>
    <n v="1"/>
    <n v="1.1080190751202941"/>
    <x v="1957"/>
  </r>
  <r>
    <n v="10967"/>
    <n v="33"/>
    <n v="6"/>
    <n v="40"/>
    <n v="3"/>
    <n v="7"/>
    <n v="10"/>
    <s v="Single"/>
    <n v="33378"/>
    <n v="1"/>
    <n v="1"/>
    <n v="1"/>
    <n v="0"/>
    <n v="-0.86423447991064395"/>
    <x v="1958"/>
  </r>
  <r>
    <n v="10968"/>
    <n v="266"/>
    <n v="21"/>
    <n v="300"/>
    <n v="65"/>
    <n v="8"/>
    <n v="44"/>
    <s v="Single"/>
    <n v="57731"/>
    <n v="0"/>
    <n v="1"/>
    <n v="1"/>
    <n v="0"/>
    <n v="0.26252299365466519"/>
    <x v="1959"/>
  </r>
  <r>
    <n v="10971"/>
    <n v="173"/>
    <n v="8"/>
    <n v="107"/>
    <n v="7"/>
    <n v="2"/>
    <n v="176"/>
    <s v="Single"/>
    <n v="37774"/>
    <n v="2"/>
    <n v="0"/>
    <n v="1"/>
    <n v="0"/>
    <n v="-0.66084163903711302"/>
    <x v="1960"/>
  </r>
  <r>
    <n v="10972"/>
    <n v="625"/>
    <n v="35"/>
    <n v="169"/>
    <n v="58"/>
    <n v="17"/>
    <n v="35"/>
    <s v="Single"/>
    <n v="72298"/>
    <n v="0"/>
    <n v="0"/>
    <n v="1"/>
    <n v="0"/>
    <n v="0.93650468451106306"/>
    <x v="1961"/>
  </r>
  <r>
    <n v="10983"/>
    <n v="304"/>
    <n v="98"/>
    <n v="230"/>
    <n v="150"/>
    <n v="74"/>
    <n v="74"/>
    <s v="Together"/>
    <n v="75278"/>
    <n v="0"/>
    <n v="0"/>
    <n v="0"/>
    <n v="1"/>
    <n v="1.0743824519822009"/>
    <x v="1962"/>
  </r>
  <r>
    <n v="10991"/>
    <n v="454"/>
    <n v="194"/>
    <n v="106"/>
    <n v="31"/>
    <n v="22"/>
    <n v="43"/>
    <s v="Together"/>
    <n v="89058"/>
    <n v="0"/>
    <n v="0"/>
    <n v="0"/>
    <n v="1"/>
    <n v="1.7119514572682011"/>
    <x v="1963"/>
  </r>
  <r>
    <n v="10992"/>
    <n v="650"/>
    <n v="28"/>
    <n v="353"/>
    <n v="45"/>
    <n v="42"/>
    <n v="30"/>
    <s v="Together"/>
    <n v="75702"/>
    <n v="1"/>
    <n v="1"/>
    <n v="0"/>
    <n v="1"/>
    <n v="1.0939999598371548"/>
    <x v="1964"/>
  </r>
  <r>
    <n v="10995"/>
    <n v="16"/>
    <n v="5"/>
    <n v="30"/>
    <n v="8"/>
    <n v="7"/>
    <n v="26"/>
    <s v="Together"/>
    <n v="15716"/>
    <n v="1"/>
    <n v="0"/>
    <n v="0"/>
    <n v="1"/>
    <n v="-1.6814147245667639"/>
    <x v="1965"/>
  </r>
  <r>
    <n v="11003"/>
    <n v="2"/>
    <n v="5"/>
    <n v="7"/>
    <n v="0"/>
    <n v="18"/>
    <n v="18"/>
    <s v="Together"/>
    <n v="25130"/>
    <n v="1"/>
    <n v="0"/>
    <n v="0"/>
    <n v="1"/>
    <n v="-1.2458505289381423"/>
    <x v="1966"/>
  </r>
  <r>
    <n v="11004"/>
    <n v="8"/>
    <n v="0"/>
    <n v="5"/>
    <n v="7"/>
    <n v="0"/>
    <n v="2"/>
    <s v="Single"/>
    <n v="60182"/>
    <n v="0"/>
    <n v="1"/>
    <n v="1"/>
    <n v="0"/>
    <n v="0.37592514401431587"/>
    <x v="1967"/>
  </r>
  <r>
    <n v="11007"/>
    <n v="26"/>
    <n v="0"/>
    <n v="6"/>
    <n v="0"/>
    <n v="0"/>
    <n v="2"/>
    <s v="Together"/>
    <n v="29187"/>
    <n v="1"/>
    <n v="0"/>
    <n v="0"/>
    <n v="1"/>
    <n v="-1.0581424408071336"/>
    <x v="1968"/>
  </r>
  <r>
    <n v="11010"/>
    <n v="19"/>
    <n v="3"/>
    <n v="18"/>
    <n v="3"/>
    <n v="1"/>
    <n v="0"/>
    <s v="Single"/>
    <n v="16269"/>
    <n v="1"/>
    <n v="0"/>
    <n v="1"/>
    <n v="0"/>
    <n v="-1.6558286824823547"/>
    <x v="1969"/>
  </r>
  <r>
    <n v="11013"/>
    <n v="336"/>
    <n v="28"/>
    <n v="282"/>
    <n v="184"/>
    <n v="54"/>
    <n v="54"/>
    <s v="Together"/>
    <n v="67605"/>
    <n v="0"/>
    <n v="0"/>
    <n v="0"/>
    <n v="1"/>
    <n v="0.71937033459762345"/>
    <x v="1970"/>
  </r>
  <r>
    <n v="11025"/>
    <n v="65"/>
    <n v="0"/>
    <n v="46"/>
    <n v="4"/>
    <n v="3"/>
    <n v="20"/>
    <s v="Together"/>
    <n v="36443"/>
    <n v="1"/>
    <n v="1"/>
    <n v="0"/>
    <n v="1"/>
    <n v="-0.72242395732707432"/>
    <x v="1971"/>
  </r>
  <r>
    <n v="11030"/>
    <n v="9"/>
    <n v="0"/>
    <n v="3"/>
    <n v="0"/>
    <n v="0"/>
    <n v="4"/>
    <s v="Together"/>
    <n v="33181"/>
    <n v="1"/>
    <n v="0"/>
    <n v="0"/>
    <n v="1"/>
    <n v="-0.87334921823004463"/>
    <x v="1972"/>
  </r>
  <r>
    <n v="11031"/>
    <n v="26"/>
    <n v="1"/>
    <n v="10"/>
    <n v="2"/>
    <n v="0"/>
    <n v="1"/>
    <s v="Together"/>
    <n v="48699"/>
    <n v="1"/>
    <n v="1"/>
    <n v="0"/>
    <n v="1"/>
    <n v="-0.15536693782161584"/>
    <x v="1973"/>
  </r>
  <r>
    <n v="11039"/>
    <n v="82"/>
    <n v="33"/>
    <n v="54"/>
    <n v="71"/>
    <n v="30"/>
    <n v="41"/>
    <s v="Together"/>
    <n v="51948"/>
    <n v="0"/>
    <n v="1"/>
    <n v="0"/>
    <n v="1"/>
    <n v="-5.0431571123114782E-3"/>
    <x v="1974"/>
  </r>
  <r>
    <n v="11051"/>
    <n v="492"/>
    <n v="19"/>
    <n v="110"/>
    <n v="16"/>
    <n v="12"/>
    <n v="12"/>
    <s v="Together"/>
    <n v="77376"/>
    <n v="1"/>
    <n v="1"/>
    <n v="0"/>
    <n v="1"/>
    <n v="1.1714521016984585"/>
    <x v="1975"/>
  </r>
  <r>
    <n v="11056"/>
    <n v="546"/>
    <n v="91"/>
    <n v="410"/>
    <n v="119"/>
    <n v="0"/>
    <n v="22"/>
    <s v="Together"/>
    <n v="72099"/>
    <n v="0"/>
    <n v="0"/>
    <n v="0"/>
    <n v="1"/>
    <n v="0.92729741077725225"/>
    <x v="1976"/>
  </r>
  <r>
    <n v="11071"/>
    <n v="450"/>
    <n v="133"/>
    <n v="951"/>
    <n v="173"/>
    <n v="0"/>
    <n v="216"/>
    <s v="Single"/>
    <n v="79607"/>
    <n v="0"/>
    <n v="0"/>
    <n v="1"/>
    <n v="0"/>
    <n v="1.2746753564729916"/>
    <x v="1977"/>
  </r>
  <r>
    <n v="11074"/>
    <n v="494"/>
    <n v="92"/>
    <n v="391"/>
    <n v="194"/>
    <n v="11"/>
    <n v="241"/>
    <s v="Single"/>
    <n v="85072"/>
    <n v="0"/>
    <n v="0"/>
    <n v="1"/>
    <n v="0"/>
    <n v="1.5275283763487528"/>
    <x v="1978"/>
  </r>
  <r>
    <n v="11075"/>
    <n v="183"/>
    <n v="2"/>
    <n v="64"/>
    <n v="7"/>
    <n v="2"/>
    <n v="12"/>
    <s v="Together"/>
    <n v="51267"/>
    <n v="1"/>
    <n v="1"/>
    <n v="0"/>
    <n v="1"/>
    <n v="-3.6551465718970846E-2"/>
    <x v="1979"/>
  </r>
  <r>
    <n v="11086"/>
    <n v="1"/>
    <n v="6"/>
    <n v="2"/>
    <n v="3"/>
    <n v="6"/>
    <n v="3"/>
    <s v="Single"/>
    <n v="25707"/>
    <n v="1"/>
    <n v="0"/>
    <n v="1"/>
    <n v="0"/>
    <n v="-1.2191540618808114"/>
    <x v="1980"/>
  </r>
  <r>
    <n v="11088"/>
    <n v="1396"/>
    <n v="0"/>
    <n v="322"/>
    <n v="46"/>
    <n v="35"/>
    <n v="17"/>
    <s v="Together"/>
    <n v="78642"/>
    <n v="0"/>
    <n v="1"/>
    <n v="0"/>
    <n v="1"/>
    <n v="1.2300270190200895"/>
    <x v="1981"/>
  </r>
  <r>
    <n v="11091"/>
    <n v="7"/>
    <n v="2"/>
    <n v="9"/>
    <n v="2"/>
    <n v="0"/>
    <n v="2"/>
    <s v="Together"/>
    <n v="34587"/>
    <n v="1"/>
    <n v="1"/>
    <n v="0"/>
    <n v="1"/>
    <n v="-0.80829682189970242"/>
    <x v="1982"/>
  </r>
  <r>
    <n v="11092"/>
    <n v="12"/>
    <n v="1"/>
    <n v="21"/>
    <n v="2"/>
    <n v="2"/>
    <n v="3"/>
    <s v="Together"/>
    <n v="27116"/>
    <n v="1"/>
    <n v="1"/>
    <n v="0"/>
    <n v="1"/>
    <n v="-1.1539628624288538"/>
    <x v="1983"/>
  </r>
  <r>
    <n v="11096"/>
    <n v="99"/>
    <n v="4"/>
    <n v="32"/>
    <n v="37"/>
    <n v="54"/>
    <n v="6"/>
    <s v="Together"/>
    <n v="57247"/>
    <n v="0"/>
    <n v="1"/>
    <n v="0"/>
    <n v="1"/>
    <n v="0.24012942336740656"/>
    <x v="1984"/>
  </r>
  <r>
    <n v="11100"/>
    <n v="51"/>
    <n v="2"/>
    <n v="7"/>
    <n v="0"/>
    <n v="1"/>
    <n v="2"/>
    <s v="Single"/>
    <n v="51813"/>
    <n v="1"/>
    <n v="1"/>
    <n v="1"/>
    <n v="0"/>
    <n v="-1.1289297584997256E-2"/>
    <x v="1985"/>
  </r>
  <r>
    <n v="11101"/>
    <n v="412"/>
    <n v="22"/>
    <n v="132"/>
    <n v="59"/>
    <n v="28"/>
    <n v="183"/>
    <s v="Together"/>
    <n v="89891"/>
    <n v="0"/>
    <n v="0"/>
    <n v="0"/>
    <n v="1"/>
    <n v="1.7504924573700327"/>
    <x v="1986"/>
  </r>
  <r>
    <n v="11110"/>
    <n v="2"/>
    <n v="1"/>
    <n v="1"/>
    <n v="0"/>
    <n v="0"/>
    <n v="1"/>
    <s v="Single"/>
    <n v="3502"/>
    <n v="1"/>
    <n v="0"/>
    <n v="1"/>
    <n v="0"/>
    <n v="-2.2465285003696089"/>
    <x v="1987"/>
  </r>
  <r>
    <n v="11112"/>
    <n v="736"/>
    <n v="114"/>
    <n v="279"/>
    <n v="82"/>
    <n v="76"/>
    <n v="190"/>
    <s v="Together"/>
    <n v="70713"/>
    <n v="0"/>
    <n v="1"/>
    <n v="0"/>
    <n v="1"/>
    <n v="0.86317036859101159"/>
    <x v="1988"/>
  </r>
  <r>
    <n v="11114"/>
    <n v="25"/>
    <n v="4"/>
    <n v="9"/>
    <n v="6"/>
    <n v="8"/>
    <n v="32"/>
    <s v="Together"/>
    <n v="19656"/>
    <n v="1"/>
    <n v="0"/>
    <n v="0"/>
    <n v="1"/>
    <n v="-1.4991199581787493"/>
    <x v="1989"/>
  </r>
  <r>
    <n v="11121"/>
    <n v="2"/>
    <n v="14"/>
    <n v="28"/>
    <n v="16"/>
    <n v="3"/>
    <n v="7"/>
    <s v="Together"/>
    <n v="19419"/>
    <n v="1"/>
    <n v="0"/>
    <n v="0"/>
    <n v="1"/>
    <n v="-1.5100854047863532"/>
    <x v="1990"/>
  </r>
  <r>
    <n v="11148"/>
    <n v="2"/>
    <n v="1"/>
    <n v="4"/>
    <n v="3"/>
    <n v="1"/>
    <n v="2"/>
    <s v="Together"/>
    <n v="22280"/>
    <n v="1"/>
    <n v="0"/>
    <n v="0"/>
    <n v="1"/>
    <n v="-1.3777134944726199"/>
    <x v="1991"/>
  </r>
  <r>
    <n v="11166"/>
    <n v="229"/>
    <n v="5"/>
    <n v="56"/>
    <n v="3"/>
    <n v="2"/>
    <n v="20"/>
    <s v="Together"/>
    <n v="49678"/>
    <n v="0"/>
    <n v="1"/>
    <n v="0"/>
    <n v="1"/>
    <n v="-0.11007085246784269"/>
    <x v="1992"/>
  </r>
  <r>
    <n v="11176"/>
    <n v="376"/>
    <n v="9"/>
    <n v="83"/>
    <n v="19"/>
    <n v="4"/>
    <n v="4"/>
    <s v="Together"/>
    <n v="65968"/>
    <n v="0"/>
    <n v="1"/>
    <n v="0"/>
    <n v="1"/>
    <n v="0.64363009790290771"/>
    <x v="1993"/>
  </r>
  <r>
    <n v="11178"/>
    <n v="15"/>
    <n v="2"/>
    <n v="10"/>
    <n v="0"/>
    <n v="1"/>
    <n v="4"/>
    <s v="Single"/>
    <n v="42394"/>
    <n v="1"/>
    <n v="0"/>
    <n v="1"/>
    <n v="0"/>
    <n v="-0.4470848317496442"/>
    <x v="1994"/>
  </r>
  <r>
    <n v="11181"/>
    <n v="2"/>
    <n v="1"/>
    <n v="2"/>
    <n v="1"/>
    <n v="1"/>
    <n v="1"/>
    <s v="Together"/>
    <n v="156924"/>
    <n v="0"/>
    <n v="0"/>
    <n v="0"/>
    <n v="1"/>
    <n v="4.8519556744481491"/>
    <x v="1995"/>
  </r>
  <r>
    <n v="11187"/>
    <n v="2"/>
    <n v="8"/>
    <n v="10"/>
    <n v="12"/>
    <n v="14"/>
    <n v="23"/>
    <s v="Single"/>
    <n v="26487"/>
    <n v="1"/>
    <n v="0"/>
    <n v="1"/>
    <n v="0"/>
    <n v="-1.183065250260849"/>
    <x v="1996"/>
  </r>
  <r>
    <n v="11191"/>
    <n v="37"/>
    <n v="32"/>
    <n v="38"/>
    <n v="11"/>
    <n v="3"/>
    <n v="18"/>
    <s v="Single"/>
    <n v="41411"/>
    <n v="0"/>
    <n v="0"/>
    <n v="1"/>
    <n v="0"/>
    <n v="-0.49256598793223766"/>
    <x v="1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5BE09-1B13-D142-9F0E-FBD340E0D306}" name="피벗 테이블1" cacheId="1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D2019" firstHeaderRow="1" firstDataRow="2" firstDataCol="1"/>
  <pivotFields count="11">
    <pivotField axis="axisRow" dataField="1" showAll="0">
      <items count="20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0"/>
  </rowFields>
  <rowItems count="20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개수 :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DBCAB-C124-4D48-83E7-D021BD70C783}" name="피벗 테이블2" cacheId="1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G22" firstHeaderRow="0" firstDataRow="1" firstDataCol="1"/>
  <pivotFields count="15"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14"/>
  </rowFields>
  <rowItems count="1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평균 : MntWines" fld="1" subtotal="average" baseField="0" baseItem="0"/>
    <dataField name="평균 : MntFruits" fld="2" subtotal="average" baseField="0" baseItem="0"/>
    <dataField name="평균 : MntMeatProducts" fld="3" subtotal="average" baseField="0" baseItem="0"/>
    <dataField name="평균 : MntFishProducts" fld="4" subtotal="average" baseField="0" baseItem="0"/>
    <dataField name="평균 : MntSweetProducts" fld="5" subtotal="average" baseField="0" baseItem="0"/>
    <dataField name="평균 : MntGoldProds" fld="6" subtotal="average" baseField="0" baseItem="0"/>
  </dataFields>
  <formats count="2">
    <format dxfId="1">
      <pivotArea collapsedLevelsAreSubtotals="1" fieldPosition="0">
        <references count="1">
          <reference field="14" count="18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0">
      <pivotArea grandRow="1" outline="0" collapsedLevelsAreSubtotals="1" fieldPosition="0"/>
    </format>
  </formats>
  <conditionalFormats count="6">
    <conditionalFormat priority="1">
      <pivotAreas count="1">
        <pivotArea type="data" collapsedLevelsAreSubtotals="1" fieldPosition="0">
          <references count="2">
            <reference field="4294967294" count="1" selected="0">
              <x v="5"/>
            </reference>
            <reference field="14" count="18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14" count="18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14" count="18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4" count="18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4" count="18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18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57D2-EF55-4A08-A524-A641B54F62C7}">
  <dimension ref="A1:U2015"/>
  <sheetViews>
    <sheetView workbookViewId="0"/>
  </sheetViews>
  <sheetFormatPr baseColWidth="10" defaultColWidth="8.83203125" defaultRowHeight="17"/>
  <cols>
    <col min="1" max="1" width="7" bestFit="1" customWidth="1"/>
    <col min="2" max="2" width="11" bestFit="1" customWidth="1"/>
    <col min="3" max="3" width="10.5" bestFit="1" customWidth="1"/>
    <col min="4" max="4" width="18.6640625" bestFit="1" customWidth="1"/>
    <col min="5" max="5" width="17.5" bestFit="1" customWidth="1"/>
    <col min="6" max="6" width="19.5" bestFit="1" customWidth="1"/>
    <col min="7" max="7" width="15" bestFit="1" customWidth="1"/>
    <col min="8" max="8" width="14.6640625" bestFit="1" customWidth="1"/>
    <col min="9" max="9" width="8.6640625" bestFit="1" customWidth="1"/>
    <col min="10" max="10" width="10" bestFit="1" customWidth="1"/>
    <col min="11" max="11" width="11.33203125" bestFit="1" customWidth="1"/>
    <col min="12" max="12" width="7.5" bestFit="1" customWidth="1"/>
    <col min="13" max="13" width="9.83203125" bestFit="1" customWidth="1"/>
    <col min="14" max="14" width="15.83203125" bestFit="1" customWidth="1"/>
    <col min="15" max="15" width="14.83203125" bestFit="1" customWidth="1"/>
    <col min="17" max="17" width="12" bestFit="1" customWidth="1"/>
    <col min="18" max="18" width="13" bestFit="1" customWidth="1"/>
    <col min="19" max="19" width="7.33203125" bestFit="1" customWidth="1"/>
    <col min="20" max="20" width="9.83203125" bestFit="1" customWidth="1"/>
    <col min="21" max="21" width="14.5" bestFit="1" customWidth="1"/>
  </cols>
  <sheetData>
    <row r="1" spans="1:21" ht="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12</v>
      </c>
      <c r="M1" s="3" t="s">
        <v>11</v>
      </c>
      <c r="N1" s="3" t="s">
        <v>17</v>
      </c>
      <c r="O1" s="3" t="s">
        <v>18</v>
      </c>
      <c r="Q1">
        <f>AVERAGE(I2:I2015)</f>
        <v>52056.999503475672</v>
      </c>
      <c r="R1">
        <f>STDEV(I2:I2015)</f>
        <v>21613.346768352676</v>
      </c>
    </row>
    <row r="2" spans="1:21">
      <c r="A2">
        <v>0</v>
      </c>
      <c r="B2">
        <v>239</v>
      </c>
      <c r="C2">
        <v>10</v>
      </c>
      <c r="D2">
        <v>554</v>
      </c>
      <c r="E2">
        <v>254</v>
      </c>
      <c r="F2">
        <v>87</v>
      </c>
      <c r="G2">
        <v>54</v>
      </c>
      <c r="H2" t="s">
        <v>11</v>
      </c>
      <c r="I2">
        <v>70951</v>
      </c>
      <c r="J2">
        <v>0</v>
      </c>
      <c r="K2">
        <v>0</v>
      </c>
      <c r="L2">
        <v>0</v>
      </c>
      <c r="M2">
        <v>1</v>
      </c>
      <c r="N2">
        <f>STANDARDIZE(I2,$Q$1,$R$1)</f>
        <v>0.87418208290582056</v>
      </c>
      <c r="O2">
        <f>SUMPRODUCT(J2:N2,$Q$4:$U$4) / SQRT(SUMSQ(J2:N2) * SUMSQ($Q$4:$U$4))</f>
        <v>0.96706085365850003</v>
      </c>
    </row>
    <row r="3" spans="1:21" ht="18">
      <c r="A3">
        <v>1</v>
      </c>
      <c r="B3">
        <v>464</v>
      </c>
      <c r="C3">
        <v>5</v>
      </c>
      <c r="D3">
        <v>64</v>
      </c>
      <c r="E3">
        <v>7</v>
      </c>
      <c r="F3">
        <v>0</v>
      </c>
      <c r="G3">
        <v>37</v>
      </c>
      <c r="H3" t="s">
        <v>12</v>
      </c>
      <c r="I3">
        <v>57091</v>
      </c>
      <c r="J3">
        <v>0</v>
      </c>
      <c r="K3">
        <v>0</v>
      </c>
      <c r="L3">
        <v>1</v>
      </c>
      <c r="M3">
        <v>0</v>
      </c>
      <c r="N3">
        <f t="shared" ref="N3:N66" si="0">STANDARDIZE(I3,$Q$1,$R$1)</f>
        <v>0.2329116610434141</v>
      </c>
      <c r="O3">
        <f t="shared" ref="O3:O66" si="1">SUMPRODUCT(J3:N3,$Q$4:$U$4) / SQRT(SUMSQ(J3:N3) * SUMSQ($Q$4:$U$4))</f>
        <v>0.18785065879535501</v>
      </c>
      <c r="Q3" s="3" t="s">
        <v>9</v>
      </c>
      <c r="R3" s="3" t="s">
        <v>10</v>
      </c>
      <c r="S3" s="4" t="s">
        <v>12</v>
      </c>
      <c r="T3" s="4" t="s">
        <v>11</v>
      </c>
      <c r="U3" s="3" t="s">
        <v>17</v>
      </c>
    </row>
    <row r="4" spans="1:21">
      <c r="A4">
        <v>9</v>
      </c>
      <c r="B4">
        <v>57</v>
      </c>
      <c r="C4">
        <v>0</v>
      </c>
      <c r="D4">
        <v>27</v>
      </c>
      <c r="E4">
        <v>0</v>
      </c>
      <c r="F4">
        <v>0</v>
      </c>
      <c r="G4">
        <v>36</v>
      </c>
      <c r="H4" t="s">
        <v>12</v>
      </c>
      <c r="I4">
        <v>46098</v>
      </c>
      <c r="J4">
        <v>1</v>
      </c>
      <c r="K4">
        <v>1</v>
      </c>
      <c r="L4">
        <v>1</v>
      </c>
      <c r="M4">
        <v>0</v>
      </c>
      <c r="N4">
        <f t="shared" si="0"/>
        <v>-0.27570924426202847</v>
      </c>
      <c r="O4">
        <f t="shared" si="1"/>
        <v>-0.13018169205716737</v>
      </c>
      <c r="Q4">
        <v>0</v>
      </c>
      <c r="R4">
        <v>0</v>
      </c>
      <c r="S4">
        <v>0</v>
      </c>
      <c r="T4">
        <v>1</v>
      </c>
      <c r="U4">
        <f>STANDARDIZE(PERCENTILE(I2:I2015, 0.95),Q1,R1)</f>
        <v>1.4773279140312405</v>
      </c>
    </row>
    <row r="5" spans="1:21">
      <c r="A5">
        <v>13</v>
      </c>
      <c r="B5">
        <v>19</v>
      </c>
      <c r="C5">
        <v>0</v>
      </c>
      <c r="D5">
        <v>5</v>
      </c>
      <c r="E5">
        <v>0</v>
      </c>
      <c r="F5">
        <v>0</v>
      </c>
      <c r="G5">
        <v>8</v>
      </c>
      <c r="H5" t="s">
        <v>12</v>
      </c>
      <c r="I5">
        <v>25358</v>
      </c>
      <c r="J5">
        <v>0</v>
      </c>
      <c r="K5">
        <v>1</v>
      </c>
      <c r="L5">
        <v>1</v>
      </c>
      <c r="M5">
        <v>0</v>
      </c>
      <c r="N5">
        <f t="shared" si="0"/>
        <v>-1.2353014916953842</v>
      </c>
      <c r="O5">
        <f t="shared" si="1"/>
        <v>-0.54478673376504805</v>
      </c>
    </row>
    <row r="6" spans="1:21">
      <c r="A6">
        <v>17</v>
      </c>
      <c r="B6">
        <v>637</v>
      </c>
      <c r="C6">
        <v>47</v>
      </c>
      <c r="D6">
        <v>237</v>
      </c>
      <c r="E6">
        <v>12</v>
      </c>
      <c r="F6">
        <v>19</v>
      </c>
      <c r="G6">
        <v>76</v>
      </c>
      <c r="H6" t="s">
        <v>11</v>
      </c>
      <c r="I6">
        <v>60491</v>
      </c>
      <c r="J6">
        <v>0</v>
      </c>
      <c r="K6">
        <v>1</v>
      </c>
      <c r="L6">
        <v>0</v>
      </c>
      <c r="M6">
        <v>1</v>
      </c>
      <c r="N6">
        <f t="shared" si="0"/>
        <v>0.3902218655406855</v>
      </c>
      <c r="O6">
        <f t="shared" si="1"/>
        <v>0.60236160276595674</v>
      </c>
    </row>
    <row r="7" spans="1:21">
      <c r="A7">
        <v>20</v>
      </c>
      <c r="B7">
        <v>43</v>
      </c>
      <c r="C7">
        <v>12</v>
      </c>
      <c r="D7">
        <v>23</v>
      </c>
      <c r="E7">
        <v>29</v>
      </c>
      <c r="F7">
        <v>15</v>
      </c>
      <c r="G7">
        <v>61</v>
      </c>
      <c r="H7" t="s">
        <v>11</v>
      </c>
      <c r="I7">
        <v>46891</v>
      </c>
      <c r="J7">
        <v>0</v>
      </c>
      <c r="K7">
        <v>1</v>
      </c>
      <c r="L7">
        <v>0</v>
      </c>
      <c r="M7">
        <v>1</v>
      </c>
      <c r="N7">
        <f t="shared" si="0"/>
        <v>-0.23901895244840018</v>
      </c>
      <c r="O7">
        <f t="shared" si="1"/>
        <v>0.25282262221677237</v>
      </c>
    </row>
    <row r="8" spans="1:21">
      <c r="A8">
        <v>22</v>
      </c>
      <c r="B8">
        <v>185</v>
      </c>
      <c r="C8">
        <v>2</v>
      </c>
      <c r="D8">
        <v>88</v>
      </c>
      <c r="E8">
        <v>15</v>
      </c>
      <c r="F8">
        <v>5</v>
      </c>
      <c r="G8">
        <v>14</v>
      </c>
      <c r="H8" t="s">
        <v>12</v>
      </c>
      <c r="I8">
        <v>46310</v>
      </c>
      <c r="J8">
        <v>1</v>
      </c>
      <c r="K8">
        <v>0</v>
      </c>
      <c r="L8">
        <v>1</v>
      </c>
      <c r="M8">
        <v>0</v>
      </c>
      <c r="N8">
        <f t="shared" si="0"/>
        <v>-0.26590049033455154</v>
      </c>
      <c r="O8">
        <f t="shared" si="1"/>
        <v>-0.15302171836818607</v>
      </c>
    </row>
    <row r="9" spans="1:21">
      <c r="A9">
        <v>24</v>
      </c>
      <c r="B9">
        <v>18</v>
      </c>
      <c r="C9">
        <v>2</v>
      </c>
      <c r="D9">
        <v>19</v>
      </c>
      <c r="E9">
        <v>0</v>
      </c>
      <c r="F9">
        <v>2</v>
      </c>
      <c r="G9">
        <v>6</v>
      </c>
      <c r="H9" t="s">
        <v>11</v>
      </c>
      <c r="I9">
        <v>17144</v>
      </c>
      <c r="J9">
        <v>1</v>
      </c>
      <c r="K9">
        <v>1</v>
      </c>
      <c r="L9">
        <v>0</v>
      </c>
      <c r="M9">
        <v>1</v>
      </c>
      <c r="N9">
        <f t="shared" si="0"/>
        <v>-1.6153444386779099</v>
      </c>
      <c r="O9">
        <f t="shared" si="1"/>
        <v>-0.32813053476044352</v>
      </c>
    </row>
    <row r="10" spans="1:21">
      <c r="A10">
        <v>25</v>
      </c>
      <c r="B10">
        <v>460</v>
      </c>
      <c r="C10">
        <v>35</v>
      </c>
      <c r="D10">
        <v>422</v>
      </c>
      <c r="E10">
        <v>33</v>
      </c>
      <c r="F10">
        <v>12</v>
      </c>
      <c r="G10">
        <v>153</v>
      </c>
      <c r="H10" t="s">
        <v>11</v>
      </c>
      <c r="I10">
        <v>65148</v>
      </c>
      <c r="J10">
        <v>0</v>
      </c>
      <c r="K10">
        <v>1</v>
      </c>
      <c r="L10">
        <v>0</v>
      </c>
      <c r="M10">
        <v>1</v>
      </c>
      <c r="N10">
        <f t="shared" si="0"/>
        <v>0.60569057799474235</v>
      </c>
      <c r="O10">
        <f t="shared" si="1"/>
        <v>0.69038884122520094</v>
      </c>
    </row>
    <row r="11" spans="1:21">
      <c r="A11">
        <v>35</v>
      </c>
      <c r="B11">
        <v>32</v>
      </c>
      <c r="C11">
        <v>1</v>
      </c>
      <c r="D11">
        <v>64</v>
      </c>
      <c r="E11">
        <v>16</v>
      </c>
      <c r="F11">
        <v>12</v>
      </c>
      <c r="G11">
        <v>85</v>
      </c>
      <c r="H11" t="s">
        <v>11</v>
      </c>
      <c r="I11">
        <v>25545</v>
      </c>
      <c r="J11">
        <v>1</v>
      </c>
      <c r="K11">
        <v>0</v>
      </c>
      <c r="L11">
        <v>0</v>
      </c>
      <c r="M11">
        <v>1</v>
      </c>
      <c r="N11">
        <f t="shared" si="0"/>
        <v>-1.2266494304480342</v>
      </c>
      <c r="O11">
        <f t="shared" si="1"/>
        <v>-0.24318450049269336</v>
      </c>
    </row>
    <row r="12" spans="1:21">
      <c r="A12">
        <v>48</v>
      </c>
      <c r="B12">
        <v>136</v>
      </c>
      <c r="C12">
        <v>1</v>
      </c>
      <c r="D12">
        <v>12</v>
      </c>
      <c r="E12">
        <v>0</v>
      </c>
      <c r="F12">
        <v>3</v>
      </c>
      <c r="G12">
        <v>32</v>
      </c>
      <c r="H12" t="s">
        <v>11</v>
      </c>
      <c r="I12">
        <v>55761</v>
      </c>
      <c r="J12">
        <v>0</v>
      </c>
      <c r="K12">
        <v>1</v>
      </c>
      <c r="L12">
        <v>0</v>
      </c>
      <c r="M12">
        <v>1</v>
      </c>
      <c r="N12">
        <f t="shared" si="0"/>
        <v>0.17137561046065791</v>
      </c>
      <c r="O12">
        <f t="shared" si="1"/>
        <v>0.49311489828738247</v>
      </c>
    </row>
    <row r="13" spans="1:21">
      <c r="A13">
        <v>49</v>
      </c>
      <c r="B13">
        <v>2</v>
      </c>
      <c r="C13">
        <v>3</v>
      </c>
      <c r="D13">
        <v>6</v>
      </c>
      <c r="E13">
        <v>4</v>
      </c>
      <c r="F13">
        <v>1</v>
      </c>
      <c r="G13">
        <v>9</v>
      </c>
      <c r="H13" t="s">
        <v>12</v>
      </c>
      <c r="I13">
        <v>20587</v>
      </c>
      <c r="J13">
        <v>1</v>
      </c>
      <c r="K13">
        <v>0</v>
      </c>
      <c r="L13">
        <v>1</v>
      </c>
      <c r="M13">
        <v>0</v>
      </c>
      <c r="N13">
        <f t="shared" si="0"/>
        <v>-1.45604472277082</v>
      </c>
      <c r="O13">
        <f t="shared" si="1"/>
        <v>-0.59403969424528735</v>
      </c>
    </row>
    <row r="14" spans="1:21">
      <c r="A14">
        <v>55</v>
      </c>
      <c r="B14">
        <v>509</v>
      </c>
      <c r="C14">
        <v>0</v>
      </c>
      <c r="D14">
        <v>65</v>
      </c>
      <c r="E14">
        <v>7</v>
      </c>
      <c r="F14">
        <v>11</v>
      </c>
      <c r="G14">
        <v>5</v>
      </c>
      <c r="H14" t="s">
        <v>11</v>
      </c>
      <c r="I14">
        <v>56253</v>
      </c>
      <c r="J14">
        <v>0</v>
      </c>
      <c r="K14">
        <v>1</v>
      </c>
      <c r="L14">
        <v>0</v>
      </c>
      <c r="M14">
        <v>1</v>
      </c>
      <c r="N14">
        <f t="shared" si="0"/>
        <v>0.1941393224055572</v>
      </c>
      <c r="O14">
        <f t="shared" si="1"/>
        <v>0.50531296863173381</v>
      </c>
    </row>
    <row r="15" spans="1:21">
      <c r="A15">
        <v>67</v>
      </c>
      <c r="B15">
        <v>68</v>
      </c>
      <c r="C15">
        <v>0</v>
      </c>
      <c r="D15">
        <v>16</v>
      </c>
      <c r="E15">
        <v>0</v>
      </c>
      <c r="F15">
        <v>0</v>
      </c>
      <c r="G15">
        <v>8</v>
      </c>
      <c r="H15" t="s">
        <v>12</v>
      </c>
      <c r="I15">
        <v>46423</v>
      </c>
      <c r="J15">
        <v>1</v>
      </c>
      <c r="K15">
        <v>1</v>
      </c>
      <c r="L15">
        <v>1</v>
      </c>
      <c r="M15">
        <v>0</v>
      </c>
      <c r="N15">
        <f t="shared" si="0"/>
        <v>-0.26067223942037754</v>
      </c>
      <c r="O15">
        <f t="shared" si="1"/>
        <v>-0.123243349565284</v>
      </c>
    </row>
    <row r="16" spans="1:21">
      <c r="A16">
        <v>73</v>
      </c>
      <c r="B16">
        <v>14</v>
      </c>
      <c r="C16">
        <v>0</v>
      </c>
      <c r="D16">
        <v>3</v>
      </c>
      <c r="E16">
        <v>0</v>
      </c>
      <c r="F16">
        <v>0</v>
      </c>
      <c r="G16">
        <v>1</v>
      </c>
      <c r="H16" t="s">
        <v>12</v>
      </c>
      <c r="I16">
        <v>51411</v>
      </c>
      <c r="J16">
        <v>1</v>
      </c>
      <c r="K16">
        <v>2</v>
      </c>
      <c r="L16">
        <v>1</v>
      </c>
      <c r="M16">
        <v>0</v>
      </c>
      <c r="N16">
        <f t="shared" si="0"/>
        <v>-2.9888915881439347E-2</v>
      </c>
      <c r="O16">
        <f t="shared" si="1"/>
        <v>-1.0104040046549086E-2</v>
      </c>
    </row>
    <row r="17" spans="1:15">
      <c r="A17">
        <v>75</v>
      </c>
      <c r="B17">
        <v>34</v>
      </c>
      <c r="C17">
        <v>11</v>
      </c>
      <c r="D17">
        <v>137</v>
      </c>
      <c r="E17">
        <v>179</v>
      </c>
      <c r="F17">
        <v>61</v>
      </c>
      <c r="G17">
        <v>45</v>
      </c>
      <c r="H17" t="s">
        <v>11</v>
      </c>
      <c r="I17">
        <v>41039</v>
      </c>
      <c r="J17">
        <v>0</v>
      </c>
      <c r="K17">
        <v>0</v>
      </c>
      <c r="L17">
        <v>0</v>
      </c>
      <c r="M17">
        <v>1</v>
      </c>
      <c r="N17">
        <f t="shared" si="0"/>
        <v>-0.50977757501252741</v>
      </c>
      <c r="O17">
        <f t="shared" si="1"/>
        <v>0.12329867821629986</v>
      </c>
    </row>
    <row r="18" spans="1:15">
      <c r="A18">
        <v>78</v>
      </c>
      <c r="B18">
        <v>15</v>
      </c>
      <c r="C18">
        <v>0</v>
      </c>
      <c r="D18">
        <v>11</v>
      </c>
      <c r="E18">
        <v>0</v>
      </c>
      <c r="F18">
        <v>2</v>
      </c>
      <c r="G18">
        <v>9</v>
      </c>
      <c r="H18" t="s">
        <v>11</v>
      </c>
      <c r="I18">
        <v>25293</v>
      </c>
      <c r="J18">
        <v>1</v>
      </c>
      <c r="K18">
        <v>0</v>
      </c>
      <c r="L18">
        <v>0</v>
      </c>
      <c r="M18">
        <v>1</v>
      </c>
      <c r="N18">
        <f t="shared" si="0"/>
        <v>-1.2383088926637145</v>
      </c>
      <c r="O18">
        <f t="shared" si="1"/>
        <v>-0.24733005679883205</v>
      </c>
    </row>
    <row r="19" spans="1:15">
      <c r="A19">
        <v>87</v>
      </c>
      <c r="B19">
        <v>0</v>
      </c>
      <c r="C19">
        <v>7</v>
      </c>
      <c r="D19">
        <v>5</v>
      </c>
      <c r="E19">
        <v>26</v>
      </c>
      <c r="F19">
        <v>2</v>
      </c>
      <c r="G19">
        <v>17</v>
      </c>
      <c r="H19" t="s">
        <v>11</v>
      </c>
      <c r="I19">
        <v>27733</v>
      </c>
      <c r="J19">
        <v>1</v>
      </c>
      <c r="K19">
        <v>0</v>
      </c>
      <c r="L19">
        <v>0</v>
      </c>
      <c r="M19">
        <v>1</v>
      </c>
      <c r="N19">
        <f t="shared" si="0"/>
        <v>-1.1254156870833196</v>
      </c>
      <c r="O19">
        <f t="shared" si="1"/>
        <v>-0.20550731091325017</v>
      </c>
    </row>
    <row r="20" spans="1:15">
      <c r="A20">
        <v>89</v>
      </c>
      <c r="B20">
        <v>5</v>
      </c>
      <c r="C20">
        <v>9</v>
      </c>
      <c r="D20">
        <v>20</v>
      </c>
      <c r="E20">
        <v>6</v>
      </c>
      <c r="F20">
        <v>8</v>
      </c>
      <c r="G20">
        <v>21</v>
      </c>
      <c r="H20" t="s">
        <v>11</v>
      </c>
      <c r="I20">
        <v>22212</v>
      </c>
      <c r="J20">
        <v>1</v>
      </c>
      <c r="K20">
        <v>0</v>
      </c>
      <c r="L20">
        <v>0</v>
      </c>
      <c r="M20">
        <v>1</v>
      </c>
      <c r="N20">
        <f t="shared" si="0"/>
        <v>-1.3808596985625654</v>
      </c>
      <c r="O20">
        <f t="shared" si="1"/>
        <v>-0.29493946850282166</v>
      </c>
    </row>
    <row r="21" spans="1:15">
      <c r="A21">
        <v>92</v>
      </c>
      <c r="B21">
        <v>5</v>
      </c>
      <c r="C21">
        <v>7</v>
      </c>
      <c r="D21">
        <v>24</v>
      </c>
      <c r="E21">
        <v>19</v>
      </c>
      <c r="F21">
        <v>14</v>
      </c>
      <c r="G21">
        <v>20</v>
      </c>
      <c r="H21" t="s">
        <v>12</v>
      </c>
      <c r="I21">
        <v>34176</v>
      </c>
      <c r="J21">
        <v>1</v>
      </c>
      <c r="K21">
        <v>0</v>
      </c>
      <c r="L21">
        <v>1</v>
      </c>
      <c r="M21">
        <v>0</v>
      </c>
      <c r="N21">
        <f t="shared" si="0"/>
        <v>-0.82731284956099027</v>
      </c>
      <c r="O21">
        <f t="shared" si="1"/>
        <v>-0.41815302144938865</v>
      </c>
    </row>
    <row r="22" spans="1:15">
      <c r="A22">
        <v>113</v>
      </c>
      <c r="B22">
        <v>11</v>
      </c>
      <c r="C22">
        <v>0</v>
      </c>
      <c r="D22">
        <v>7</v>
      </c>
      <c r="E22">
        <v>3</v>
      </c>
      <c r="F22">
        <v>1</v>
      </c>
      <c r="G22">
        <v>6</v>
      </c>
      <c r="H22" t="s">
        <v>11</v>
      </c>
      <c r="I22">
        <v>30833</v>
      </c>
      <c r="J22">
        <v>1</v>
      </c>
      <c r="K22">
        <v>1</v>
      </c>
      <c r="L22">
        <v>0</v>
      </c>
      <c r="M22">
        <v>1</v>
      </c>
      <c r="N22">
        <f t="shared" si="0"/>
        <v>-0.98198579474757208</v>
      </c>
      <c r="O22">
        <f t="shared" si="1"/>
        <v>-0.12689220386571301</v>
      </c>
    </row>
    <row r="23" spans="1:15">
      <c r="A23">
        <v>115</v>
      </c>
      <c r="B23">
        <v>275</v>
      </c>
      <c r="C23">
        <v>11</v>
      </c>
      <c r="D23">
        <v>68</v>
      </c>
      <c r="E23">
        <v>25</v>
      </c>
      <c r="F23">
        <v>7</v>
      </c>
      <c r="G23">
        <v>7</v>
      </c>
      <c r="H23" t="s">
        <v>12</v>
      </c>
      <c r="I23">
        <v>43456</v>
      </c>
      <c r="J23">
        <v>0</v>
      </c>
      <c r="K23">
        <v>1</v>
      </c>
      <c r="L23">
        <v>1</v>
      </c>
      <c r="M23">
        <v>0</v>
      </c>
      <c r="N23">
        <f t="shared" si="0"/>
        <v>-0.39794852669784941</v>
      </c>
      <c r="O23">
        <f t="shared" si="1"/>
        <v>-0.2243145809514844</v>
      </c>
    </row>
    <row r="24" spans="1:15">
      <c r="A24">
        <v>123</v>
      </c>
      <c r="B24">
        <v>544</v>
      </c>
      <c r="C24">
        <v>35</v>
      </c>
      <c r="D24">
        <v>133</v>
      </c>
      <c r="E24">
        <v>23</v>
      </c>
      <c r="F24">
        <v>151</v>
      </c>
      <c r="G24">
        <v>107</v>
      </c>
      <c r="H24" t="s">
        <v>12</v>
      </c>
      <c r="I24">
        <v>67046</v>
      </c>
      <c r="J24">
        <v>0</v>
      </c>
      <c r="K24">
        <v>1</v>
      </c>
      <c r="L24">
        <v>1</v>
      </c>
      <c r="M24">
        <v>0</v>
      </c>
      <c r="N24">
        <f t="shared" si="0"/>
        <v>0.6935066862699838</v>
      </c>
      <c r="O24">
        <f t="shared" si="1"/>
        <v>0.36461485914086594</v>
      </c>
    </row>
    <row r="25" spans="1:15">
      <c r="A25">
        <v>125</v>
      </c>
      <c r="B25">
        <v>215</v>
      </c>
      <c r="C25">
        <v>7</v>
      </c>
      <c r="D25">
        <v>33</v>
      </c>
      <c r="E25">
        <v>3</v>
      </c>
      <c r="F25">
        <v>0</v>
      </c>
      <c r="G25">
        <v>13</v>
      </c>
      <c r="H25" t="s">
        <v>11</v>
      </c>
      <c r="I25">
        <v>53083</v>
      </c>
      <c r="J25">
        <v>1</v>
      </c>
      <c r="K25">
        <v>1</v>
      </c>
      <c r="L25">
        <v>0</v>
      </c>
      <c r="M25">
        <v>1</v>
      </c>
      <c r="N25">
        <f t="shared" si="0"/>
        <v>4.7470690565454131E-2</v>
      </c>
      <c r="O25">
        <f t="shared" si="1"/>
        <v>0.34620131827246525</v>
      </c>
    </row>
    <row r="26" spans="1:15">
      <c r="A26">
        <v>143</v>
      </c>
      <c r="B26">
        <v>466</v>
      </c>
      <c r="C26">
        <v>0</v>
      </c>
      <c r="D26">
        <v>224</v>
      </c>
      <c r="E26">
        <v>119</v>
      </c>
      <c r="F26">
        <v>49</v>
      </c>
      <c r="G26">
        <v>99</v>
      </c>
      <c r="H26" t="s">
        <v>12</v>
      </c>
      <c r="I26">
        <v>61209</v>
      </c>
      <c r="J26">
        <v>0</v>
      </c>
      <c r="K26">
        <v>0</v>
      </c>
      <c r="L26">
        <v>1</v>
      </c>
      <c r="M26">
        <v>0</v>
      </c>
      <c r="N26">
        <f t="shared" si="0"/>
        <v>0.42344207931393285</v>
      </c>
      <c r="O26">
        <f t="shared" si="1"/>
        <v>0.32290452147791354</v>
      </c>
    </row>
    <row r="27" spans="1:15">
      <c r="A27">
        <v>146</v>
      </c>
      <c r="B27">
        <v>760</v>
      </c>
      <c r="C27">
        <v>53</v>
      </c>
      <c r="D27">
        <v>400</v>
      </c>
      <c r="E27">
        <v>17</v>
      </c>
      <c r="F27">
        <v>93</v>
      </c>
      <c r="G27">
        <v>0</v>
      </c>
      <c r="H27" t="s">
        <v>12</v>
      </c>
      <c r="I27">
        <v>76045</v>
      </c>
      <c r="J27">
        <v>0</v>
      </c>
      <c r="K27">
        <v>0</v>
      </c>
      <c r="L27">
        <v>1</v>
      </c>
      <c r="M27">
        <v>0</v>
      </c>
      <c r="N27">
        <f t="shared" si="0"/>
        <v>1.1098697834084972</v>
      </c>
      <c r="O27">
        <f t="shared" si="1"/>
        <v>0.61522811979576286</v>
      </c>
    </row>
    <row r="28" spans="1:15">
      <c r="A28">
        <v>153</v>
      </c>
      <c r="B28">
        <v>19</v>
      </c>
      <c r="C28">
        <v>3</v>
      </c>
      <c r="D28">
        <v>6</v>
      </c>
      <c r="E28">
        <v>4</v>
      </c>
      <c r="F28">
        <v>2</v>
      </c>
      <c r="G28">
        <v>12</v>
      </c>
      <c r="H28" t="s">
        <v>12</v>
      </c>
      <c r="I28">
        <v>23272</v>
      </c>
      <c r="J28">
        <v>0</v>
      </c>
      <c r="K28">
        <v>0</v>
      </c>
      <c r="L28">
        <v>1</v>
      </c>
      <c r="M28">
        <v>0</v>
      </c>
      <c r="N28">
        <f t="shared" si="0"/>
        <v>-1.3318159289251807</v>
      </c>
      <c r="O28">
        <f t="shared" si="1"/>
        <v>-0.6622236337055144</v>
      </c>
    </row>
    <row r="29" spans="1:15">
      <c r="A29">
        <v>158</v>
      </c>
      <c r="B29">
        <v>345</v>
      </c>
      <c r="C29">
        <v>53</v>
      </c>
      <c r="D29">
        <v>528</v>
      </c>
      <c r="E29">
        <v>98</v>
      </c>
      <c r="F29">
        <v>75</v>
      </c>
      <c r="G29">
        <v>97</v>
      </c>
      <c r="H29" t="s">
        <v>11</v>
      </c>
      <c r="I29">
        <v>71604</v>
      </c>
      <c r="J29">
        <v>0</v>
      </c>
      <c r="K29">
        <v>0</v>
      </c>
      <c r="L29">
        <v>0</v>
      </c>
      <c r="M29">
        <v>1</v>
      </c>
      <c r="N29">
        <f t="shared" si="0"/>
        <v>0.90439489571073772</v>
      </c>
      <c r="O29">
        <f t="shared" si="1"/>
        <v>0.97121754376902547</v>
      </c>
    </row>
    <row r="30" spans="1:15">
      <c r="A30">
        <v>164</v>
      </c>
      <c r="B30">
        <v>206</v>
      </c>
      <c r="C30">
        <v>0</v>
      </c>
      <c r="D30">
        <v>46</v>
      </c>
      <c r="E30">
        <v>3</v>
      </c>
      <c r="F30">
        <v>2</v>
      </c>
      <c r="G30">
        <v>12</v>
      </c>
      <c r="H30" t="s">
        <v>11</v>
      </c>
      <c r="I30">
        <v>28973</v>
      </c>
      <c r="J30">
        <v>0</v>
      </c>
      <c r="K30">
        <v>0</v>
      </c>
      <c r="L30">
        <v>0</v>
      </c>
      <c r="M30">
        <v>1</v>
      </c>
      <c r="N30">
        <f t="shared" si="0"/>
        <v>-1.0680437301490207</v>
      </c>
      <c r="O30">
        <f t="shared" si="1"/>
        <v>-0.22138694465984199</v>
      </c>
    </row>
    <row r="31" spans="1:15">
      <c r="A31">
        <v>175</v>
      </c>
      <c r="B31">
        <v>656</v>
      </c>
      <c r="C31">
        <v>80</v>
      </c>
      <c r="D31">
        <v>455</v>
      </c>
      <c r="E31">
        <v>52</v>
      </c>
      <c r="F31">
        <v>107</v>
      </c>
      <c r="G31">
        <v>93</v>
      </c>
      <c r="H31" t="s">
        <v>11</v>
      </c>
      <c r="I31">
        <v>71952</v>
      </c>
      <c r="J31">
        <v>1</v>
      </c>
      <c r="K31">
        <v>0</v>
      </c>
      <c r="L31">
        <v>0</v>
      </c>
      <c r="M31">
        <v>1</v>
      </c>
      <c r="N31">
        <f t="shared" si="0"/>
        <v>0.92049605781810551</v>
      </c>
      <c r="O31">
        <f t="shared" si="1"/>
        <v>0.78394799316671271</v>
      </c>
    </row>
    <row r="32" spans="1:15">
      <c r="A32">
        <v>176</v>
      </c>
      <c r="B32">
        <v>90</v>
      </c>
      <c r="C32">
        <v>38</v>
      </c>
      <c r="D32">
        <v>67</v>
      </c>
      <c r="E32">
        <v>33</v>
      </c>
      <c r="F32">
        <v>36</v>
      </c>
      <c r="G32">
        <v>67</v>
      </c>
      <c r="H32" t="s">
        <v>12</v>
      </c>
      <c r="I32">
        <v>67506</v>
      </c>
      <c r="J32">
        <v>0</v>
      </c>
      <c r="K32">
        <v>1</v>
      </c>
      <c r="L32">
        <v>1</v>
      </c>
      <c r="M32">
        <v>0</v>
      </c>
      <c r="N32">
        <f t="shared" si="0"/>
        <v>0.71478983158432052</v>
      </c>
      <c r="O32">
        <f t="shared" si="1"/>
        <v>0.37355485780341668</v>
      </c>
    </row>
    <row r="33" spans="1:15">
      <c r="A33">
        <v>178</v>
      </c>
      <c r="B33">
        <v>478</v>
      </c>
      <c r="C33">
        <v>0</v>
      </c>
      <c r="D33">
        <v>193</v>
      </c>
      <c r="E33">
        <v>110</v>
      </c>
      <c r="F33">
        <v>75</v>
      </c>
      <c r="G33">
        <v>117</v>
      </c>
      <c r="H33" t="s">
        <v>11</v>
      </c>
      <c r="I33">
        <v>62503</v>
      </c>
      <c r="J33">
        <v>0</v>
      </c>
      <c r="K33">
        <v>1</v>
      </c>
      <c r="L33">
        <v>0</v>
      </c>
      <c r="M33">
        <v>1</v>
      </c>
      <c r="N33">
        <f t="shared" si="0"/>
        <v>0.48331249243730612</v>
      </c>
      <c r="O33">
        <f t="shared" si="1"/>
        <v>0.64287677750107886</v>
      </c>
    </row>
    <row r="34" spans="1:15">
      <c r="A34">
        <v>182</v>
      </c>
      <c r="B34">
        <v>284</v>
      </c>
      <c r="C34">
        <v>0</v>
      </c>
      <c r="D34">
        <v>55</v>
      </c>
      <c r="E34">
        <v>0</v>
      </c>
      <c r="F34">
        <v>6</v>
      </c>
      <c r="G34">
        <v>52</v>
      </c>
      <c r="H34" t="s">
        <v>11</v>
      </c>
      <c r="I34">
        <v>44124</v>
      </c>
      <c r="J34">
        <v>0</v>
      </c>
      <c r="K34">
        <v>1</v>
      </c>
      <c r="L34">
        <v>0</v>
      </c>
      <c r="M34">
        <v>1</v>
      </c>
      <c r="N34">
        <f t="shared" si="0"/>
        <v>-0.36704169828485605</v>
      </c>
      <c r="O34">
        <f t="shared" si="1"/>
        <v>0.17562343577851425</v>
      </c>
    </row>
    <row r="35" spans="1:15">
      <c r="A35">
        <v>193</v>
      </c>
      <c r="B35">
        <v>0</v>
      </c>
      <c r="C35">
        <v>0</v>
      </c>
      <c r="D35">
        <v>2</v>
      </c>
      <c r="E35">
        <v>3</v>
      </c>
      <c r="F35">
        <v>3</v>
      </c>
      <c r="G35">
        <v>8</v>
      </c>
      <c r="H35" t="s">
        <v>11</v>
      </c>
      <c r="I35">
        <v>14421</v>
      </c>
      <c r="J35">
        <v>0</v>
      </c>
      <c r="K35">
        <v>0</v>
      </c>
      <c r="L35">
        <v>0</v>
      </c>
      <c r="M35">
        <v>1</v>
      </c>
      <c r="N35">
        <f t="shared" si="0"/>
        <v>-1.7413314053973423</v>
      </c>
      <c r="O35">
        <f t="shared" si="1"/>
        <v>-0.43897370937422253</v>
      </c>
    </row>
    <row r="36" spans="1:15">
      <c r="A36">
        <v>194</v>
      </c>
      <c r="B36">
        <v>23</v>
      </c>
      <c r="C36">
        <v>0</v>
      </c>
      <c r="D36">
        <v>11</v>
      </c>
      <c r="E36">
        <v>3</v>
      </c>
      <c r="F36">
        <v>2</v>
      </c>
      <c r="G36">
        <v>2</v>
      </c>
      <c r="H36" t="s">
        <v>11</v>
      </c>
      <c r="I36">
        <v>48006</v>
      </c>
      <c r="J36">
        <v>1</v>
      </c>
      <c r="K36">
        <v>1</v>
      </c>
      <c r="L36">
        <v>0</v>
      </c>
      <c r="M36">
        <v>1</v>
      </c>
      <c r="N36">
        <f t="shared" si="0"/>
        <v>-0.18743045891473617</v>
      </c>
      <c r="O36">
        <f t="shared" si="1"/>
        <v>0.23266330842279773</v>
      </c>
    </row>
    <row r="37" spans="1:15">
      <c r="A37">
        <v>195</v>
      </c>
      <c r="B37">
        <v>125</v>
      </c>
      <c r="C37">
        <v>17</v>
      </c>
      <c r="D37">
        <v>52</v>
      </c>
      <c r="E37">
        <v>3</v>
      </c>
      <c r="F37">
        <v>19</v>
      </c>
      <c r="G37">
        <v>30</v>
      </c>
      <c r="H37" t="s">
        <v>12</v>
      </c>
      <c r="I37">
        <v>38808</v>
      </c>
      <c r="J37">
        <v>1</v>
      </c>
      <c r="K37">
        <v>0</v>
      </c>
      <c r="L37">
        <v>1</v>
      </c>
      <c r="M37">
        <v>0</v>
      </c>
      <c r="N37">
        <f t="shared" si="0"/>
        <v>-0.6130008297870605</v>
      </c>
      <c r="O37">
        <f t="shared" si="1"/>
        <v>-0.32934548494309468</v>
      </c>
    </row>
    <row r="38" spans="1:15">
      <c r="A38">
        <v>199</v>
      </c>
      <c r="B38">
        <v>219</v>
      </c>
      <c r="C38">
        <v>3</v>
      </c>
      <c r="D38">
        <v>60</v>
      </c>
      <c r="E38">
        <v>12</v>
      </c>
      <c r="F38">
        <v>9</v>
      </c>
      <c r="G38">
        <v>12</v>
      </c>
      <c r="H38" t="s">
        <v>12</v>
      </c>
      <c r="I38">
        <v>45183</v>
      </c>
      <c r="J38">
        <v>0</v>
      </c>
      <c r="K38">
        <v>0</v>
      </c>
      <c r="L38">
        <v>1</v>
      </c>
      <c r="M38">
        <v>0</v>
      </c>
      <c r="N38">
        <f t="shared" si="0"/>
        <v>-0.31804419635467651</v>
      </c>
      <c r="O38">
        <f t="shared" si="1"/>
        <v>-0.25099014378591422</v>
      </c>
    </row>
    <row r="39" spans="1:15">
      <c r="A39">
        <v>202</v>
      </c>
      <c r="B39">
        <v>332</v>
      </c>
      <c r="C39">
        <v>194</v>
      </c>
      <c r="D39">
        <v>377</v>
      </c>
      <c r="E39">
        <v>149</v>
      </c>
      <c r="F39">
        <v>125</v>
      </c>
      <c r="G39">
        <v>57</v>
      </c>
      <c r="H39" t="s">
        <v>12</v>
      </c>
      <c r="I39">
        <v>82032</v>
      </c>
      <c r="J39">
        <v>0</v>
      </c>
      <c r="K39">
        <v>0</v>
      </c>
      <c r="L39">
        <v>1</v>
      </c>
      <c r="M39">
        <v>0</v>
      </c>
      <c r="N39">
        <f t="shared" si="0"/>
        <v>1.3868745464453103</v>
      </c>
      <c r="O39">
        <f t="shared" si="1"/>
        <v>0.67171391638875566</v>
      </c>
    </row>
    <row r="40" spans="1:15">
      <c r="A40">
        <v>203</v>
      </c>
      <c r="B40">
        <v>1288</v>
      </c>
      <c r="C40">
        <v>20</v>
      </c>
      <c r="D40">
        <v>613</v>
      </c>
      <c r="E40">
        <v>80</v>
      </c>
      <c r="F40">
        <v>61</v>
      </c>
      <c r="G40">
        <v>27</v>
      </c>
      <c r="H40" t="s">
        <v>12</v>
      </c>
      <c r="I40">
        <v>81169</v>
      </c>
      <c r="J40">
        <v>0</v>
      </c>
      <c r="K40">
        <v>0</v>
      </c>
      <c r="L40">
        <v>1</v>
      </c>
      <c r="M40">
        <v>0</v>
      </c>
      <c r="N40">
        <f t="shared" si="0"/>
        <v>1.3469455151273262</v>
      </c>
      <c r="O40">
        <f t="shared" si="1"/>
        <v>0.66490653040239767</v>
      </c>
    </row>
    <row r="41" spans="1:15">
      <c r="A41">
        <v>213</v>
      </c>
      <c r="B41">
        <v>35</v>
      </c>
      <c r="C41">
        <v>0</v>
      </c>
      <c r="D41">
        <v>11</v>
      </c>
      <c r="E41">
        <v>0</v>
      </c>
      <c r="F41">
        <v>0</v>
      </c>
      <c r="G41">
        <v>2</v>
      </c>
      <c r="H41" t="s">
        <v>12</v>
      </c>
      <c r="I41">
        <v>23091</v>
      </c>
      <c r="J41">
        <v>1</v>
      </c>
      <c r="K41">
        <v>1</v>
      </c>
      <c r="L41">
        <v>1</v>
      </c>
      <c r="M41">
        <v>0</v>
      </c>
      <c r="N41">
        <f t="shared" si="0"/>
        <v>-1.3401903839293001</v>
      </c>
      <c r="O41">
        <f t="shared" si="1"/>
        <v>-0.50677451659450068</v>
      </c>
    </row>
    <row r="42" spans="1:15">
      <c r="A42">
        <v>217</v>
      </c>
      <c r="B42">
        <v>556</v>
      </c>
      <c r="C42">
        <v>14</v>
      </c>
      <c r="D42">
        <v>717</v>
      </c>
      <c r="E42">
        <v>210</v>
      </c>
      <c r="F42">
        <v>0</v>
      </c>
      <c r="G42">
        <v>43</v>
      </c>
      <c r="H42" t="s">
        <v>12</v>
      </c>
      <c r="I42">
        <v>64857</v>
      </c>
      <c r="J42">
        <v>0</v>
      </c>
      <c r="K42">
        <v>0</v>
      </c>
      <c r="L42">
        <v>1</v>
      </c>
      <c r="M42">
        <v>0</v>
      </c>
      <c r="N42">
        <f t="shared" si="0"/>
        <v>0.59222667519806405</v>
      </c>
      <c r="O42">
        <f t="shared" si="1"/>
        <v>0.42198416172241293</v>
      </c>
    </row>
    <row r="43" spans="1:15">
      <c r="A43">
        <v>221</v>
      </c>
      <c r="B43">
        <v>138</v>
      </c>
      <c r="C43">
        <v>3</v>
      </c>
      <c r="D43">
        <v>38</v>
      </c>
      <c r="E43">
        <v>4</v>
      </c>
      <c r="F43">
        <v>0</v>
      </c>
      <c r="G43">
        <v>59</v>
      </c>
      <c r="H43" t="s">
        <v>11</v>
      </c>
      <c r="I43">
        <v>48726</v>
      </c>
      <c r="J43">
        <v>0</v>
      </c>
      <c r="K43">
        <v>1</v>
      </c>
      <c r="L43">
        <v>0</v>
      </c>
      <c r="M43">
        <v>1</v>
      </c>
      <c r="N43">
        <f t="shared" si="0"/>
        <v>-0.15411770972707869</v>
      </c>
      <c r="O43">
        <f t="shared" si="1"/>
        <v>0.30432190013433513</v>
      </c>
    </row>
    <row r="44" spans="1:15">
      <c r="A44">
        <v>231</v>
      </c>
      <c r="B44">
        <v>24</v>
      </c>
      <c r="C44">
        <v>0</v>
      </c>
      <c r="D44">
        <v>7</v>
      </c>
      <c r="E44">
        <v>0</v>
      </c>
      <c r="F44">
        <v>0</v>
      </c>
      <c r="G44">
        <v>1</v>
      </c>
      <c r="H44" t="s">
        <v>11</v>
      </c>
      <c r="I44">
        <v>28839</v>
      </c>
      <c r="J44">
        <v>1</v>
      </c>
      <c r="K44">
        <v>1</v>
      </c>
      <c r="L44">
        <v>0</v>
      </c>
      <c r="M44">
        <v>1</v>
      </c>
      <c r="N44">
        <f t="shared" si="0"/>
        <v>-1.0742436029145013</v>
      </c>
      <c r="O44">
        <f t="shared" si="1"/>
        <v>-0.16144636853020541</v>
      </c>
    </row>
    <row r="45" spans="1:15">
      <c r="A45">
        <v>232</v>
      </c>
      <c r="B45">
        <v>279</v>
      </c>
      <c r="C45">
        <v>83</v>
      </c>
      <c r="D45">
        <v>88</v>
      </c>
      <c r="E45">
        <v>32</v>
      </c>
      <c r="F45">
        <v>14</v>
      </c>
      <c r="G45">
        <v>34</v>
      </c>
      <c r="H45" t="s">
        <v>12</v>
      </c>
      <c r="I45">
        <v>61559</v>
      </c>
      <c r="J45">
        <v>0</v>
      </c>
      <c r="K45">
        <v>1</v>
      </c>
      <c r="L45">
        <v>1</v>
      </c>
      <c r="M45">
        <v>0</v>
      </c>
      <c r="N45">
        <f t="shared" si="0"/>
        <v>0.43963577683571076</v>
      </c>
      <c r="O45">
        <f t="shared" si="1"/>
        <v>0.24583226145027862</v>
      </c>
    </row>
    <row r="46" spans="1:15">
      <c r="A46">
        <v>234</v>
      </c>
      <c r="B46">
        <v>1</v>
      </c>
      <c r="C46">
        <v>2</v>
      </c>
      <c r="D46">
        <v>8</v>
      </c>
      <c r="E46">
        <v>4</v>
      </c>
      <c r="F46">
        <v>3</v>
      </c>
      <c r="G46">
        <v>13</v>
      </c>
      <c r="H46" t="s">
        <v>12</v>
      </c>
      <c r="I46">
        <v>15287</v>
      </c>
      <c r="J46">
        <v>1</v>
      </c>
      <c r="K46">
        <v>0</v>
      </c>
      <c r="L46">
        <v>1</v>
      </c>
      <c r="M46">
        <v>0</v>
      </c>
      <c r="N46">
        <f t="shared" si="0"/>
        <v>-1.7012635709577433</v>
      </c>
      <c r="O46">
        <f t="shared" si="1"/>
        <v>-0.63682376199921109</v>
      </c>
    </row>
    <row r="47" spans="1:15">
      <c r="A47">
        <v>236</v>
      </c>
      <c r="B47">
        <v>28</v>
      </c>
      <c r="C47">
        <v>23</v>
      </c>
      <c r="D47">
        <v>29</v>
      </c>
      <c r="E47">
        <v>29</v>
      </c>
      <c r="F47">
        <v>14</v>
      </c>
      <c r="G47">
        <v>47</v>
      </c>
      <c r="H47" t="s">
        <v>11</v>
      </c>
      <c r="I47">
        <v>34838</v>
      </c>
      <c r="J47">
        <v>1</v>
      </c>
      <c r="K47">
        <v>1</v>
      </c>
      <c r="L47">
        <v>0</v>
      </c>
      <c r="M47">
        <v>1</v>
      </c>
      <c r="N47">
        <f t="shared" si="0"/>
        <v>-0.79668362739122744</v>
      </c>
      <c r="O47">
        <f t="shared" si="1"/>
        <v>-5.2031189114461786E-2</v>
      </c>
    </row>
    <row r="48" spans="1:15">
      <c r="A48">
        <v>238</v>
      </c>
      <c r="B48">
        <v>515</v>
      </c>
      <c r="C48">
        <v>47</v>
      </c>
      <c r="D48">
        <v>181</v>
      </c>
      <c r="E48">
        <v>149</v>
      </c>
      <c r="F48">
        <v>95</v>
      </c>
      <c r="G48">
        <v>95</v>
      </c>
      <c r="H48" t="s">
        <v>11</v>
      </c>
      <c r="I48">
        <v>67309</v>
      </c>
      <c r="J48">
        <v>1</v>
      </c>
      <c r="K48">
        <v>1</v>
      </c>
      <c r="L48">
        <v>0</v>
      </c>
      <c r="M48">
        <v>1</v>
      </c>
      <c r="N48">
        <f t="shared" si="0"/>
        <v>0.70567509326491984</v>
      </c>
      <c r="O48">
        <f t="shared" si="1"/>
        <v>0.61217048825634568</v>
      </c>
    </row>
    <row r="49" spans="1:15">
      <c r="A49">
        <v>241</v>
      </c>
      <c r="B49">
        <v>901</v>
      </c>
      <c r="C49">
        <v>31</v>
      </c>
      <c r="D49">
        <v>345</v>
      </c>
      <c r="E49">
        <v>75</v>
      </c>
      <c r="F49">
        <v>31</v>
      </c>
      <c r="G49">
        <v>191</v>
      </c>
      <c r="H49" t="s">
        <v>11</v>
      </c>
      <c r="I49">
        <v>83844</v>
      </c>
      <c r="J49">
        <v>0</v>
      </c>
      <c r="K49">
        <v>0</v>
      </c>
      <c r="L49">
        <v>0</v>
      </c>
      <c r="M49">
        <v>1</v>
      </c>
      <c r="N49">
        <f t="shared" si="0"/>
        <v>1.4707116319009148</v>
      </c>
      <c r="O49">
        <f t="shared" si="1"/>
        <v>0.99999782563619033</v>
      </c>
    </row>
    <row r="50" spans="1:15">
      <c r="A50">
        <v>246</v>
      </c>
      <c r="B50">
        <v>199</v>
      </c>
      <c r="C50">
        <v>9</v>
      </c>
      <c r="D50">
        <v>57</v>
      </c>
      <c r="E50">
        <v>20</v>
      </c>
      <c r="F50">
        <v>21</v>
      </c>
      <c r="G50">
        <v>6</v>
      </c>
      <c r="H50" t="s">
        <v>11</v>
      </c>
      <c r="I50">
        <v>66480</v>
      </c>
      <c r="J50">
        <v>1</v>
      </c>
      <c r="K50">
        <v>1</v>
      </c>
      <c r="L50">
        <v>0</v>
      </c>
      <c r="M50">
        <v>1</v>
      </c>
      <c r="N50">
        <f t="shared" si="0"/>
        <v>0.6673191639919086</v>
      </c>
      <c r="O50">
        <f t="shared" si="1"/>
        <v>0.59971893312722702</v>
      </c>
    </row>
    <row r="51" spans="1:15">
      <c r="A51">
        <v>247</v>
      </c>
      <c r="B51">
        <v>172</v>
      </c>
      <c r="C51">
        <v>10</v>
      </c>
      <c r="D51">
        <v>125</v>
      </c>
      <c r="E51">
        <v>21</v>
      </c>
      <c r="F51">
        <v>13</v>
      </c>
      <c r="G51">
        <v>16</v>
      </c>
      <c r="H51" t="s">
        <v>11</v>
      </c>
      <c r="I51">
        <v>36715</v>
      </c>
      <c r="J51">
        <v>1</v>
      </c>
      <c r="K51">
        <v>0</v>
      </c>
      <c r="L51">
        <v>0</v>
      </c>
      <c r="M51">
        <v>1</v>
      </c>
      <c r="N51">
        <f t="shared" si="0"/>
        <v>-0.7098391409672925</v>
      </c>
      <c r="O51">
        <f t="shared" si="1"/>
        <v>-1.7239641473275242E-2</v>
      </c>
    </row>
    <row r="52" spans="1:15">
      <c r="A52">
        <v>252</v>
      </c>
      <c r="B52">
        <v>123</v>
      </c>
      <c r="C52">
        <v>133</v>
      </c>
      <c r="D52">
        <v>142</v>
      </c>
      <c r="E52">
        <v>71</v>
      </c>
      <c r="F52">
        <v>44</v>
      </c>
      <c r="G52">
        <v>88</v>
      </c>
      <c r="H52" t="s">
        <v>12</v>
      </c>
      <c r="I52">
        <v>41003</v>
      </c>
      <c r="J52">
        <v>0</v>
      </c>
      <c r="K52">
        <v>0</v>
      </c>
      <c r="L52">
        <v>1</v>
      </c>
      <c r="M52">
        <v>0</v>
      </c>
      <c r="N52">
        <f t="shared" si="0"/>
        <v>-0.51144321247191027</v>
      </c>
      <c r="O52">
        <f t="shared" si="1"/>
        <v>-0.377080328751489</v>
      </c>
    </row>
    <row r="53" spans="1:15">
      <c r="A53">
        <v>254</v>
      </c>
      <c r="B53">
        <v>399</v>
      </c>
      <c r="C53">
        <v>4</v>
      </c>
      <c r="D53">
        <v>30</v>
      </c>
      <c r="E53">
        <v>6</v>
      </c>
      <c r="F53">
        <v>4</v>
      </c>
      <c r="G53">
        <v>30</v>
      </c>
      <c r="H53" t="s">
        <v>11</v>
      </c>
      <c r="I53">
        <v>53863</v>
      </c>
      <c r="J53">
        <v>0</v>
      </c>
      <c r="K53">
        <v>1</v>
      </c>
      <c r="L53">
        <v>0</v>
      </c>
      <c r="M53">
        <v>1</v>
      </c>
      <c r="N53">
        <f t="shared" si="0"/>
        <v>8.3559502185416398E-2</v>
      </c>
      <c r="O53">
        <f t="shared" si="1"/>
        <v>0.44452472257595843</v>
      </c>
    </row>
    <row r="54" spans="1:15">
      <c r="A54">
        <v>255</v>
      </c>
      <c r="B54">
        <v>17</v>
      </c>
      <c r="C54">
        <v>0</v>
      </c>
      <c r="D54">
        <v>2</v>
      </c>
      <c r="E54">
        <v>0</v>
      </c>
      <c r="F54">
        <v>0</v>
      </c>
      <c r="G54">
        <v>2</v>
      </c>
      <c r="H54" t="s">
        <v>12</v>
      </c>
      <c r="I54">
        <v>22263</v>
      </c>
      <c r="J54">
        <v>1</v>
      </c>
      <c r="K54">
        <v>1</v>
      </c>
      <c r="L54">
        <v>1</v>
      </c>
      <c r="M54">
        <v>0</v>
      </c>
      <c r="N54">
        <f t="shared" si="0"/>
        <v>-1.3785000454951062</v>
      </c>
      <c r="O54">
        <f t="shared" si="1"/>
        <v>-0.51569149378413037</v>
      </c>
    </row>
    <row r="55" spans="1:15">
      <c r="A55">
        <v>257</v>
      </c>
      <c r="B55">
        <v>952</v>
      </c>
      <c r="C55">
        <v>12</v>
      </c>
      <c r="D55">
        <v>180</v>
      </c>
      <c r="E55">
        <v>47</v>
      </c>
      <c r="F55">
        <v>12</v>
      </c>
      <c r="G55">
        <v>12</v>
      </c>
      <c r="H55" t="s">
        <v>11</v>
      </c>
      <c r="I55">
        <v>75032</v>
      </c>
      <c r="J55">
        <v>0</v>
      </c>
      <c r="K55">
        <v>1</v>
      </c>
      <c r="L55">
        <v>0</v>
      </c>
      <c r="M55">
        <v>1</v>
      </c>
      <c r="N55">
        <f t="shared" si="0"/>
        <v>1.0630005960097513</v>
      </c>
      <c r="O55">
        <f t="shared" si="1"/>
        <v>0.81441662290464567</v>
      </c>
    </row>
    <row r="56" spans="1:15">
      <c r="A56">
        <v>263</v>
      </c>
      <c r="B56">
        <v>56</v>
      </c>
      <c r="C56">
        <v>19</v>
      </c>
      <c r="D56">
        <v>29</v>
      </c>
      <c r="E56">
        <v>2</v>
      </c>
      <c r="F56">
        <v>14</v>
      </c>
      <c r="G56">
        <v>25</v>
      </c>
      <c r="H56" t="s">
        <v>12</v>
      </c>
      <c r="I56">
        <v>45576</v>
      </c>
      <c r="J56">
        <v>0</v>
      </c>
      <c r="K56">
        <v>0</v>
      </c>
      <c r="L56">
        <v>1</v>
      </c>
      <c r="M56">
        <v>0</v>
      </c>
      <c r="N56">
        <f t="shared" si="0"/>
        <v>-0.29986098742308015</v>
      </c>
      <c r="O56">
        <f t="shared" si="1"/>
        <v>-0.23785713364341207</v>
      </c>
    </row>
    <row r="57" spans="1:15">
      <c r="A57">
        <v>269</v>
      </c>
      <c r="B57">
        <v>777</v>
      </c>
      <c r="C57">
        <v>30</v>
      </c>
      <c r="D57">
        <v>163</v>
      </c>
      <c r="E57">
        <v>0</v>
      </c>
      <c r="F57">
        <v>51</v>
      </c>
      <c r="G57">
        <v>122</v>
      </c>
      <c r="H57" t="s">
        <v>12</v>
      </c>
      <c r="I57">
        <v>46757</v>
      </c>
      <c r="J57">
        <v>0</v>
      </c>
      <c r="K57">
        <v>1</v>
      </c>
      <c r="L57">
        <v>1</v>
      </c>
      <c r="M57">
        <v>0</v>
      </c>
      <c r="N57">
        <f t="shared" si="0"/>
        <v>-0.24521882521388089</v>
      </c>
      <c r="O57">
        <f t="shared" si="1"/>
        <v>-0.14148132061209714</v>
      </c>
    </row>
    <row r="58" spans="1:15">
      <c r="A58">
        <v>271</v>
      </c>
      <c r="B58">
        <v>154</v>
      </c>
      <c r="C58">
        <v>0</v>
      </c>
      <c r="D58">
        <v>50</v>
      </c>
      <c r="E58">
        <v>6</v>
      </c>
      <c r="F58">
        <v>11</v>
      </c>
      <c r="G58">
        <v>37</v>
      </c>
      <c r="H58" t="s">
        <v>12</v>
      </c>
      <c r="I58">
        <v>40590</v>
      </c>
      <c r="J58">
        <v>1</v>
      </c>
      <c r="K58">
        <v>1</v>
      </c>
      <c r="L58">
        <v>1</v>
      </c>
      <c r="M58">
        <v>0</v>
      </c>
      <c r="N58">
        <f t="shared" si="0"/>
        <v>-0.53055177554760824</v>
      </c>
      <c r="O58">
        <f t="shared" si="1"/>
        <v>-0.24254113100381122</v>
      </c>
    </row>
    <row r="59" spans="1:15">
      <c r="A59">
        <v>273</v>
      </c>
      <c r="B59">
        <v>130</v>
      </c>
      <c r="C59">
        <v>0</v>
      </c>
      <c r="D59">
        <v>16</v>
      </c>
      <c r="E59">
        <v>0</v>
      </c>
      <c r="F59">
        <v>0</v>
      </c>
      <c r="G59">
        <v>5</v>
      </c>
      <c r="H59" t="s">
        <v>11</v>
      </c>
      <c r="I59">
        <v>36138</v>
      </c>
      <c r="J59">
        <v>1</v>
      </c>
      <c r="K59">
        <v>1</v>
      </c>
      <c r="L59">
        <v>0</v>
      </c>
      <c r="M59">
        <v>1</v>
      </c>
      <c r="N59">
        <f t="shared" si="0"/>
        <v>-0.73653560802462359</v>
      </c>
      <c r="O59">
        <f t="shared" si="1"/>
        <v>-2.6239805074163985E-2</v>
      </c>
    </row>
    <row r="60" spans="1:15">
      <c r="A60">
        <v>274</v>
      </c>
      <c r="B60">
        <v>9</v>
      </c>
      <c r="C60">
        <v>3</v>
      </c>
      <c r="D60">
        <v>15</v>
      </c>
      <c r="E60">
        <v>2</v>
      </c>
      <c r="F60">
        <v>3</v>
      </c>
      <c r="G60">
        <v>2</v>
      </c>
      <c r="H60" t="s">
        <v>12</v>
      </c>
      <c r="I60">
        <v>34853</v>
      </c>
      <c r="J60">
        <v>1</v>
      </c>
      <c r="K60">
        <v>1</v>
      </c>
      <c r="L60">
        <v>1</v>
      </c>
      <c r="M60">
        <v>0</v>
      </c>
      <c r="N60">
        <f t="shared" si="0"/>
        <v>-0.7959896117831512</v>
      </c>
      <c r="O60">
        <f t="shared" si="1"/>
        <v>-0.34580536257582728</v>
      </c>
    </row>
    <row r="61" spans="1:15">
      <c r="A61">
        <v>286</v>
      </c>
      <c r="B61">
        <v>95</v>
      </c>
      <c r="C61">
        <v>11</v>
      </c>
      <c r="D61">
        <v>35</v>
      </c>
      <c r="E61">
        <v>0</v>
      </c>
      <c r="F61">
        <v>4</v>
      </c>
      <c r="G61">
        <v>7</v>
      </c>
      <c r="H61" t="s">
        <v>12</v>
      </c>
      <c r="I61">
        <v>44213</v>
      </c>
      <c r="J61">
        <v>1</v>
      </c>
      <c r="K61">
        <v>1</v>
      </c>
      <c r="L61">
        <v>1</v>
      </c>
      <c r="M61">
        <v>0</v>
      </c>
      <c r="N61">
        <f t="shared" si="0"/>
        <v>-0.36292387234360396</v>
      </c>
      <c r="O61">
        <f t="shared" si="1"/>
        <v>-0.16983115281077282</v>
      </c>
    </row>
    <row r="62" spans="1:15">
      <c r="A62">
        <v>291</v>
      </c>
      <c r="B62">
        <v>182</v>
      </c>
      <c r="C62">
        <v>74</v>
      </c>
      <c r="D62">
        <v>298</v>
      </c>
      <c r="E62">
        <v>162</v>
      </c>
      <c r="F62">
        <v>149</v>
      </c>
      <c r="G62">
        <v>116</v>
      </c>
      <c r="H62" t="s">
        <v>11</v>
      </c>
      <c r="I62">
        <v>72940</v>
      </c>
      <c r="J62">
        <v>0</v>
      </c>
      <c r="K62">
        <v>0</v>
      </c>
      <c r="L62">
        <v>0</v>
      </c>
      <c r="M62">
        <v>1</v>
      </c>
      <c r="N62">
        <f t="shared" si="0"/>
        <v>0.96620855253672433</v>
      </c>
      <c r="O62">
        <f t="shared" si="1"/>
        <v>0.97854276813139929</v>
      </c>
    </row>
    <row r="63" spans="1:15">
      <c r="A63">
        <v>295</v>
      </c>
      <c r="B63">
        <v>493</v>
      </c>
      <c r="C63">
        <v>70</v>
      </c>
      <c r="D63">
        <v>324</v>
      </c>
      <c r="E63">
        <v>146</v>
      </c>
      <c r="F63">
        <v>40</v>
      </c>
      <c r="G63">
        <v>84</v>
      </c>
      <c r="H63" t="s">
        <v>12</v>
      </c>
      <c r="I63">
        <v>81217</v>
      </c>
      <c r="J63">
        <v>0</v>
      </c>
      <c r="K63">
        <v>0</v>
      </c>
      <c r="L63">
        <v>1</v>
      </c>
      <c r="M63">
        <v>0</v>
      </c>
      <c r="N63">
        <f t="shared" si="0"/>
        <v>1.34916636507317</v>
      </c>
      <c r="O63">
        <f t="shared" si="1"/>
        <v>0.66529546186989208</v>
      </c>
    </row>
    <row r="64" spans="1:15">
      <c r="A64">
        <v>304</v>
      </c>
      <c r="B64">
        <v>19</v>
      </c>
      <c r="C64">
        <v>3</v>
      </c>
      <c r="D64">
        <v>19</v>
      </c>
      <c r="E64">
        <v>4</v>
      </c>
      <c r="F64">
        <v>5</v>
      </c>
      <c r="G64">
        <v>26</v>
      </c>
      <c r="H64" t="s">
        <v>12</v>
      </c>
      <c r="I64">
        <v>22944</v>
      </c>
      <c r="J64">
        <v>1</v>
      </c>
      <c r="K64">
        <v>0</v>
      </c>
      <c r="L64">
        <v>1</v>
      </c>
      <c r="M64">
        <v>0</v>
      </c>
      <c r="N64">
        <f t="shared" si="0"/>
        <v>-1.346991736888447</v>
      </c>
      <c r="O64">
        <f t="shared" si="1"/>
        <v>-0.57114373827567821</v>
      </c>
    </row>
    <row r="65" spans="1:15">
      <c r="A65">
        <v>309</v>
      </c>
      <c r="B65">
        <v>918</v>
      </c>
      <c r="C65">
        <v>21</v>
      </c>
      <c r="D65">
        <v>118</v>
      </c>
      <c r="E65">
        <v>13</v>
      </c>
      <c r="F65">
        <v>10</v>
      </c>
      <c r="G65">
        <v>21</v>
      </c>
      <c r="H65" t="s">
        <v>11</v>
      </c>
      <c r="I65">
        <v>63342</v>
      </c>
      <c r="J65">
        <v>0</v>
      </c>
      <c r="K65">
        <v>1</v>
      </c>
      <c r="L65">
        <v>0</v>
      </c>
      <c r="M65">
        <v>1</v>
      </c>
      <c r="N65">
        <f t="shared" si="0"/>
        <v>0.52213109878236807</v>
      </c>
      <c r="O65">
        <f t="shared" si="1"/>
        <v>0.65865652779309891</v>
      </c>
    </row>
    <row r="66" spans="1:15">
      <c r="A66">
        <v>310</v>
      </c>
      <c r="B66">
        <v>330</v>
      </c>
      <c r="C66">
        <v>5</v>
      </c>
      <c r="D66">
        <v>159</v>
      </c>
      <c r="E66">
        <v>36</v>
      </c>
      <c r="F66">
        <v>27</v>
      </c>
      <c r="G66">
        <v>16</v>
      </c>
      <c r="H66" t="s">
        <v>11</v>
      </c>
      <c r="I66">
        <v>61872</v>
      </c>
      <c r="J66">
        <v>0</v>
      </c>
      <c r="K66">
        <v>1</v>
      </c>
      <c r="L66">
        <v>0</v>
      </c>
      <c r="M66">
        <v>1</v>
      </c>
      <c r="N66">
        <f t="shared" si="0"/>
        <v>0.45411756919090079</v>
      </c>
      <c r="O66">
        <f t="shared" si="1"/>
        <v>0.63057488867023681</v>
      </c>
    </row>
    <row r="67" spans="1:15">
      <c r="A67">
        <v>313</v>
      </c>
      <c r="B67">
        <v>901</v>
      </c>
      <c r="C67">
        <v>61</v>
      </c>
      <c r="D67">
        <v>757</v>
      </c>
      <c r="E67">
        <v>186</v>
      </c>
      <c r="F67">
        <v>163</v>
      </c>
      <c r="G67">
        <v>20</v>
      </c>
      <c r="H67" t="s">
        <v>12</v>
      </c>
      <c r="I67">
        <v>73455</v>
      </c>
      <c r="J67">
        <v>0</v>
      </c>
      <c r="K67">
        <v>0</v>
      </c>
      <c r="L67">
        <v>1</v>
      </c>
      <c r="M67">
        <v>0</v>
      </c>
      <c r="N67">
        <f t="shared" ref="N67:N130" si="2">STANDARDIZE(I67,$Q$1,$R$1)</f>
        <v>0.99003642174734041</v>
      </c>
      <c r="O67">
        <f t="shared" ref="O67:O130" si="3">SUMPRODUCT(J67:N67,$Q$4:$U$4) / SQRT(SUMSQ(J67:N67) * SUMSQ($Q$4:$U$4))</f>
        <v>0.58262960916379569</v>
      </c>
    </row>
    <row r="68" spans="1:15">
      <c r="A68">
        <v>322</v>
      </c>
      <c r="B68">
        <v>29</v>
      </c>
      <c r="C68">
        <v>1</v>
      </c>
      <c r="D68">
        <v>11</v>
      </c>
      <c r="E68">
        <v>0</v>
      </c>
      <c r="F68">
        <v>0</v>
      </c>
      <c r="G68">
        <v>0</v>
      </c>
      <c r="H68" t="s">
        <v>11</v>
      </c>
      <c r="I68">
        <v>42554</v>
      </c>
      <c r="J68">
        <v>1</v>
      </c>
      <c r="K68">
        <v>1</v>
      </c>
      <c r="L68">
        <v>0</v>
      </c>
      <c r="M68">
        <v>1</v>
      </c>
      <c r="N68">
        <f t="shared" si="2"/>
        <v>-0.43968199859683144</v>
      </c>
      <c r="O68">
        <f t="shared" si="3"/>
        <v>0.10992974192176044</v>
      </c>
    </row>
    <row r="69" spans="1:15">
      <c r="A69">
        <v>326</v>
      </c>
      <c r="B69">
        <v>235</v>
      </c>
      <c r="C69">
        <v>6</v>
      </c>
      <c r="D69">
        <v>45</v>
      </c>
      <c r="E69">
        <v>8</v>
      </c>
      <c r="F69">
        <v>9</v>
      </c>
      <c r="G69">
        <v>12</v>
      </c>
      <c r="H69" t="s">
        <v>11</v>
      </c>
      <c r="I69">
        <v>51148</v>
      </c>
      <c r="J69">
        <v>1</v>
      </c>
      <c r="K69">
        <v>1</v>
      </c>
      <c r="L69">
        <v>0</v>
      </c>
      <c r="M69">
        <v>1</v>
      </c>
      <c r="N69">
        <f t="shared" si="2"/>
        <v>-4.2057322876375342E-2</v>
      </c>
      <c r="O69">
        <f t="shared" si="3"/>
        <v>0.30343720661029061</v>
      </c>
    </row>
    <row r="70" spans="1:15">
      <c r="A70">
        <v>332</v>
      </c>
      <c r="B70">
        <v>198</v>
      </c>
      <c r="C70">
        <v>2</v>
      </c>
      <c r="D70">
        <v>43</v>
      </c>
      <c r="E70">
        <v>0</v>
      </c>
      <c r="F70">
        <v>12</v>
      </c>
      <c r="G70">
        <v>20</v>
      </c>
      <c r="H70" t="s">
        <v>11</v>
      </c>
      <c r="I70">
        <v>47743</v>
      </c>
      <c r="J70">
        <v>0</v>
      </c>
      <c r="K70">
        <v>1</v>
      </c>
      <c r="L70">
        <v>0</v>
      </c>
      <c r="M70">
        <v>1</v>
      </c>
      <c r="N70">
        <f t="shared" si="2"/>
        <v>-0.19959886590967216</v>
      </c>
      <c r="O70">
        <f t="shared" si="3"/>
        <v>0.27674850581551275</v>
      </c>
    </row>
    <row r="71" spans="1:15">
      <c r="A71">
        <v>339</v>
      </c>
      <c r="B71">
        <v>462</v>
      </c>
      <c r="C71">
        <v>0</v>
      </c>
      <c r="D71">
        <v>24</v>
      </c>
      <c r="E71">
        <v>6</v>
      </c>
      <c r="F71">
        <v>0</v>
      </c>
      <c r="G71">
        <v>4</v>
      </c>
      <c r="H71" t="s">
        <v>11</v>
      </c>
      <c r="I71">
        <v>57091</v>
      </c>
      <c r="J71">
        <v>0</v>
      </c>
      <c r="K71">
        <v>1</v>
      </c>
      <c r="L71">
        <v>0</v>
      </c>
      <c r="M71">
        <v>1</v>
      </c>
      <c r="N71">
        <f t="shared" si="2"/>
        <v>0.2329116610434141</v>
      </c>
      <c r="O71">
        <f t="shared" si="3"/>
        <v>0.52567445653492084</v>
      </c>
    </row>
    <row r="72" spans="1:15">
      <c r="A72">
        <v>340</v>
      </c>
      <c r="B72">
        <v>158</v>
      </c>
      <c r="C72">
        <v>35</v>
      </c>
      <c r="D72">
        <v>179</v>
      </c>
      <c r="E72">
        <v>0</v>
      </c>
      <c r="F72">
        <v>0</v>
      </c>
      <c r="G72">
        <v>125</v>
      </c>
      <c r="H72" t="s">
        <v>12</v>
      </c>
      <c r="I72">
        <v>72967</v>
      </c>
      <c r="J72">
        <v>0</v>
      </c>
      <c r="K72">
        <v>1</v>
      </c>
      <c r="L72">
        <v>1</v>
      </c>
      <c r="M72">
        <v>0</v>
      </c>
      <c r="N72">
        <f t="shared" si="2"/>
        <v>0.96745778063126153</v>
      </c>
      <c r="O72">
        <f t="shared" si="3"/>
        <v>0.46757224973806621</v>
      </c>
    </row>
    <row r="73" spans="1:15">
      <c r="A73">
        <v>347</v>
      </c>
      <c r="B73">
        <v>229</v>
      </c>
      <c r="C73">
        <v>27</v>
      </c>
      <c r="D73">
        <v>71</v>
      </c>
      <c r="E73">
        <v>13</v>
      </c>
      <c r="F73">
        <v>3</v>
      </c>
      <c r="G73">
        <v>34</v>
      </c>
      <c r="H73" t="s">
        <v>12</v>
      </c>
      <c r="I73">
        <v>40780</v>
      </c>
      <c r="J73">
        <v>0</v>
      </c>
      <c r="K73">
        <v>1</v>
      </c>
      <c r="L73">
        <v>1</v>
      </c>
      <c r="M73">
        <v>0</v>
      </c>
      <c r="N73">
        <f t="shared" si="2"/>
        <v>-0.52176091117864298</v>
      </c>
      <c r="O73">
        <f t="shared" si="3"/>
        <v>-0.28664067654547515</v>
      </c>
    </row>
    <row r="74" spans="1:15">
      <c r="A74">
        <v>359</v>
      </c>
      <c r="B74">
        <v>373</v>
      </c>
      <c r="C74">
        <v>14</v>
      </c>
      <c r="D74">
        <v>83</v>
      </c>
      <c r="E74">
        <v>6</v>
      </c>
      <c r="F74">
        <v>9</v>
      </c>
      <c r="G74">
        <v>19</v>
      </c>
      <c r="H74" t="s">
        <v>11</v>
      </c>
      <c r="I74">
        <v>48070</v>
      </c>
      <c r="J74">
        <v>0</v>
      </c>
      <c r="K74">
        <v>1</v>
      </c>
      <c r="L74">
        <v>0</v>
      </c>
      <c r="M74">
        <v>1</v>
      </c>
      <c r="N74">
        <f t="shared" si="2"/>
        <v>-0.18446932565361107</v>
      </c>
      <c r="O74">
        <f t="shared" si="3"/>
        <v>0.28592849347935134</v>
      </c>
    </row>
    <row r="75" spans="1:15">
      <c r="A75">
        <v>361</v>
      </c>
      <c r="B75">
        <v>5</v>
      </c>
      <c r="C75">
        <v>1</v>
      </c>
      <c r="D75">
        <v>7</v>
      </c>
      <c r="E75">
        <v>2</v>
      </c>
      <c r="F75">
        <v>1</v>
      </c>
      <c r="G75">
        <v>4</v>
      </c>
      <c r="H75" t="s">
        <v>11</v>
      </c>
      <c r="I75">
        <v>43142</v>
      </c>
      <c r="J75">
        <v>1</v>
      </c>
      <c r="K75">
        <v>1</v>
      </c>
      <c r="L75">
        <v>0</v>
      </c>
      <c r="M75">
        <v>1</v>
      </c>
      <c r="N75">
        <f t="shared" si="2"/>
        <v>-0.41247658676024446</v>
      </c>
      <c r="O75">
        <f t="shared" si="3"/>
        <v>0.12298442533515841</v>
      </c>
    </row>
    <row r="76" spans="1:15">
      <c r="A76">
        <v>367</v>
      </c>
      <c r="B76">
        <v>47</v>
      </c>
      <c r="C76">
        <v>90</v>
      </c>
      <c r="D76">
        <v>94</v>
      </c>
      <c r="E76">
        <v>123</v>
      </c>
      <c r="F76">
        <v>103</v>
      </c>
      <c r="G76">
        <v>120</v>
      </c>
      <c r="H76" t="s">
        <v>11</v>
      </c>
      <c r="I76">
        <v>36550</v>
      </c>
      <c r="J76">
        <v>1</v>
      </c>
      <c r="K76">
        <v>0</v>
      </c>
      <c r="L76">
        <v>0</v>
      </c>
      <c r="M76">
        <v>1</v>
      </c>
      <c r="N76">
        <f t="shared" si="2"/>
        <v>-0.71747331265613068</v>
      </c>
      <c r="O76">
        <f t="shared" si="3"/>
        <v>-2.11888806601177E-2</v>
      </c>
    </row>
    <row r="77" spans="1:15">
      <c r="A77">
        <v>368</v>
      </c>
      <c r="B77">
        <v>91</v>
      </c>
      <c r="C77">
        <v>65</v>
      </c>
      <c r="D77">
        <v>52</v>
      </c>
      <c r="E77">
        <v>10</v>
      </c>
      <c r="F77">
        <v>44</v>
      </c>
      <c r="G77">
        <v>28</v>
      </c>
      <c r="H77" t="s">
        <v>11</v>
      </c>
      <c r="I77">
        <v>40049</v>
      </c>
      <c r="J77">
        <v>0</v>
      </c>
      <c r="K77">
        <v>1</v>
      </c>
      <c r="L77">
        <v>0</v>
      </c>
      <c r="M77">
        <v>1</v>
      </c>
      <c r="N77">
        <f t="shared" si="2"/>
        <v>-0.55558260514555635</v>
      </c>
      <c r="O77">
        <f t="shared" si="3"/>
        <v>6.6119093907592602E-2</v>
      </c>
    </row>
    <row r="78" spans="1:15">
      <c r="A78">
        <v>375</v>
      </c>
      <c r="B78">
        <v>516</v>
      </c>
      <c r="C78">
        <v>56</v>
      </c>
      <c r="D78">
        <v>449</v>
      </c>
      <c r="E78">
        <v>86</v>
      </c>
      <c r="F78">
        <v>33</v>
      </c>
      <c r="G78">
        <v>16</v>
      </c>
      <c r="H78" t="s">
        <v>12</v>
      </c>
      <c r="I78">
        <v>76773</v>
      </c>
      <c r="J78">
        <v>0</v>
      </c>
      <c r="K78">
        <v>0</v>
      </c>
      <c r="L78">
        <v>1</v>
      </c>
      <c r="M78">
        <v>0</v>
      </c>
      <c r="N78">
        <f t="shared" si="2"/>
        <v>1.1435526742537954</v>
      </c>
      <c r="O78">
        <f t="shared" si="3"/>
        <v>0.62338758974924247</v>
      </c>
    </row>
    <row r="79" spans="1:15">
      <c r="A79">
        <v>378</v>
      </c>
      <c r="B79">
        <v>283</v>
      </c>
      <c r="C79">
        <v>112</v>
      </c>
      <c r="D79">
        <v>151</v>
      </c>
      <c r="E79">
        <v>51</v>
      </c>
      <c r="F79">
        <v>72</v>
      </c>
      <c r="G79">
        <v>125</v>
      </c>
      <c r="H79" t="s">
        <v>11</v>
      </c>
      <c r="I79">
        <v>52531</v>
      </c>
      <c r="J79">
        <v>0</v>
      </c>
      <c r="K79">
        <v>0</v>
      </c>
      <c r="L79">
        <v>0</v>
      </c>
      <c r="M79">
        <v>1</v>
      </c>
      <c r="N79">
        <f t="shared" si="2"/>
        <v>2.1930916188250063E-2</v>
      </c>
      <c r="O79">
        <f t="shared" si="3"/>
        <v>0.57857434376194261</v>
      </c>
    </row>
    <row r="80" spans="1:15">
      <c r="A80">
        <v>380</v>
      </c>
      <c r="B80">
        <v>1170</v>
      </c>
      <c r="C80">
        <v>48</v>
      </c>
      <c r="D80">
        <v>320</v>
      </c>
      <c r="E80">
        <v>42</v>
      </c>
      <c r="F80">
        <v>32</v>
      </c>
      <c r="G80">
        <v>192</v>
      </c>
      <c r="H80" t="s">
        <v>12</v>
      </c>
      <c r="I80">
        <v>64497</v>
      </c>
      <c r="J80">
        <v>0</v>
      </c>
      <c r="K80">
        <v>1</v>
      </c>
      <c r="L80">
        <v>1</v>
      </c>
      <c r="M80">
        <v>0</v>
      </c>
      <c r="N80">
        <f t="shared" si="2"/>
        <v>0.57557030060423531</v>
      </c>
      <c r="O80">
        <f t="shared" si="3"/>
        <v>0.31217196522929574</v>
      </c>
    </row>
    <row r="81" spans="1:15">
      <c r="A81">
        <v>387</v>
      </c>
      <c r="B81">
        <v>6</v>
      </c>
      <c r="C81">
        <v>16</v>
      </c>
      <c r="D81">
        <v>11</v>
      </c>
      <c r="E81">
        <v>11</v>
      </c>
      <c r="F81">
        <v>1</v>
      </c>
      <c r="G81">
        <v>16</v>
      </c>
      <c r="H81" t="s">
        <v>11</v>
      </c>
      <c r="I81">
        <v>7500</v>
      </c>
      <c r="J81">
        <v>0</v>
      </c>
      <c r="K81">
        <v>0</v>
      </c>
      <c r="L81">
        <v>0</v>
      </c>
      <c r="M81">
        <v>1</v>
      </c>
      <c r="N81">
        <f t="shared" si="2"/>
        <v>-2.0615502069636999</v>
      </c>
      <c r="O81">
        <f t="shared" si="3"/>
        <v>-0.50044276043335534</v>
      </c>
    </row>
    <row r="82" spans="1:15">
      <c r="A82">
        <v>405</v>
      </c>
      <c r="B82">
        <v>315</v>
      </c>
      <c r="C82">
        <v>0</v>
      </c>
      <c r="D82">
        <v>31</v>
      </c>
      <c r="E82">
        <v>4</v>
      </c>
      <c r="F82">
        <v>0</v>
      </c>
      <c r="G82">
        <v>91</v>
      </c>
      <c r="H82" t="s">
        <v>12</v>
      </c>
      <c r="I82">
        <v>41638</v>
      </c>
      <c r="J82">
        <v>0</v>
      </c>
      <c r="K82">
        <v>1</v>
      </c>
      <c r="L82">
        <v>1</v>
      </c>
      <c r="M82">
        <v>0</v>
      </c>
      <c r="N82">
        <f t="shared" si="2"/>
        <v>-0.48206321839668453</v>
      </c>
      <c r="O82">
        <f t="shared" si="3"/>
        <v>-0.2671851418793289</v>
      </c>
    </row>
    <row r="83" spans="1:15">
      <c r="A83">
        <v>425</v>
      </c>
      <c r="B83">
        <v>374</v>
      </c>
      <c r="C83">
        <v>64</v>
      </c>
      <c r="D83">
        <v>116</v>
      </c>
      <c r="E83">
        <v>84</v>
      </c>
      <c r="F83">
        <v>25</v>
      </c>
      <c r="G83">
        <v>64</v>
      </c>
      <c r="H83" t="s">
        <v>11</v>
      </c>
      <c r="I83">
        <v>55357</v>
      </c>
      <c r="J83">
        <v>2</v>
      </c>
      <c r="K83">
        <v>0</v>
      </c>
      <c r="L83">
        <v>0</v>
      </c>
      <c r="M83">
        <v>1</v>
      </c>
      <c r="N83">
        <f t="shared" si="2"/>
        <v>0.15268345674980566</v>
      </c>
      <c r="O83">
        <f t="shared" si="3"/>
        <v>0.30651849831476136</v>
      </c>
    </row>
    <row r="84" spans="1:15">
      <c r="A84">
        <v>433</v>
      </c>
      <c r="B84">
        <v>534</v>
      </c>
      <c r="C84">
        <v>5</v>
      </c>
      <c r="D84">
        <v>47</v>
      </c>
      <c r="E84">
        <v>0</v>
      </c>
      <c r="F84">
        <v>5</v>
      </c>
      <c r="G84">
        <v>41</v>
      </c>
      <c r="H84" t="s">
        <v>12</v>
      </c>
      <c r="I84">
        <v>61331</v>
      </c>
      <c r="J84">
        <v>1</v>
      </c>
      <c r="K84">
        <v>1</v>
      </c>
      <c r="L84">
        <v>1</v>
      </c>
      <c r="M84">
        <v>0</v>
      </c>
      <c r="N84">
        <f t="shared" si="2"/>
        <v>0.42908673959295257</v>
      </c>
      <c r="O84">
        <f t="shared" si="3"/>
        <v>0.19913313999807331</v>
      </c>
    </row>
    <row r="85" spans="1:15">
      <c r="A85">
        <v>437</v>
      </c>
      <c r="B85">
        <v>294</v>
      </c>
      <c r="C85">
        <v>142</v>
      </c>
      <c r="D85">
        <v>218</v>
      </c>
      <c r="E85">
        <v>164</v>
      </c>
      <c r="F85">
        <v>58</v>
      </c>
      <c r="G85">
        <v>151</v>
      </c>
      <c r="H85" t="s">
        <v>12</v>
      </c>
      <c r="I85">
        <v>75012</v>
      </c>
      <c r="J85">
        <v>0</v>
      </c>
      <c r="K85">
        <v>0</v>
      </c>
      <c r="L85">
        <v>1</v>
      </c>
      <c r="M85">
        <v>0</v>
      </c>
      <c r="N85">
        <f t="shared" si="2"/>
        <v>1.0620752418656498</v>
      </c>
      <c r="O85">
        <f t="shared" si="3"/>
        <v>0.60292311421503975</v>
      </c>
    </row>
    <row r="86" spans="1:15">
      <c r="A86">
        <v>448</v>
      </c>
      <c r="B86">
        <v>308</v>
      </c>
      <c r="C86">
        <v>85</v>
      </c>
      <c r="D86">
        <v>137</v>
      </c>
      <c r="E86">
        <v>102</v>
      </c>
      <c r="F86">
        <v>45</v>
      </c>
      <c r="G86">
        <v>118</v>
      </c>
      <c r="H86" t="s">
        <v>12</v>
      </c>
      <c r="I86">
        <v>54880</v>
      </c>
      <c r="J86">
        <v>1</v>
      </c>
      <c r="K86">
        <v>0</v>
      </c>
      <c r="L86">
        <v>1</v>
      </c>
      <c r="M86">
        <v>0</v>
      </c>
      <c r="N86">
        <f t="shared" si="2"/>
        <v>0.13061376041298259</v>
      </c>
      <c r="O86">
        <f t="shared" si="3"/>
        <v>7.6159201093743994E-2</v>
      </c>
    </row>
    <row r="87" spans="1:15">
      <c r="A87">
        <v>450</v>
      </c>
      <c r="B87">
        <v>67</v>
      </c>
      <c r="C87">
        <v>15</v>
      </c>
      <c r="D87">
        <v>80</v>
      </c>
      <c r="E87">
        <v>17</v>
      </c>
      <c r="F87">
        <v>11</v>
      </c>
      <c r="G87">
        <v>80</v>
      </c>
      <c r="H87" t="s">
        <v>11</v>
      </c>
      <c r="I87">
        <v>42315</v>
      </c>
      <c r="J87">
        <v>0</v>
      </c>
      <c r="K87">
        <v>1</v>
      </c>
      <c r="L87">
        <v>0</v>
      </c>
      <c r="M87">
        <v>1</v>
      </c>
      <c r="N87">
        <f t="shared" si="2"/>
        <v>-0.45073998061884551</v>
      </c>
      <c r="O87">
        <f t="shared" si="3"/>
        <v>0.12617716817495833</v>
      </c>
    </row>
    <row r="88" spans="1:15">
      <c r="A88">
        <v>451</v>
      </c>
      <c r="B88">
        <v>9</v>
      </c>
      <c r="C88">
        <v>0</v>
      </c>
      <c r="D88">
        <v>7</v>
      </c>
      <c r="E88">
        <v>2</v>
      </c>
      <c r="F88">
        <v>0</v>
      </c>
      <c r="G88">
        <v>4</v>
      </c>
      <c r="H88" t="s">
        <v>12</v>
      </c>
      <c r="I88">
        <v>9255</v>
      </c>
      <c r="J88">
        <v>1</v>
      </c>
      <c r="K88">
        <v>0</v>
      </c>
      <c r="L88">
        <v>1</v>
      </c>
      <c r="M88">
        <v>0</v>
      </c>
      <c r="N88">
        <f t="shared" si="2"/>
        <v>-1.9803503808187848</v>
      </c>
      <c r="O88">
        <f t="shared" si="3"/>
        <v>-0.67392019701526495</v>
      </c>
    </row>
    <row r="89" spans="1:15">
      <c r="A89">
        <v>453</v>
      </c>
      <c r="B89">
        <v>27</v>
      </c>
      <c r="C89">
        <v>0</v>
      </c>
      <c r="D89">
        <v>12</v>
      </c>
      <c r="E89">
        <v>0</v>
      </c>
      <c r="F89">
        <v>1</v>
      </c>
      <c r="G89">
        <v>5</v>
      </c>
      <c r="H89" t="s">
        <v>12</v>
      </c>
      <c r="I89">
        <v>35340</v>
      </c>
      <c r="J89">
        <v>1</v>
      </c>
      <c r="K89">
        <v>1</v>
      </c>
      <c r="L89">
        <v>1</v>
      </c>
      <c r="M89">
        <v>0</v>
      </c>
      <c r="N89">
        <f t="shared" si="2"/>
        <v>-0.77345723837427727</v>
      </c>
      <c r="O89">
        <f t="shared" si="3"/>
        <v>-0.33766366512100204</v>
      </c>
    </row>
    <row r="90" spans="1:15">
      <c r="A90">
        <v>454</v>
      </c>
      <c r="B90">
        <v>824</v>
      </c>
      <c r="C90">
        <v>32</v>
      </c>
      <c r="D90">
        <v>162</v>
      </c>
      <c r="E90">
        <v>42</v>
      </c>
      <c r="F90">
        <v>32</v>
      </c>
      <c r="G90">
        <v>43</v>
      </c>
      <c r="H90" t="s">
        <v>11</v>
      </c>
      <c r="I90">
        <v>69508</v>
      </c>
      <c r="J90">
        <v>1</v>
      </c>
      <c r="K90">
        <v>0</v>
      </c>
      <c r="L90">
        <v>0</v>
      </c>
      <c r="M90">
        <v>1</v>
      </c>
      <c r="N90">
        <f t="shared" si="2"/>
        <v>0.80741778140889031</v>
      </c>
      <c r="O90">
        <f t="shared" si="3"/>
        <v>0.75481165921484827</v>
      </c>
    </row>
    <row r="91" spans="1:15">
      <c r="A91">
        <v>455</v>
      </c>
      <c r="B91">
        <v>102</v>
      </c>
      <c r="C91">
        <v>9</v>
      </c>
      <c r="D91">
        <v>63</v>
      </c>
      <c r="E91">
        <v>2</v>
      </c>
      <c r="F91">
        <v>9</v>
      </c>
      <c r="G91">
        <v>24</v>
      </c>
      <c r="H91" t="s">
        <v>11</v>
      </c>
      <c r="I91">
        <v>51012</v>
      </c>
      <c r="J91">
        <v>0</v>
      </c>
      <c r="K91">
        <v>0</v>
      </c>
      <c r="L91">
        <v>0</v>
      </c>
      <c r="M91">
        <v>1</v>
      </c>
      <c r="N91">
        <f t="shared" si="2"/>
        <v>-4.83497310562662E-2</v>
      </c>
      <c r="O91">
        <f t="shared" si="3"/>
        <v>0.51990537544204329</v>
      </c>
    </row>
    <row r="92" spans="1:15">
      <c r="A92">
        <v>456</v>
      </c>
      <c r="B92">
        <v>1</v>
      </c>
      <c r="C92">
        <v>11</v>
      </c>
      <c r="D92">
        <v>5</v>
      </c>
      <c r="E92">
        <v>4</v>
      </c>
      <c r="F92">
        <v>6</v>
      </c>
      <c r="G92">
        <v>9</v>
      </c>
      <c r="H92" t="s">
        <v>11</v>
      </c>
      <c r="I92">
        <v>7500</v>
      </c>
      <c r="J92">
        <v>1</v>
      </c>
      <c r="K92">
        <v>0</v>
      </c>
      <c r="L92">
        <v>0</v>
      </c>
      <c r="M92">
        <v>1</v>
      </c>
      <c r="N92">
        <f t="shared" si="2"/>
        <v>-2.0615502069636999</v>
      </c>
      <c r="O92">
        <f t="shared" si="3"/>
        <v>-0.45866329104289905</v>
      </c>
    </row>
    <row r="93" spans="1:15">
      <c r="A93">
        <v>460</v>
      </c>
      <c r="B93">
        <v>792</v>
      </c>
      <c r="C93">
        <v>86</v>
      </c>
      <c r="D93">
        <v>740</v>
      </c>
      <c r="E93">
        <v>67</v>
      </c>
      <c r="F93">
        <v>51</v>
      </c>
      <c r="G93">
        <v>17</v>
      </c>
      <c r="H93" t="s">
        <v>11</v>
      </c>
      <c r="I93">
        <v>79930</v>
      </c>
      <c r="J93">
        <v>0</v>
      </c>
      <c r="K93">
        <v>0</v>
      </c>
      <c r="L93">
        <v>0</v>
      </c>
      <c r="M93">
        <v>1</v>
      </c>
      <c r="N93">
        <f t="shared" si="2"/>
        <v>1.2896198259002323</v>
      </c>
      <c r="O93">
        <f t="shared" si="3"/>
        <v>0.99791920487172403</v>
      </c>
    </row>
    <row r="94" spans="1:15">
      <c r="A94">
        <v>466</v>
      </c>
      <c r="B94">
        <v>388</v>
      </c>
      <c r="C94">
        <v>14</v>
      </c>
      <c r="D94">
        <v>218</v>
      </c>
      <c r="E94">
        <v>91</v>
      </c>
      <c r="F94">
        <v>14</v>
      </c>
      <c r="G94">
        <v>21</v>
      </c>
      <c r="H94" t="s">
        <v>11</v>
      </c>
      <c r="I94">
        <v>65275</v>
      </c>
      <c r="J94">
        <v>0</v>
      </c>
      <c r="K94">
        <v>0</v>
      </c>
      <c r="L94">
        <v>0</v>
      </c>
      <c r="M94">
        <v>1</v>
      </c>
      <c r="N94">
        <f t="shared" si="2"/>
        <v>0.61156657680978743</v>
      </c>
      <c r="O94">
        <f t="shared" si="3"/>
        <v>0.91026896192274065</v>
      </c>
    </row>
    <row r="95" spans="1:15">
      <c r="A95">
        <v>477</v>
      </c>
      <c r="B95">
        <v>1060</v>
      </c>
      <c r="C95">
        <v>61</v>
      </c>
      <c r="D95">
        <v>835</v>
      </c>
      <c r="E95">
        <v>80</v>
      </c>
      <c r="F95">
        <v>20</v>
      </c>
      <c r="G95">
        <v>101</v>
      </c>
      <c r="H95" t="s">
        <v>11</v>
      </c>
      <c r="I95">
        <v>83512</v>
      </c>
      <c r="J95">
        <v>0</v>
      </c>
      <c r="K95">
        <v>0</v>
      </c>
      <c r="L95">
        <v>0</v>
      </c>
      <c r="M95">
        <v>1</v>
      </c>
      <c r="N95">
        <f t="shared" si="2"/>
        <v>1.4553507531088283</v>
      </c>
      <c r="O95">
        <f t="shared" si="3"/>
        <v>0.99997566295383322</v>
      </c>
    </row>
    <row r="96" spans="1:15">
      <c r="A96">
        <v>486</v>
      </c>
      <c r="B96">
        <v>434</v>
      </c>
      <c r="C96">
        <v>137</v>
      </c>
      <c r="D96">
        <v>400</v>
      </c>
      <c r="E96">
        <v>45</v>
      </c>
      <c r="F96">
        <v>137</v>
      </c>
      <c r="G96">
        <v>45</v>
      </c>
      <c r="H96" t="s">
        <v>11</v>
      </c>
      <c r="I96">
        <v>84219</v>
      </c>
      <c r="J96">
        <v>0</v>
      </c>
      <c r="K96">
        <v>0</v>
      </c>
      <c r="L96">
        <v>0</v>
      </c>
      <c r="M96">
        <v>1</v>
      </c>
      <c r="N96">
        <f t="shared" si="2"/>
        <v>1.4880620221028198</v>
      </c>
      <c r="O96">
        <f t="shared" si="3"/>
        <v>0.99999436823172794</v>
      </c>
    </row>
    <row r="97" spans="1:15">
      <c r="A97">
        <v>492</v>
      </c>
      <c r="B97">
        <v>322</v>
      </c>
      <c r="C97">
        <v>3</v>
      </c>
      <c r="D97">
        <v>50</v>
      </c>
      <c r="E97">
        <v>4</v>
      </c>
      <c r="F97">
        <v>3</v>
      </c>
      <c r="G97">
        <v>42</v>
      </c>
      <c r="H97" t="s">
        <v>12</v>
      </c>
      <c r="I97">
        <v>48432</v>
      </c>
      <c r="J97">
        <v>0</v>
      </c>
      <c r="K97">
        <v>1</v>
      </c>
      <c r="L97">
        <v>1</v>
      </c>
      <c r="M97">
        <v>0</v>
      </c>
      <c r="N97">
        <f t="shared" si="2"/>
        <v>-0.16772041564537216</v>
      </c>
      <c r="O97">
        <f t="shared" si="3"/>
        <v>-9.7528348657675706E-2</v>
      </c>
    </row>
    <row r="98" spans="1:15">
      <c r="A98">
        <v>498</v>
      </c>
      <c r="B98">
        <v>25</v>
      </c>
      <c r="C98">
        <v>0</v>
      </c>
      <c r="D98">
        <v>22</v>
      </c>
      <c r="E98">
        <v>2</v>
      </c>
      <c r="F98">
        <v>3</v>
      </c>
      <c r="G98">
        <v>5</v>
      </c>
      <c r="H98" t="s">
        <v>12</v>
      </c>
      <c r="I98">
        <v>30015</v>
      </c>
      <c r="J98">
        <v>1</v>
      </c>
      <c r="K98">
        <v>0</v>
      </c>
      <c r="L98">
        <v>1</v>
      </c>
      <c r="M98">
        <v>0</v>
      </c>
      <c r="N98">
        <f t="shared" si="2"/>
        <v>-1.0198327792413273</v>
      </c>
      <c r="O98">
        <f t="shared" si="3"/>
        <v>-0.48437399438113893</v>
      </c>
    </row>
    <row r="99" spans="1:15">
      <c r="A99">
        <v>500</v>
      </c>
      <c r="B99">
        <v>908</v>
      </c>
      <c r="C99">
        <v>43</v>
      </c>
      <c r="D99">
        <v>735</v>
      </c>
      <c r="E99">
        <v>40</v>
      </c>
      <c r="F99">
        <v>194</v>
      </c>
      <c r="G99">
        <v>21</v>
      </c>
      <c r="H99" t="s">
        <v>11</v>
      </c>
      <c r="I99">
        <v>96876</v>
      </c>
      <c r="J99">
        <v>0</v>
      </c>
      <c r="K99">
        <v>0</v>
      </c>
      <c r="L99">
        <v>0</v>
      </c>
      <c r="M99">
        <v>1</v>
      </c>
      <c r="N99">
        <f t="shared" si="2"/>
        <v>2.0736723921975151</v>
      </c>
      <c r="O99">
        <f t="shared" si="3"/>
        <v>0.98940213838246149</v>
      </c>
    </row>
    <row r="100" spans="1:15">
      <c r="A100">
        <v>503</v>
      </c>
      <c r="B100">
        <v>13</v>
      </c>
      <c r="C100">
        <v>1</v>
      </c>
      <c r="D100">
        <v>29</v>
      </c>
      <c r="E100">
        <v>3</v>
      </c>
      <c r="F100">
        <v>0</v>
      </c>
      <c r="G100">
        <v>7</v>
      </c>
      <c r="H100" t="s">
        <v>11</v>
      </c>
      <c r="I100">
        <v>20559</v>
      </c>
      <c r="J100">
        <v>1</v>
      </c>
      <c r="K100">
        <v>0</v>
      </c>
      <c r="L100">
        <v>0</v>
      </c>
      <c r="M100">
        <v>1</v>
      </c>
      <c r="N100">
        <f t="shared" si="2"/>
        <v>-1.4573402185725624</v>
      </c>
      <c r="O100">
        <f t="shared" si="3"/>
        <v>-0.3182605371876569</v>
      </c>
    </row>
    <row r="101" spans="1:15">
      <c r="A101">
        <v>520</v>
      </c>
      <c r="B101">
        <v>3</v>
      </c>
      <c r="C101">
        <v>3</v>
      </c>
      <c r="D101">
        <v>7</v>
      </c>
      <c r="E101">
        <v>6</v>
      </c>
      <c r="F101">
        <v>2</v>
      </c>
      <c r="G101">
        <v>9</v>
      </c>
      <c r="H101" t="s">
        <v>11</v>
      </c>
      <c r="I101">
        <v>34421</v>
      </c>
      <c r="J101">
        <v>1</v>
      </c>
      <c r="K101">
        <v>0</v>
      </c>
      <c r="L101">
        <v>0</v>
      </c>
      <c r="M101">
        <v>1</v>
      </c>
      <c r="N101">
        <f t="shared" si="2"/>
        <v>-0.81597726129574566</v>
      </c>
      <c r="O101">
        <f t="shared" si="3"/>
        <v>-7.0540829269063146E-2</v>
      </c>
    </row>
    <row r="102" spans="1:15">
      <c r="A102">
        <v>521</v>
      </c>
      <c r="B102">
        <v>174</v>
      </c>
      <c r="C102">
        <v>77</v>
      </c>
      <c r="D102">
        <v>203</v>
      </c>
      <c r="E102">
        <v>6</v>
      </c>
      <c r="F102">
        <v>24</v>
      </c>
      <c r="G102">
        <v>97</v>
      </c>
      <c r="H102" t="s">
        <v>11</v>
      </c>
      <c r="I102">
        <v>54006</v>
      </c>
      <c r="J102">
        <v>1</v>
      </c>
      <c r="K102">
        <v>0</v>
      </c>
      <c r="L102">
        <v>0</v>
      </c>
      <c r="M102">
        <v>1</v>
      </c>
      <c r="N102">
        <f t="shared" si="2"/>
        <v>9.0175784315742816E-2</v>
      </c>
      <c r="O102">
        <f t="shared" si="3"/>
        <v>0.44826391392128118</v>
      </c>
    </row>
    <row r="103" spans="1:15">
      <c r="A103">
        <v>523</v>
      </c>
      <c r="B103">
        <v>23</v>
      </c>
      <c r="C103">
        <v>0</v>
      </c>
      <c r="D103">
        <v>26</v>
      </c>
      <c r="E103">
        <v>7</v>
      </c>
      <c r="F103">
        <v>15</v>
      </c>
      <c r="G103">
        <v>3</v>
      </c>
      <c r="H103" t="s">
        <v>11</v>
      </c>
      <c r="I103">
        <v>37155</v>
      </c>
      <c r="J103">
        <v>1</v>
      </c>
      <c r="K103">
        <v>0</v>
      </c>
      <c r="L103">
        <v>0</v>
      </c>
      <c r="M103">
        <v>1</v>
      </c>
      <c r="N103">
        <f t="shared" si="2"/>
        <v>-0.68948134979705744</v>
      </c>
      <c r="O103">
        <f t="shared" si="3"/>
        <v>-6.6233092563047881E-3</v>
      </c>
    </row>
    <row r="104" spans="1:15">
      <c r="A104">
        <v>524</v>
      </c>
      <c r="B104">
        <v>2</v>
      </c>
      <c r="C104">
        <v>23</v>
      </c>
      <c r="D104">
        <v>11</v>
      </c>
      <c r="E104">
        <v>8</v>
      </c>
      <c r="F104">
        <v>6</v>
      </c>
      <c r="G104">
        <v>46</v>
      </c>
      <c r="H104" t="s">
        <v>11</v>
      </c>
      <c r="I104">
        <v>22634</v>
      </c>
      <c r="J104">
        <v>0</v>
      </c>
      <c r="K104">
        <v>0</v>
      </c>
      <c r="L104">
        <v>0</v>
      </c>
      <c r="M104">
        <v>1</v>
      </c>
      <c r="N104">
        <f t="shared" si="2"/>
        <v>-1.3613347261220217</v>
      </c>
      <c r="O104">
        <f t="shared" si="3"/>
        <v>-0.3355503743434019</v>
      </c>
    </row>
    <row r="105" spans="1:15">
      <c r="A105">
        <v>528</v>
      </c>
      <c r="B105">
        <v>267</v>
      </c>
      <c r="C105">
        <v>38</v>
      </c>
      <c r="D105">
        <v>701</v>
      </c>
      <c r="E105">
        <v>149</v>
      </c>
      <c r="F105">
        <v>165</v>
      </c>
      <c r="G105">
        <v>63</v>
      </c>
      <c r="H105" t="s">
        <v>11</v>
      </c>
      <c r="I105">
        <v>65819</v>
      </c>
      <c r="J105">
        <v>0</v>
      </c>
      <c r="K105">
        <v>0</v>
      </c>
      <c r="L105">
        <v>0</v>
      </c>
      <c r="M105">
        <v>1</v>
      </c>
      <c r="N105">
        <f t="shared" si="2"/>
        <v>0.63673620952935084</v>
      </c>
      <c r="O105">
        <f t="shared" si="3"/>
        <v>0.9176184922377133</v>
      </c>
    </row>
    <row r="106" spans="1:15">
      <c r="A106">
        <v>531</v>
      </c>
      <c r="B106">
        <v>941</v>
      </c>
      <c r="C106">
        <v>14</v>
      </c>
      <c r="D106">
        <v>397</v>
      </c>
      <c r="E106">
        <v>76</v>
      </c>
      <c r="F106">
        <v>58</v>
      </c>
      <c r="G106">
        <v>176</v>
      </c>
      <c r="H106" t="s">
        <v>12</v>
      </c>
      <c r="I106">
        <v>57333</v>
      </c>
      <c r="J106">
        <v>0</v>
      </c>
      <c r="K106">
        <v>1</v>
      </c>
      <c r="L106">
        <v>1</v>
      </c>
      <c r="M106">
        <v>0</v>
      </c>
      <c r="N106">
        <f t="shared" si="2"/>
        <v>0.24410844618704342</v>
      </c>
      <c r="O106">
        <f t="shared" si="3"/>
        <v>0.14085925324599749</v>
      </c>
    </row>
    <row r="107" spans="1:15">
      <c r="A107">
        <v>535</v>
      </c>
      <c r="B107">
        <v>163</v>
      </c>
      <c r="C107">
        <v>23</v>
      </c>
      <c r="D107">
        <v>424</v>
      </c>
      <c r="E107">
        <v>27</v>
      </c>
      <c r="F107">
        <v>65</v>
      </c>
      <c r="G107">
        <v>76</v>
      </c>
      <c r="H107" t="s">
        <v>12</v>
      </c>
      <c r="I107">
        <v>81361</v>
      </c>
      <c r="J107">
        <v>0</v>
      </c>
      <c r="K107">
        <v>0</v>
      </c>
      <c r="L107">
        <v>1</v>
      </c>
      <c r="M107">
        <v>0</v>
      </c>
      <c r="N107">
        <f t="shared" si="2"/>
        <v>1.3558289149107017</v>
      </c>
      <c r="O107">
        <f t="shared" si="3"/>
        <v>0.66645484844310376</v>
      </c>
    </row>
    <row r="108" spans="1:15">
      <c r="A108">
        <v>538</v>
      </c>
      <c r="B108">
        <v>31</v>
      </c>
      <c r="C108">
        <v>9</v>
      </c>
      <c r="D108">
        <v>27</v>
      </c>
      <c r="E108">
        <v>16</v>
      </c>
      <c r="F108">
        <v>9</v>
      </c>
      <c r="G108">
        <v>33</v>
      </c>
      <c r="H108" t="s">
        <v>12</v>
      </c>
      <c r="I108">
        <v>46107</v>
      </c>
      <c r="J108">
        <v>1</v>
      </c>
      <c r="K108">
        <v>0</v>
      </c>
      <c r="L108">
        <v>1</v>
      </c>
      <c r="M108">
        <v>0</v>
      </c>
      <c r="N108">
        <f t="shared" si="2"/>
        <v>-0.27529283489718276</v>
      </c>
      <c r="O108">
        <f t="shared" si="3"/>
        <v>-0.15823277836335173</v>
      </c>
    </row>
    <row r="109" spans="1:15">
      <c r="A109">
        <v>544</v>
      </c>
      <c r="B109">
        <v>398</v>
      </c>
      <c r="C109">
        <v>61</v>
      </c>
      <c r="D109">
        <v>265</v>
      </c>
      <c r="E109">
        <v>138</v>
      </c>
      <c r="F109">
        <v>61</v>
      </c>
      <c r="G109">
        <v>53</v>
      </c>
      <c r="H109" t="s">
        <v>11</v>
      </c>
      <c r="I109">
        <v>62820</v>
      </c>
      <c r="J109">
        <v>0</v>
      </c>
      <c r="K109">
        <v>0</v>
      </c>
      <c r="L109">
        <v>0</v>
      </c>
      <c r="M109">
        <v>1</v>
      </c>
      <c r="N109">
        <f t="shared" si="2"/>
        <v>0.49797935562131646</v>
      </c>
      <c r="O109">
        <f t="shared" si="3"/>
        <v>0.87092527602769954</v>
      </c>
    </row>
    <row r="110" spans="1:15">
      <c r="A110">
        <v>550</v>
      </c>
      <c r="B110">
        <v>243</v>
      </c>
      <c r="C110">
        <v>131</v>
      </c>
      <c r="D110">
        <v>217</v>
      </c>
      <c r="E110">
        <v>85</v>
      </c>
      <c r="F110">
        <v>6</v>
      </c>
      <c r="G110">
        <v>26</v>
      </c>
      <c r="H110" t="s">
        <v>12</v>
      </c>
      <c r="I110">
        <v>62335</v>
      </c>
      <c r="J110">
        <v>0</v>
      </c>
      <c r="K110">
        <v>1</v>
      </c>
      <c r="L110">
        <v>1</v>
      </c>
      <c r="M110">
        <v>0</v>
      </c>
      <c r="N110">
        <f t="shared" si="2"/>
        <v>0.47553951762685276</v>
      </c>
      <c r="O110">
        <f t="shared" si="3"/>
        <v>0.26393892155328297</v>
      </c>
    </row>
    <row r="111" spans="1:15">
      <c r="A111">
        <v>564</v>
      </c>
      <c r="B111">
        <v>746</v>
      </c>
      <c r="C111">
        <v>8</v>
      </c>
      <c r="D111">
        <v>125</v>
      </c>
      <c r="E111">
        <v>11</v>
      </c>
      <c r="F111">
        <v>8</v>
      </c>
      <c r="G111">
        <v>8</v>
      </c>
      <c r="H111" t="s">
        <v>11</v>
      </c>
      <c r="I111">
        <v>56937</v>
      </c>
      <c r="J111">
        <v>1</v>
      </c>
      <c r="K111">
        <v>0</v>
      </c>
      <c r="L111">
        <v>0</v>
      </c>
      <c r="M111">
        <v>1</v>
      </c>
      <c r="N111">
        <f t="shared" si="2"/>
        <v>0.22578643413383181</v>
      </c>
      <c r="O111">
        <f t="shared" si="3"/>
        <v>0.5219730030330072</v>
      </c>
    </row>
    <row r="112" spans="1:15">
      <c r="A112">
        <v>569</v>
      </c>
      <c r="B112">
        <v>704</v>
      </c>
      <c r="C112">
        <v>129</v>
      </c>
      <c r="D112">
        <v>853</v>
      </c>
      <c r="E112">
        <v>120</v>
      </c>
      <c r="F112">
        <v>74</v>
      </c>
      <c r="G112">
        <v>111</v>
      </c>
      <c r="H112" t="s">
        <v>12</v>
      </c>
      <c r="I112">
        <v>90273</v>
      </c>
      <c r="J112">
        <v>0</v>
      </c>
      <c r="K112">
        <v>0</v>
      </c>
      <c r="L112">
        <v>1</v>
      </c>
      <c r="M112">
        <v>0</v>
      </c>
      <c r="N112">
        <f t="shared" si="2"/>
        <v>1.7681667215223731</v>
      </c>
      <c r="O112">
        <f t="shared" si="3"/>
        <v>0.72082474491242798</v>
      </c>
    </row>
    <row r="113" spans="1:15">
      <c r="A113">
        <v>574</v>
      </c>
      <c r="B113">
        <v>14</v>
      </c>
      <c r="C113">
        <v>36</v>
      </c>
      <c r="D113">
        <v>11</v>
      </c>
      <c r="E113">
        <v>3</v>
      </c>
      <c r="F113">
        <v>26</v>
      </c>
      <c r="G113">
        <v>35</v>
      </c>
      <c r="H113" t="s">
        <v>11</v>
      </c>
      <c r="I113">
        <v>42523</v>
      </c>
      <c r="J113">
        <v>0</v>
      </c>
      <c r="K113">
        <v>0</v>
      </c>
      <c r="L113">
        <v>0</v>
      </c>
      <c r="M113">
        <v>1</v>
      </c>
      <c r="N113">
        <f t="shared" si="2"/>
        <v>-0.44111629752018888</v>
      </c>
      <c r="O113">
        <f t="shared" si="3"/>
        <v>0.17864640889808214</v>
      </c>
    </row>
    <row r="114" spans="1:15">
      <c r="A114">
        <v>577</v>
      </c>
      <c r="B114">
        <v>9</v>
      </c>
      <c r="C114">
        <v>1</v>
      </c>
      <c r="D114">
        <v>7</v>
      </c>
      <c r="E114">
        <v>0</v>
      </c>
      <c r="F114">
        <v>3</v>
      </c>
      <c r="G114">
        <v>2</v>
      </c>
      <c r="H114" t="s">
        <v>11</v>
      </c>
      <c r="I114">
        <v>26907</v>
      </c>
      <c r="J114">
        <v>1</v>
      </c>
      <c r="K114">
        <v>1</v>
      </c>
      <c r="L114">
        <v>0</v>
      </c>
      <c r="M114">
        <v>1</v>
      </c>
      <c r="N114">
        <f t="shared" si="2"/>
        <v>-1.1636328132347156</v>
      </c>
      <c r="O114">
        <f t="shared" si="3"/>
        <v>-0.19316977509155045</v>
      </c>
    </row>
    <row r="115" spans="1:15">
      <c r="A115">
        <v>590</v>
      </c>
      <c r="B115">
        <v>816</v>
      </c>
      <c r="C115">
        <v>66</v>
      </c>
      <c r="D115">
        <v>549</v>
      </c>
      <c r="E115">
        <v>216</v>
      </c>
      <c r="F115">
        <v>66</v>
      </c>
      <c r="G115">
        <v>99</v>
      </c>
      <c r="H115" t="s">
        <v>12</v>
      </c>
      <c r="I115">
        <v>78579</v>
      </c>
      <c r="J115">
        <v>0</v>
      </c>
      <c r="K115">
        <v>0</v>
      </c>
      <c r="L115">
        <v>1</v>
      </c>
      <c r="M115">
        <v>0</v>
      </c>
      <c r="N115">
        <f t="shared" si="2"/>
        <v>1.2271121534661695</v>
      </c>
      <c r="O115">
        <f t="shared" si="3"/>
        <v>0.64195345114481872</v>
      </c>
    </row>
    <row r="116" spans="1:15">
      <c r="A116">
        <v>591</v>
      </c>
      <c r="B116">
        <v>293</v>
      </c>
      <c r="C116">
        <v>35</v>
      </c>
      <c r="D116">
        <v>179</v>
      </c>
      <c r="E116">
        <v>46</v>
      </c>
      <c r="F116">
        <v>59</v>
      </c>
      <c r="G116">
        <v>65</v>
      </c>
      <c r="H116" t="s">
        <v>12</v>
      </c>
      <c r="I116">
        <v>66033</v>
      </c>
      <c r="J116">
        <v>0</v>
      </c>
      <c r="K116">
        <v>1</v>
      </c>
      <c r="L116">
        <v>1</v>
      </c>
      <c r="M116">
        <v>0</v>
      </c>
      <c r="N116">
        <f t="shared" si="2"/>
        <v>0.646637498871238</v>
      </c>
      <c r="O116">
        <f t="shared" si="3"/>
        <v>0.34436024703475498</v>
      </c>
    </row>
    <row r="117" spans="1:15">
      <c r="A117">
        <v>606</v>
      </c>
      <c r="B117">
        <v>6</v>
      </c>
      <c r="C117">
        <v>1</v>
      </c>
      <c r="D117">
        <v>2</v>
      </c>
      <c r="E117">
        <v>2</v>
      </c>
      <c r="F117">
        <v>0</v>
      </c>
      <c r="G117">
        <v>4</v>
      </c>
      <c r="H117" t="s">
        <v>12</v>
      </c>
      <c r="I117">
        <v>25930</v>
      </c>
      <c r="J117">
        <v>1</v>
      </c>
      <c r="K117">
        <v>1</v>
      </c>
      <c r="L117">
        <v>1</v>
      </c>
      <c r="M117">
        <v>0</v>
      </c>
      <c r="N117">
        <f t="shared" si="2"/>
        <v>-1.2088363631740786</v>
      </c>
      <c r="O117">
        <f t="shared" si="3"/>
        <v>-0.47394763941557744</v>
      </c>
    </row>
    <row r="118" spans="1:15">
      <c r="A118">
        <v>607</v>
      </c>
      <c r="B118">
        <v>302</v>
      </c>
      <c r="C118">
        <v>29</v>
      </c>
      <c r="D118">
        <v>131</v>
      </c>
      <c r="E118">
        <v>32</v>
      </c>
      <c r="F118">
        <v>0</v>
      </c>
      <c r="G118">
        <v>27</v>
      </c>
      <c r="H118" t="s">
        <v>12</v>
      </c>
      <c r="I118">
        <v>41769</v>
      </c>
      <c r="J118">
        <v>0</v>
      </c>
      <c r="K118">
        <v>1</v>
      </c>
      <c r="L118">
        <v>1</v>
      </c>
      <c r="M118">
        <v>0</v>
      </c>
      <c r="N118">
        <f t="shared" si="2"/>
        <v>-0.4760021487528191</v>
      </c>
      <c r="O118">
        <f t="shared" si="3"/>
        <v>-0.26416957780214634</v>
      </c>
    </row>
    <row r="119" spans="1:15">
      <c r="A119">
        <v>610</v>
      </c>
      <c r="B119">
        <v>349</v>
      </c>
      <c r="C119">
        <v>4</v>
      </c>
      <c r="D119">
        <v>78</v>
      </c>
      <c r="E119">
        <v>6</v>
      </c>
      <c r="F119">
        <v>0</v>
      </c>
      <c r="G119">
        <v>43</v>
      </c>
      <c r="H119" t="s">
        <v>11</v>
      </c>
      <c r="I119">
        <v>53593</v>
      </c>
      <c r="J119">
        <v>1</v>
      </c>
      <c r="K119">
        <v>1</v>
      </c>
      <c r="L119">
        <v>0</v>
      </c>
      <c r="M119">
        <v>1</v>
      </c>
      <c r="N119">
        <f t="shared" si="2"/>
        <v>7.1067221240044845E-2</v>
      </c>
      <c r="O119">
        <f t="shared" si="3"/>
        <v>0.35731252652586187</v>
      </c>
    </row>
    <row r="120" spans="1:15">
      <c r="A120">
        <v>615</v>
      </c>
      <c r="B120">
        <v>65</v>
      </c>
      <c r="C120">
        <v>36</v>
      </c>
      <c r="D120">
        <v>74</v>
      </c>
      <c r="E120">
        <v>38</v>
      </c>
      <c r="F120">
        <v>20</v>
      </c>
      <c r="G120">
        <v>110</v>
      </c>
      <c r="H120" t="s">
        <v>11</v>
      </c>
      <c r="I120">
        <v>30507</v>
      </c>
      <c r="J120">
        <v>0</v>
      </c>
      <c r="K120">
        <v>0</v>
      </c>
      <c r="L120">
        <v>0</v>
      </c>
      <c r="M120">
        <v>1</v>
      </c>
      <c r="N120">
        <f t="shared" si="2"/>
        <v>-0.99706906729642819</v>
      </c>
      <c r="O120">
        <f t="shared" si="3"/>
        <v>-0.18775722767153732</v>
      </c>
    </row>
    <row r="121" spans="1:15">
      <c r="A121">
        <v>618</v>
      </c>
      <c r="B121">
        <v>422</v>
      </c>
      <c r="C121">
        <v>7</v>
      </c>
      <c r="D121">
        <v>238</v>
      </c>
      <c r="E121">
        <v>69</v>
      </c>
      <c r="F121">
        <v>46</v>
      </c>
      <c r="G121">
        <v>15</v>
      </c>
      <c r="H121" t="s">
        <v>11</v>
      </c>
      <c r="I121">
        <v>69389</v>
      </c>
      <c r="J121">
        <v>0</v>
      </c>
      <c r="K121">
        <v>1</v>
      </c>
      <c r="L121">
        <v>0</v>
      </c>
      <c r="M121">
        <v>1</v>
      </c>
      <c r="N121">
        <f t="shared" si="2"/>
        <v>0.80191192425148583</v>
      </c>
      <c r="O121">
        <f t="shared" si="3"/>
        <v>0.75327127969630081</v>
      </c>
    </row>
    <row r="122" spans="1:15">
      <c r="A122">
        <v>624</v>
      </c>
      <c r="B122">
        <v>6</v>
      </c>
      <c r="C122">
        <v>4</v>
      </c>
      <c r="D122">
        <v>1</v>
      </c>
      <c r="E122">
        <v>7</v>
      </c>
      <c r="F122">
        <v>2</v>
      </c>
      <c r="G122">
        <v>15</v>
      </c>
      <c r="H122" t="s">
        <v>12</v>
      </c>
      <c r="I122">
        <v>18890</v>
      </c>
      <c r="J122">
        <v>0</v>
      </c>
      <c r="K122">
        <v>0</v>
      </c>
      <c r="L122">
        <v>1</v>
      </c>
      <c r="M122">
        <v>0</v>
      </c>
      <c r="N122">
        <f t="shared" si="2"/>
        <v>-1.5345610218978405</v>
      </c>
      <c r="O122">
        <f t="shared" si="3"/>
        <v>-0.69380700058487643</v>
      </c>
    </row>
    <row r="123" spans="1:15">
      <c r="A123">
        <v>626</v>
      </c>
      <c r="B123">
        <v>22</v>
      </c>
      <c r="C123">
        <v>2</v>
      </c>
      <c r="D123">
        <v>12</v>
      </c>
      <c r="E123">
        <v>0</v>
      </c>
      <c r="F123">
        <v>2</v>
      </c>
      <c r="G123">
        <v>5</v>
      </c>
      <c r="H123" t="s">
        <v>11</v>
      </c>
      <c r="I123">
        <v>32871</v>
      </c>
      <c r="J123">
        <v>1</v>
      </c>
      <c r="K123">
        <v>1</v>
      </c>
      <c r="L123">
        <v>0</v>
      </c>
      <c r="M123">
        <v>1</v>
      </c>
      <c r="N123">
        <f t="shared" si="2"/>
        <v>-0.88769220746361943</v>
      </c>
      <c r="O123">
        <f t="shared" si="3"/>
        <v>-8.969063859196888E-2</v>
      </c>
    </row>
    <row r="124" spans="1:15">
      <c r="A124">
        <v>635</v>
      </c>
      <c r="B124">
        <v>464</v>
      </c>
      <c r="C124">
        <v>5</v>
      </c>
      <c r="D124">
        <v>64</v>
      </c>
      <c r="E124">
        <v>7</v>
      </c>
      <c r="F124">
        <v>0</v>
      </c>
      <c r="G124">
        <v>70</v>
      </c>
      <c r="H124" t="s">
        <v>11</v>
      </c>
      <c r="I124">
        <v>57183</v>
      </c>
      <c r="J124">
        <v>1</v>
      </c>
      <c r="K124">
        <v>1</v>
      </c>
      <c r="L124">
        <v>0</v>
      </c>
      <c r="M124">
        <v>1</v>
      </c>
      <c r="N124">
        <f t="shared" si="2"/>
        <v>0.23716829010628143</v>
      </c>
      <c r="O124">
        <f t="shared" si="3"/>
        <v>0.43298822940617548</v>
      </c>
    </row>
    <row r="125" spans="1:15">
      <c r="A125">
        <v>640</v>
      </c>
      <c r="B125">
        <v>356</v>
      </c>
      <c r="C125">
        <v>80</v>
      </c>
      <c r="D125">
        <v>329</v>
      </c>
      <c r="E125">
        <v>138</v>
      </c>
      <c r="F125">
        <v>17</v>
      </c>
      <c r="G125">
        <v>106</v>
      </c>
      <c r="H125" t="s">
        <v>11</v>
      </c>
      <c r="I125">
        <v>57304</v>
      </c>
      <c r="J125">
        <v>0</v>
      </c>
      <c r="K125">
        <v>1</v>
      </c>
      <c r="L125">
        <v>0</v>
      </c>
      <c r="M125">
        <v>1</v>
      </c>
      <c r="N125">
        <f t="shared" si="2"/>
        <v>0.24276668267809609</v>
      </c>
      <c r="O125">
        <f t="shared" si="3"/>
        <v>0.53076328314619281</v>
      </c>
    </row>
    <row r="126" spans="1:15">
      <c r="A126">
        <v>641</v>
      </c>
      <c r="B126">
        <v>59</v>
      </c>
      <c r="C126">
        <v>0</v>
      </c>
      <c r="D126">
        <v>12</v>
      </c>
      <c r="E126">
        <v>0</v>
      </c>
      <c r="F126">
        <v>0</v>
      </c>
      <c r="G126">
        <v>48</v>
      </c>
      <c r="H126" t="s">
        <v>12</v>
      </c>
      <c r="I126">
        <v>52074</v>
      </c>
      <c r="J126">
        <v>0</v>
      </c>
      <c r="K126">
        <v>1</v>
      </c>
      <c r="L126">
        <v>1</v>
      </c>
      <c r="M126">
        <v>0</v>
      </c>
      <c r="N126">
        <f t="shared" si="2"/>
        <v>7.8657399552858063E-4</v>
      </c>
      <c r="O126">
        <f t="shared" si="3"/>
        <v>4.6059303834656884E-4</v>
      </c>
    </row>
    <row r="127" spans="1:15">
      <c r="A127">
        <v>642</v>
      </c>
      <c r="B127">
        <v>1</v>
      </c>
      <c r="C127">
        <v>3</v>
      </c>
      <c r="D127">
        <v>2</v>
      </c>
      <c r="E127">
        <v>20</v>
      </c>
      <c r="F127">
        <v>30</v>
      </c>
      <c r="G127">
        <v>47</v>
      </c>
      <c r="H127" t="s">
        <v>11</v>
      </c>
      <c r="I127">
        <v>16005</v>
      </c>
      <c r="J127">
        <v>1</v>
      </c>
      <c r="K127">
        <v>0</v>
      </c>
      <c r="L127">
        <v>0</v>
      </c>
      <c r="M127">
        <v>1</v>
      </c>
      <c r="N127">
        <f t="shared" si="2"/>
        <v>-1.6680433571844959</v>
      </c>
      <c r="O127">
        <f t="shared" si="3"/>
        <v>-0.37532610179705639</v>
      </c>
    </row>
    <row r="128" spans="1:15">
      <c r="A128">
        <v>663</v>
      </c>
      <c r="B128">
        <v>40</v>
      </c>
      <c r="C128">
        <v>2</v>
      </c>
      <c r="D128">
        <v>15</v>
      </c>
      <c r="E128">
        <v>8</v>
      </c>
      <c r="F128">
        <v>0</v>
      </c>
      <c r="G128">
        <v>6</v>
      </c>
      <c r="H128" t="s">
        <v>12</v>
      </c>
      <c r="I128">
        <v>33996</v>
      </c>
      <c r="J128">
        <v>0</v>
      </c>
      <c r="K128">
        <v>0</v>
      </c>
      <c r="L128">
        <v>1</v>
      </c>
      <c r="M128">
        <v>0</v>
      </c>
      <c r="N128">
        <f t="shared" si="2"/>
        <v>-0.83564103685790458</v>
      </c>
      <c r="O128">
        <f t="shared" si="3"/>
        <v>-0.53101394153318571</v>
      </c>
    </row>
    <row r="129" spans="1:15">
      <c r="A129">
        <v>675</v>
      </c>
      <c r="B129">
        <v>146</v>
      </c>
      <c r="C129">
        <v>0</v>
      </c>
      <c r="D129">
        <v>93</v>
      </c>
      <c r="E129">
        <v>7</v>
      </c>
      <c r="F129">
        <v>13</v>
      </c>
      <c r="G129">
        <v>73</v>
      </c>
      <c r="H129" t="s">
        <v>12</v>
      </c>
      <c r="I129">
        <v>52034</v>
      </c>
      <c r="J129">
        <v>1</v>
      </c>
      <c r="K129">
        <v>1</v>
      </c>
      <c r="L129">
        <v>1</v>
      </c>
      <c r="M129">
        <v>0</v>
      </c>
      <c r="N129">
        <f t="shared" si="2"/>
        <v>-1.0641342926746126E-3</v>
      </c>
      <c r="O129">
        <f t="shared" si="3"/>
        <v>-5.0877829991921629E-4</v>
      </c>
    </row>
    <row r="130" spans="1:15">
      <c r="A130">
        <v>679</v>
      </c>
      <c r="B130">
        <v>13</v>
      </c>
      <c r="C130">
        <v>4</v>
      </c>
      <c r="D130">
        <v>20</v>
      </c>
      <c r="E130">
        <v>0</v>
      </c>
      <c r="F130">
        <v>0</v>
      </c>
      <c r="G130">
        <v>1</v>
      </c>
      <c r="H130" t="s">
        <v>11</v>
      </c>
      <c r="I130">
        <v>37633</v>
      </c>
      <c r="J130">
        <v>1</v>
      </c>
      <c r="K130">
        <v>1</v>
      </c>
      <c r="L130">
        <v>0</v>
      </c>
      <c r="M130">
        <v>1</v>
      </c>
      <c r="N130">
        <f t="shared" si="2"/>
        <v>-0.66736538575302928</v>
      </c>
      <c r="O130">
        <f t="shared" si="3"/>
        <v>4.2528195031092701E-3</v>
      </c>
    </row>
    <row r="131" spans="1:15">
      <c r="A131">
        <v>692</v>
      </c>
      <c r="B131">
        <v>4</v>
      </c>
      <c r="C131">
        <v>2</v>
      </c>
      <c r="D131">
        <v>5</v>
      </c>
      <c r="E131">
        <v>0</v>
      </c>
      <c r="F131">
        <v>0</v>
      </c>
      <c r="G131">
        <v>5</v>
      </c>
      <c r="H131" t="s">
        <v>11</v>
      </c>
      <c r="I131">
        <v>36807</v>
      </c>
      <c r="J131">
        <v>1</v>
      </c>
      <c r="K131">
        <v>1</v>
      </c>
      <c r="L131">
        <v>0</v>
      </c>
      <c r="M131">
        <v>1</v>
      </c>
      <c r="N131">
        <f t="shared" ref="N131:N194" si="4">STANDARDIZE(I131,$Q$1,$R$1)</f>
        <v>-0.70558251190442522</v>
      </c>
      <c r="O131">
        <f t="shared" ref="O131:O194" si="5">SUMPRODUCT(J131:N131,$Q$4:$U$4) / SQRT(SUMSQ(J131:N131) * SUMSQ($Q$4:$U$4))</f>
        <v>-1.2701151911759627E-2</v>
      </c>
    </row>
    <row r="132" spans="1:15">
      <c r="A132">
        <v>697</v>
      </c>
      <c r="B132">
        <v>972</v>
      </c>
      <c r="C132">
        <v>59</v>
      </c>
      <c r="D132">
        <v>913</v>
      </c>
      <c r="E132">
        <v>25</v>
      </c>
      <c r="F132">
        <v>19</v>
      </c>
      <c r="G132">
        <v>59</v>
      </c>
      <c r="H132" t="s">
        <v>11</v>
      </c>
      <c r="I132">
        <v>74918</v>
      </c>
      <c r="J132">
        <v>0</v>
      </c>
      <c r="K132">
        <v>0</v>
      </c>
      <c r="L132">
        <v>0</v>
      </c>
      <c r="M132">
        <v>1</v>
      </c>
      <c r="N132">
        <f t="shared" si="4"/>
        <v>1.0577260773883723</v>
      </c>
      <c r="O132">
        <f t="shared" si="5"/>
        <v>0.98685825638380853</v>
      </c>
    </row>
    <row r="133" spans="1:15">
      <c r="A133">
        <v>701</v>
      </c>
      <c r="B133">
        <v>707</v>
      </c>
      <c r="C133">
        <v>21</v>
      </c>
      <c r="D133">
        <v>250</v>
      </c>
      <c r="E133">
        <v>85</v>
      </c>
      <c r="F133">
        <v>43</v>
      </c>
      <c r="G133">
        <v>73</v>
      </c>
      <c r="H133" t="s">
        <v>11</v>
      </c>
      <c r="I133">
        <v>73691</v>
      </c>
      <c r="J133">
        <v>0</v>
      </c>
      <c r="K133">
        <v>1</v>
      </c>
      <c r="L133">
        <v>0</v>
      </c>
      <c r="M133">
        <v>1</v>
      </c>
      <c r="N133">
        <f t="shared" si="4"/>
        <v>1.0009556006477394</v>
      </c>
      <c r="O133">
        <f t="shared" si="5"/>
        <v>0.80195107391481013</v>
      </c>
    </row>
    <row r="134" spans="1:15">
      <c r="A134">
        <v>702</v>
      </c>
      <c r="B134">
        <v>162</v>
      </c>
      <c r="C134">
        <v>61</v>
      </c>
      <c r="D134">
        <v>83</v>
      </c>
      <c r="E134">
        <v>97</v>
      </c>
      <c r="F134">
        <v>57</v>
      </c>
      <c r="G134">
        <v>61</v>
      </c>
      <c r="H134" t="s">
        <v>12</v>
      </c>
      <c r="I134">
        <v>47682</v>
      </c>
      <c r="J134">
        <v>0</v>
      </c>
      <c r="K134">
        <v>1</v>
      </c>
      <c r="L134">
        <v>1</v>
      </c>
      <c r="M134">
        <v>0</v>
      </c>
      <c r="N134">
        <f t="shared" si="4"/>
        <v>-0.20242119604918205</v>
      </c>
      <c r="O134">
        <f t="shared" si="5"/>
        <v>-0.11733567186485769</v>
      </c>
    </row>
    <row r="135" spans="1:15">
      <c r="A135">
        <v>709</v>
      </c>
      <c r="B135">
        <v>787</v>
      </c>
      <c r="C135">
        <v>20</v>
      </c>
      <c r="D135">
        <v>204</v>
      </c>
      <c r="E135">
        <v>0</v>
      </c>
      <c r="F135">
        <v>0</v>
      </c>
      <c r="G135">
        <v>92</v>
      </c>
      <c r="H135" t="s">
        <v>12</v>
      </c>
      <c r="I135">
        <v>51537</v>
      </c>
      <c r="J135">
        <v>0</v>
      </c>
      <c r="K135">
        <v>1</v>
      </c>
      <c r="L135">
        <v>1</v>
      </c>
      <c r="M135">
        <v>0</v>
      </c>
      <c r="N135">
        <f t="shared" si="4"/>
        <v>-2.405918477359929E-2</v>
      </c>
      <c r="O135">
        <f t="shared" si="5"/>
        <v>-1.4086267185056298E-2</v>
      </c>
    </row>
    <row r="136" spans="1:15">
      <c r="A136">
        <v>713</v>
      </c>
      <c r="B136">
        <v>141</v>
      </c>
      <c r="C136">
        <v>15</v>
      </c>
      <c r="D136">
        <v>153</v>
      </c>
      <c r="E136">
        <v>67</v>
      </c>
      <c r="F136">
        <v>31</v>
      </c>
      <c r="G136">
        <v>35</v>
      </c>
      <c r="H136" t="s">
        <v>11</v>
      </c>
      <c r="I136">
        <v>50353</v>
      </c>
      <c r="J136">
        <v>0</v>
      </c>
      <c r="K136">
        <v>0</v>
      </c>
      <c r="L136">
        <v>0</v>
      </c>
      <c r="M136">
        <v>1</v>
      </c>
      <c r="N136">
        <f t="shared" si="4"/>
        <v>-7.8840150104413809E-2</v>
      </c>
      <c r="O136">
        <f t="shared" si="5"/>
        <v>0.49373092829434978</v>
      </c>
    </row>
    <row r="137" spans="1:15">
      <c r="A137">
        <v>716</v>
      </c>
      <c r="B137">
        <v>529</v>
      </c>
      <c r="C137">
        <v>0</v>
      </c>
      <c r="D137">
        <v>356</v>
      </c>
      <c r="E137">
        <v>63</v>
      </c>
      <c r="F137">
        <v>28</v>
      </c>
      <c r="G137">
        <v>0</v>
      </c>
      <c r="H137" t="s">
        <v>11</v>
      </c>
      <c r="I137">
        <v>67911</v>
      </c>
      <c r="J137">
        <v>0</v>
      </c>
      <c r="K137">
        <v>1</v>
      </c>
      <c r="L137">
        <v>0</v>
      </c>
      <c r="M137">
        <v>1</v>
      </c>
      <c r="N137">
        <f t="shared" si="4"/>
        <v>0.73352825300237789</v>
      </c>
      <c r="O137">
        <f t="shared" si="5"/>
        <v>0.73314843169799304</v>
      </c>
    </row>
    <row r="138" spans="1:15">
      <c r="A138">
        <v>736</v>
      </c>
      <c r="B138">
        <v>18</v>
      </c>
      <c r="C138">
        <v>3</v>
      </c>
      <c r="D138">
        <v>19</v>
      </c>
      <c r="E138">
        <v>3</v>
      </c>
      <c r="F138">
        <v>3</v>
      </c>
      <c r="G138">
        <v>6</v>
      </c>
      <c r="H138" t="s">
        <v>11</v>
      </c>
      <c r="I138">
        <v>28427</v>
      </c>
      <c r="J138">
        <v>1</v>
      </c>
      <c r="K138">
        <v>0</v>
      </c>
      <c r="L138">
        <v>0</v>
      </c>
      <c r="M138">
        <v>1</v>
      </c>
      <c r="N138">
        <f t="shared" si="4"/>
        <v>-1.0933058982829942</v>
      </c>
      <c r="O138">
        <f t="shared" si="5"/>
        <v>-0.19291011469846459</v>
      </c>
    </row>
    <row r="139" spans="1:15">
      <c r="A139">
        <v>737</v>
      </c>
      <c r="B139">
        <v>1493</v>
      </c>
      <c r="C139">
        <v>86</v>
      </c>
      <c r="D139">
        <v>454</v>
      </c>
      <c r="E139">
        <v>112</v>
      </c>
      <c r="F139">
        <v>43</v>
      </c>
      <c r="G139">
        <v>43</v>
      </c>
      <c r="H139" t="s">
        <v>11</v>
      </c>
      <c r="I139">
        <v>80360</v>
      </c>
      <c r="J139">
        <v>0</v>
      </c>
      <c r="K139">
        <v>0</v>
      </c>
      <c r="L139">
        <v>0</v>
      </c>
      <c r="M139">
        <v>1</v>
      </c>
      <c r="N139">
        <f t="shared" si="4"/>
        <v>1.3095149399984167</v>
      </c>
      <c r="O139">
        <f t="shared" si="5"/>
        <v>0.99836895949826754</v>
      </c>
    </row>
    <row r="140" spans="1:15">
      <c r="A140">
        <v>738</v>
      </c>
      <c r="B140">
        <v>48</v>
      </c>
      <c r="C140">
        <v>13</v>
      </c>
      <c r="D140">
        <v>57</v>
      </c>
      <c r="E140">
        <v>24</v>
      </c>
      <c r="F140">
        <v>15</v>
      </c>
      <c r="G140">
        <v>25</v>
      </c>
      <c r="H140" t="s">
        <v>12</v>
      </c>
      <c r="I140">
        <v>42395</v>
      </c>
      <c r="J140">
        <v>1</v>
      </c>
      <c r="K140">
        <v>1</v>
      </c>
      <c r="L140">
        <v>1</v>
      </c>
      <c r="M140">
        <v>0</v>
      </c>
      <c r="N140">
        <f t="shared" si="4"/>
        <v>-0.44703856404243913</v>
      </c>
      <c r="O140">
        <f t="shared" si="5"/>
        <v>-0.20695383188345851</v>
      </c>
    </row>
    <row r="141" spans="1:15">
      <c r="A141">
        <v>749</v>
      </c>
      <c r="B141">
        <v>46</v>
      </c>
      <c r="C141">
        <v>7</v>
      </c>
      <c r="D141">
        <v>59</v>
      </c>
      <c r="E141">
        <v>2</v>
      </c>
      <c r="F141">
        <v>4</v>
      </c>
      <c r="G141">
        <v>27</v>
      </c>
      <c r="H141" t="s">
        <v>11</v>
      </c>
      <c r="I141">
        <v>42162</v>
      </c>
      <c r="J141">
        <v>1</v>
      </c>
      <c r="K141">
        <v>0</v>
      </c>
      <c r="L141">
        <v>0</v>
      </c>
      <c r="M141">
        <v>1</v>
      </c>
      <c r="N141">
        <f t="shared" si="4"/>
        <v>-0.45781893982122274</v>
      </c>
      <c r="O141">
        <f t="shared" si="5"/>
        <v>0.12204968166069474</v>
      </c>
    </row>
    <row r="142" spans="1:15">
      <c r="A142">
        <v>760</v>
      </c>
      <c r="B142">
        <v>588</v>
      </c>
      <c r="C142">
        <v>7</v>
      </c>
      <c r="D142">
        <v>76</v>
      </c>
      <c r="E142">
        <v>110</v>
      </c>
      <c r="F142">
        <v>15</v>
      </c>
      <c r="G142">
        <v>15</v>
      </c>
      <c r="H142" t="s">
        <v>12</v>
      </c>
      <c r="I142">
        <v>60554</v>
      </c>
      <c r="J142">
        <v>1</v>
      </c>
      <c r="K142">
        <v>0</v>
      </c>
      <c r="L142">
        <v>1</v>
      </c>
      <c r="M142">
        <v>0</v>
      </c>
      <c r="N142">
        <f t="shared" si="4"/>
        <v>0.39313673109460556</v>
      </c>
      <c r="O142">
        <f t="shared" si="5"/>
        <v>0.22179795102733582</v>
      </c>
    </row>
    <row r="143" spans="1:15">
      <c r="A143">
        <v>762</v>
      </c>
      <c r="B143">
        <v>340</v>
      </c>
      <c r="C143">
        <v>21</v>
      </c>
      <c r="D143">
        <v>134</v>
      </c>
      <c r="E143">
        <v>258</v>
      </c>
      <c r="F143">
        <v>14</v>
      </c>
      <c r="G143">
        <v>56</v>
      </c>
      <c r="H143" t="s">
        <v>11</v>
      </c>
      <c r="I143">
        <v>75774</v>
      </c>
      <c r="J143">
        <v>1</v>
      </c>
      <c r="K143">
        <v>0</v>
      </c>
      <c r="L143">
        <v>0</v>
      </c>
      <c r="M143">
        <v>1</v>
      </c>
      <c r="N143">
        <f t="shared" si="4"/>
        <v>1.0973312347559205</v>
      </c>
      <c r="O143">
        <f t="shared" si="5"/>
        <v>0.82081837477533615</v>
      </c>
    </row>
    <row r="144" spans="1:15">
      <c r="A144">
        <v>771</v>
      </c>
      <c r="B144">
        <v>135</v>
      </c>
      <c r="C144">
        <v>9</v>
      </c>
      <c r="D144">
        <v>39</v>
      </c>
      <c r="E144">
        <v>4</v>
      </c>
      <c r="F144">
        <v>0</v>
      </c>
      <c r="G144">
        <v>7</v>
      </c>
      <c r="H144" t="s">
        <v>11</v>
      </c>
      <c r="I144">
        <v>54178</v>
      </c>
      <c r="J144">
        <v>0</v>
      </c>
      <c r="K144">
        <v>1</v>
      </c>
      <c r="L144">
        <v>0</v>
      </c>
      <c r="M144">
        <v>1</v>
      </c>
      <c r="N144">
        <f t="shared" si="4"/>
        <v>9.8133829955016544E-2</v>
      </c>
      <c r="O144">
        <f t="shared" si="5"/>
        <v>0.4527455516557472</v>
      </c>
    </row>
    <row r="145" spans="1:15">
      <c r="A145">
        <v>773</v>
      </c>
      <c r="B145">
        <v>379</v>
      </c>
      <c r="C145">
        <v>4</v>
      </c>
      <c r="D145">
        <v>93</v>
      </c>
      <c r="E145">
        <v>12</v>
      </c>
      <c r="F145">
        <v>9</v>
      </c>
      <c r="G145">
        <v>98</v>
      </c>
      <c r="H145" t="s">
        <v>12</v>
      </c>
      <c r="I145">
        <v>42835</v>
      </c>
      <c r="J145">
        <v>1</v>
      </c>
      <c r="K145">
        <v>1</v>
      </c>
      <c r="L145">
        <v>1</v>
      </c>
      <c r="M145">
        <v>0</v>
      </c>
      <c r="N145">
        <f t="shared" si="4"/>
        <v>-0.42668077287220396</v>
      </c>
      <c r="O145">
        <f t="shared" si="5"/>
        <v>-0.19808061747790204</v>
      </c>
    </row>
    <row r="146" spans="1:15">
      <c r="A146">
        <v>793</v>
      </c>
      <c r="B146">
        <v>18</v>
      </c>
      <c r="C146">
        <v>3</v>
      </c>
      <c r="D146">
        <v>17</v>
      </c>
      <c r="E146">
        <v>3</v>
      </c>
      <c r="F146">
        <v>0</v>
      </c>
      <c r="G146">
        <v>4</v>
      </c>
      <c r="H146" t="s">
        <v>11</v>
      </c>
      <c r="I146">
        <v>20895</v>
      </c>
      <c r="J146">
        <v>1</v>
      </c>
      <c r="K146">
        <v>0</v>
      </c>
      <c r="L146">
        <v>0</v>
      </c>
      <c r="M146">
        <v>1</v>
      </c>
      <c r="N146">
        <f t="shared" si="4"/>
        <v>-1.4417942689516554</v>
      </c>
      <c r="O146">
        <f t="shared" si="5"/>
        <v>-0.31363958155961691</v>
      </c>
    </row>
    <row r="147" spans="1:15">
      <c r="A147">
        <v>796</v>
      </c>
      <c r="B147">
        <v>584</v>
      </c>
      <c r="C147">
        <v>44</v>
      </c>
      <c r="D147">
        <v>212</v>
      </c>
      <c r="E147">
        <v>46</v>
      </c>
      <c r="F147">
        <v>8</v>
      </c>
      <c r="G147">
        <v>177</v>
      </c>
      <c r="H147" t="s">
        <v>12</v>
      </c>
      <c r="I147">
        <v>60161</v>
      </c>
      <c r="J147">
        <v>0</v>
      </c>
      <c r="K147">
        <v>1</v>
      </c>
      <c r="L147">
        <v>1</v>
      </c>
      <c r="M147">
        <v>0</v>
      </c>
      <c r="N147">
        <f t="shared" si="4"/>
        <v>0.3749535221630092</v>
      </c>
      <c r="O147">
        <f t="shared" si="5"/>
        <v>0.21222841324015207</v>
      </c>
    </row>
    <row r="148" spans="1:15">
      <c r="A148">
        <v>798</v>
      </c>
      <c r="B148">
        <v>2</v>
      </c>
      <c r="C148">
        <v>0</v>
      </c>
      <c r="D148">
        <v>6</v>
      </c>
      <c r="E148">
        <v>8</v>
      </c>
      <c r="F148">
        <v>6</v>
      </c>
      <c r="G148">
        <v>5</v>
      </c>
      <c r="H148" t="s">
        <v>12</v>
      </c>
      <c r="I148">
        <v>23442</v>
      </c>
      <c r="J148">
        <v>1</v>
      </c>
      <c r="K148">
        <v>0</v>
      </c>
      <c r="L148">
        <v>1</v>
      </c>
      <c r="M148">
        <v>0</v>
      </c>
      <c r="N148">
        <f t="shared" si="4"/>
        <v>-1.3239504187003173</v>
      </c>
      <c r="O148">
        <f t="shared" si="5"/>
        <v>-0.56595809279020137</v>
      </c>
    </row>
    <row r="149" spans="1:15">
      <c r="A149">
        <v>800</v>
      </c>
      <c r="B149">
        <v>23</v>
      </c>
      <c r="C149">
        <v>1</v>
      </c>
      <c r="D149">
        <v>6</v>
      </c>
      <c r="E149">
        <v>0</v>
      </c>
      <c r="F149">
        <v>0</v>
      </c>
      <c r="G149">
        <v>2</v>
      </c>
      <c r="H149" t="s">
        <v>11</v>
      </c>
      <c r="I149">
        <v>44512</v>
      </c>
      <c r="J149">
        <v>1</v>
      </c>
      <c r="K149">
        <v>1</v>
      </c>
      <c r="L149">
        <v>0</v>
      </c>
      <c r="M149">
        <v>1</v>
      </c>
      <c r="N149">
        <f t="shared" si="4"/>
        <v>-0.34908982788928511</v>
      </c>
      <c r="O149">
        <f t="shared" si="5"/>
        <v>0.15364038206485733</v>
      </c>
    </row>
    <row r="150" spans="1:15">
      <c r="A150">
        <v>803</v>
      </c>
      <c r="B150">
        <v>12</v>
      </c>
      <c r="C150">
        <v>0</v>
      </c>
      <c r="D150">
        <v>5</v>
      </c>
      <c r="E150">
        <v>0</v>
      </c>
      <c r="F150">
        <v>0</v>
      </c>
      <c r="G150">
        <v>4</v>
      </c>
      <c r="H150" t="s">
        <v>11</v>
      </c>
      <c r="I150">
        <v>40521</v>
      </c>
      <c r="J150">
        <v>1</v>
      </c>
      <c r="K150">
        <v>1</v>
      </c>
      <c r="L150">
        <v>0</v>
      </c>
      <c r="M150">
        <v>1</v>
      </c>
      <c r="N150">
        <f t="shared" si="4"/>
        <v>-0.53374424734475867</v>
      </c>
      <c r="O150">
        <f t="shared" si="5"/>
        <v>6.5408622406860198E-2</v>
      </c>
    </row>
    <row r="151" spans="1:15">
      <c r="A151">
        <v>807</v>
      </c>
      <c r="B151">
        <v>167</v>
      </c>
      <c r="C151">
        <v>2</v>
      </c>
      <c r="D151">
        <v>89</v>
      </c>
      <c r="E151">
        <v>0</v>
      </c>
      <c r="F151">
        <v>0</v>
      </c>
      <c r="G151">
        <v>34</v>
      </c>
      <c r="H151" t="s">
        <v>11</v>
      </c>
      <c r="I151">
        <v>44602</v>
      </c>
      <c r="J151">
        <v>1</v>
      </c>
      <c r="K151">
        <v>1</v>
      </c>
      <c r="L151">
        <v>0</v>
      </c>
      <c r="M151">
        <v>1</v>
      </c>
      <c r="N151">
        <f t="shared" si="4"/>
        <v>-0.3449257342408279</v>
      </c>
      <c r="O151">
        <f t="shared" si="5"/>
        <v>0.15566411871599828</v>
      </c>
    </row>
    <row r="152" spans="1:15">
      <c r="A152">
        <v>810</v>
      </c>
      <c r="B152">
        <v>151</v>
      </c>
      <c r="C152">
        <v>81</v>
      </c>
      <c r="D152">
        <v>86</v>
      </c>
      <c r="E152">
        <v>168</v>
      </c>
      <c r="F152">
        <v>91</v>
      </c>
      <c r="G152">
        <v>64</v>
      </c>
      <c r="H152" t="s">
        <v>11</v>
      </c>
      <c r="I152">
        <v>74190</v>
      </c>
      <c r="J152">
        <v>0</v>
      </c>
      <c r="K152">
        <v>1</v>
      </c>
      <c r="L152">
        <v>0</v>
      </c>
      <c r="M152">
        <v>1</v>
      </c>
      <c r="N152">
        <f t="shared" si="4"/>
        <v>1.0240431865430741</v>
      </c>
      <c r="O152">
        <f t="shared" si="5"/>
        <v>0.80672827850690987</v>
      </c>
    </row>
    <row r="153" spans="1:15">
      <c r="A153">
        <v>819</v>
      </c>
      <c r="B153">
        <v>508</v>
      </c>
      <c r="C153">
        <v>124</v>
      </c>
      <c r="D153">
        <v>249</v>
      </c>
      <c r="E153">
        <v>50</v>
      </c>
      <c r="F153">
        <v>38</v>
      </c>
      <c r="G153">
        <v>134</v>
      </c>
      <c r="H153" t="s">
        <v>12</v>
      </c>
      <c r="I153">
        <v>63285</v>
      </c>
      <c r="J153">
        <v>0</v>
      </c>
      <c r="K153">
        <v>0</v>
      </c>
      <c r="L153">
        <v>1</v>
      </c>
      <c r="M153">
        <v>0</v>
      </c>
      <c r="N153">
        <f t="shared" si="4"/>
        <v>0.5194938394716786</v>
      </c>
      <c r="O153">
        <f t="shared" si="5"/>
        <v>0.38176223279197913</v>
      </c>
    </row>
    <row r="154" spans="1:15">
      <c r="A154">
        <v>821</v>
      </c>
      <c r="B154">
        <v>962</v>
      </c>
      <c r="C154">
        <v>61</v>
      </c>
      <c r="D154">
        <v>921</v>
      </c>
      <c r="E154">
        <v>52</v>
      </c>
      <c r="F154">
        <v>61</v>
      </c>
      <c r="G154">
        <v>20</v>
      </c>
      <c r="H154" t="s">
        <v>12</v>
      </c>
      <c r="I154">
        <v>92859</v>
      </c>
      <c r="J154">
        <v>0</v>
      </c>
      <c r="K154">
        <v>0</v>
      </c>
      <c r="L154">
        <v>1</v>
      </c>
      <c r="M154">
        <v>0</v>
      </c>
      <c r="N154">
        <f t="shared" si="4"/>
        <v>1.8878150123547095</v>
      </c>
      <c r="O154">
        <f t="shared" si="5"/>
        <v>0.73179058494982296</v>
      </c>
    </row>
    <row r="155" spans="1:15">
      <c r="A155">
        <v>830</v>
      </c>
      <c r="B155">
        <v>784</v>
      </c>
      <c r="C155">
        <v>48</v>
      </c>
      <c r="D155">
        <v>560</v>
      </c>
      <c r="E155">
        <v>42</v>
      </c>
      <c r="F155">
        <v>176</v>
      </c>
      <c r="G155">
        <v>48</v>
      </c>
      <c r="H155" t="s">
        <v>12</v>
      </c>
      <c r="I155">
        <v>74004</v>
      </c>
      <c r="J155">
        <v>0</v>
      </c>
      <c r="K155">
        <v>0</v>
      </c>
      <c r="L155">
        <v>1</v>
      </c>
      <c r="M155">
        <v>0</v>
      </c>
      <c r="N155">
        <f t="shared" si="4"/>
        <v>1.0154373930029292</v>
      </c>
      <c r="O155">
        <f t="shared" si="5"/>
        <v>0.59003659581553547</v>
      </c>
    </row>
    <row r="156" spans="1:15">
      <c r="A156">
        <v>832</v>
      </c>
      <c r="B156">
        <v>561</v>
      </c>
      <c r="C156">
        <v>14</v>
      </c>
      <c r="D156">
        <v>113</v>
      </c>
      <c r="E156">
        <v>10</v>
      </c>
      <c r="F156">
        <v>14</v>
      </c>
      <c r="G156">
        <v>35</v>
      </c>
      <c r="H156" t="s">
        <v>11</v>
      </c>
      <c r="I156">
        <v>65814</v>
      </c>
      <c r="J156">
        <v>0</v>
      </c>
      <c r="K156">
        <v>1</v>
      </c>
      <c r="L156">
        <v>0</v>
      </c>
      <c r="M156">
        <v>1</v>
      </c>
      <c r="N156">
        <f t="shared" si="4"/>
        <v>0.63650487099332542</v>
      </c>
      <c r="O156">
        <f t="shared" si="5"/>
        <v>0.70132722996105445</v>
      </c>
    </row>
    <row r="157" spans="1:15">
      <c r="A157">
        <v>833</v>
      </c>
      <c r="B157">
        <v>56</v>
      </c>
      <c r="C157">
        <v>0</v>
      </c>
      <c r="D157">
        <v>14</v>
      </c>
      <c r="E157">
        <v>0</v>
      </c>
      <c r="F157">
        <v>0</v>
      </c>
      <c r="G157">
        <v>2</v>
      </c>
      <c r="H157" t="s">
        <v>11</v>
      </c>
      <c r="I157">
        <v>38452</v>
      </c>
      <c r="J157">
        <v>1</v>
      </c>
      <c r="K157">
        <v>1</v>
      </c>
      <c r="L157">
        <v>0</v>
      </c>
      <c r="M157">
        <v>1</v>
      </c>
      <c r="N157">
        <f t="shared" si="4"/>
        <v>-0.62947213355206888</v>
      </c>
      <c r="O157">
        <f t="shared" si="5"/>
        <v>2.1311171453054154E-2</v>
      </c>
    </row>
    <row r="158" spans="1:15">
      <c r="A158">
        <v>837</v>
      </c>
      <c r="B158">
        <v>63</v>
      </c>
      <c r="C158">
        <v>6</v>
      </c>
      <c r="D158">
        <v>57</v>
      </c>
      <c r="E158">
        <v>13</v>
      </c>
      <c r="F158">
        <v>13</v>
      </c>
      <c r="G158">
        <v>22</v>
      </c>
      <c r="H158" t="s">
        <v>11</v>
      </c>
      <c r="I158">
        <v>54809</v>
      </c>
      <c r="J158">
        <v>1</v>
      </c>
      <c r="K158">
        <v>1</v>
      </c>
      <c r="L158">
        <v>0</v>
      </c>
      <c r="M158">
        <v>1</v>
      </c>
      <c r="N158">
        <f t="shared" si="4"/>
        <v>0.12732875320142192</v>
      </c>
      <c r="O158">
        <f t="shared" si="5"/>
        <v>0.38347784410184266</v>
      </c>
    </row>
    <row r="159" spans="1:15">
      <c r="A159">
        <v>839</v>
      </c>
      <c r="B159">
        <v>97</v>
      </c>
      <c r="C159">
        <v>4</v>
      </c>
      <c r="D159">
        <v>44</v>
      </c>
      <c r="E159">
        <v>6</v>
      </c>
      <c r="F159">
        <v>1</v>
      </c>
      <c r="G159">
        <v>18</v>
      </c>
      <c r="H159" t="s">
        <v>11</v>
      </c>
      <c r="I159">
        <v>45503</v>
      </c>
      <c r="J159">
        <v>1</v>
      </c>
      <c r="K159">
        <v>0</v>
      </c>
      <c r="L159">
        <v>0</v>
      </c>
      <c r="M159">
        <v>1</v>
      </c>
      <c r="N159">
        <f t="shared" si="4"/>
        <v>-0.30323853004905099</v>
      </c>
      <c r="O159">
        <f t="shared" si="5"/>
        <v>0.21394028745595986</v>
      </c>
    </row>
    <row r="160" spans="1:15">
      <c r="A160">
        <v>843</v>
      </c>
      <c r="B160">
        <v>303</v>
      </c>
      <c r="C160">
        <v>0</v>
      </c>
      <c r="D160">
        <v>280</v>
      </c>
      <c r="E160">
        <v>60</v>
      </c>
      <c r="F160">
        <v>147</v>
      </c>
      <c r="G160">
        <v>15</v>
      </c>
      <c r="H160" t="s">
        <v>11</v>
      </c>
      <c r="I160">
        <v>64722</v>
      </c>
      <c r="J160">
        <v>1</v>
      </c>
      <c r="K160">
        <v>0</v>
      </c>
      <c r="L160">
        <v>0</v>
      </c>
      <c r="M160">
        <v>1</v>
      </c>
      <c r="N160">
        <f t="shared" si="4"/>
        <v>0.58598053472537825</v>
      </c>
      <c r="O160">
        <f t="shared" si="5"/>
        <v>0.68317762045528063</v>
      </c>
    </row>
    <row r="161" spans="1:15">
      <c r="A161">
        <v>849</v>
      </c>
      <c r="B161">
        <v>320</v>
      </c>
      <c r="C161">
        <v>48</v>
      </c>
      <c r="D161">
        <v>133</v>
      </c>
      <c r="E161">
        <v>39</v>
      </c>
      <c r="F161">
        <v>72</v>
      </c>
      <c r="G161">
        <v>48</v>
      </c>
      <c r="H161" t="s">
        <v>11</v>
      </c>
      <c r="I161">
        <v>56129</v>
      </c>
      <c r="J161">
        <v>0</v>
      </c>
      <c r="K161">
        <v>1</v>
      </c>
      <c r="L161">
        <v>0</v>
      </c>
      <c r="M161">
        <v>1</v>
      </c>
      <c r="N161">
        <f t="shared" si="4"/>
        <v>0.1884021267121273</v>
      </c>
      <c r="O161">
        <f t="shared" si="5"/>
        <v>0.5022552135470052</v>
      </c>
    </row>
    <row r="162" spans="1:15">
      <c r="A162">
        <v>850</v>
      </c>
      <c r="B162">
        <v>381</v>
      </c>
      <c r="C162">
        <v>28</v>
      </c>
      <c r="D162">
        <v>215</v>
      </c>
      <c r="E162">
        <v>84</v>
      </c>
      <c r="F162">
        <v>28</v>
      </c>
      <c r="G162">
        <v>21</v>
      </c>
      <c r="H162" t="s">
        <v>12</v>
      </c>
      <c r="I162">
        <v>70566</v>
      </c>
      <c r="J162">
        <v>0</v>
      </c>
      <c r="K162">
        <v>1</v>
      </c>
      <c r="L162">
        <v>1</v>
      </c>
      <c r="M162">
        <v>0</v>
      </c>
      <c r="N162">
        <f t="shared" si="4"/>
        <v>0.85636901563186485</v>
      </c>
      <c r="O162">
        <f t="shared" si="5"/>
        <v>0.42894810309174664</v>
      </c>
    </row>
    <row r="163" spans="1:15">
      <c r="A163">
        <v>851</v>
      </c>
      <c r="B163">
        <v>306</v>
      </c>
      <c r="C163">
        <v>5</v>
      </c>
      <c r="D163">
        <v>109</v>
      </c>
      <c r="E163">
        <v>21</v>
      </c>
      <c r="F163">
        <v>109</v>
      </c>
      <c r="G163">
        <v>92</v>
      </c>
      <c r="H163" t="s">
        <v>11</v>
      </c>
      <c r="I163">
        <v>57136</v>
      </c>
      <c r="J163">
        <v>1</v>
      </c>
      <c r="K163">
        <v>1</v>
      </c>
      <c r="L163">
        <v>0</v>
      </c>
      <c r="M163">
        <v>1</v>
      </c>
      <c r="N163">
        <f t="shared" si="4"/>
        <v>0.23499370786764268</v>
      </c>
      <c r="O163">
        <f t="shared" si="5"/>
        <v>0.43203071843546659</v>
      </c>
    </row>
    <row r="164" spans="1:15">
      <c r="A164">
        <v>868</v>
      </c>
      <c r="B164">
        <v>54</v>
      </c>
      <c r="C164">
        <v>0</v>
      </c>
      <c r="D164">
        <v>7</v>
      </c>
      <c r="E164">
        <v>0</v>
      </c>
      <c r="F164">
        <v>0</v>
      </c>
      <c r="G164">
        <v>4</v>
      </c>
      <c r="H164" t="s">
        <v>11</v>
      </c>
      <c r="I164">
        <v>44794</v>
      </c>
      <c r="J164">
        <v>0</v>
      </c>
      <c r="K164">
        <v>1</v>
      </c>
      <c r="L164">
        <v>0</v>
      </c>
      <c r="M164">
        <v>1</v>
      </c>
      <c r="N164">
        <f t="shared" si="4"/>
        <v>-0.33604233445745257</v>
      </c>
      <c r="O164">
        <f t="shared" si="5"/>
        <v>0.19418743049924564</v>
      </c>
    </row>
    <row r="165" spans="1:15">
      <c r="A165">
        <v>873</v>
      </c>
      <c r="B165">
        <v>1099</v>
      </c>
      <c r="C165">
        <v>0</v>
      </c>
      <c r="D165">
        <v>45</v>
      </c>
      <c r="E165">
        <v>0</v>
      </c>
      <c r="F165">
        <v>0</v>
      </c>
      <c r="G165">
        <v>34</v>
      </c>
      <c r="H165" t="s">
        <v>11</v>
      </c>
      <c r="I165">
        <v>62845</v>
      </c>
      <c r="J165">
        <v>1</v>
      </c>
      <c r="K165">
        <v>1</v>
      </c>
      <c r="L165">
        <v>0</v>
      </c>
      <c r="M165">
        <v>1</v>
      </c>
      <c r="N165">
        <f t="shared" si="4"/>
        <v>0.49913604830144342</v>
      </c>
      <c r="O165">
        <f t="shared" si="5"/>
        <v>0.54029216531288404</v>
      </c>
    </row>
    <row r="166" spans="1:15">
      <c r="A166">
        <v>879</v>
      </c>
      <c r="B166">
        <v>411</v>
      </c>
      <c r="C166">
        <v>0</v>
      </c>
      <c r="D166">
        <v>26</v>
      </c>
      <c r="E166">
        <v>0</v>
      </c>
      <c r="F166">
        <v>0</v>
      </c>
      <c r="G166">
        <v>21</v>
      </c>
      <c r="H166" t="s">
        <v>11</v>
      </c>
      <c r="I166">
        <v>49681</v>
      </c>
      <c r="J166">
        <v>0</v>
      </c>
      <c r="K166">
        <v>2</v>
      </c>
      <c r="L166">
        <v>0</v>
      </c>
      <c r="M166">
        <v>1</v>
      </c>
      <c r="N166">
        <f t="shared" si="4"/>
        <v>-0.10993204934622745</v>
      </c>
      <c r="O166">
        <f t="shared" si="5"/>
        <v>0.20972029069345244</v>
      </c>
    </row>
    <row r="167" spans="1:15">
      <c r="A167">
        <v>891</v>
      </c>
      <c r="B167">
        <v>6</v>
      </c>
      <c r="C167">
        <v>0</v>
      </c>
      <c r="D167">
        <v>2</v>
      </c>
      <c r="E167">
        <v>2</v>
      </c>
      <c r="F167">
        <v>0</v>
      </c>
      <c r="G167">
        <v>1</v>
      </c>
      <c r="H167" t="s">
        <v>11</v>
      </c>
      <c r="I167">
        <v>29298</v>
      </c>
      <c r="J167">
        <v>1</v>
      </c>
      <c r="K167">
        <v>1</v>
      </c>
      <c r="L167">
        <v>0</v>
      </c>
      <c r="M167">
        <v>1</v>
      </c>
      <c r="N167">
        <f t="shared" si="4"/>
        <v>-1.0530067253073696</v>
      </c>
      <c r="O167">
        <f t="shared" si="5"/>
        <v>-0.15365538185617825</v>
      </c>
    </row>
    <row r="168" spans="1:15">
      <c r="A168">
        <v>895</v>
      </c>
      <c r="B168">
        <v>410</v>
      </c>
      <c r="C168">
        <v>16</v>
      </c>
      <c r="D168">
        <v>114</v>
      </c>
      <c r="E168">
        <v>0</v>
      </c>
      <c r="F168">
        <v>5</v>
      </c>
      <c r="G168">
        <v>49</v>
      </c>
      <c r="H168" t="s">
        <v>11</v>
      </c>
      <c r="I168">
        <v>61467</v>
      </c>
      <c r="J168">
        <v>0</v>
      </c>
      <c r="K168">
        <v>2</v>
      </c>
      <c r="L168">
        <v>0</v>
      </c>
      <c r="M168">
        <v>1</v>
      </c>
      <c r="N168">
        <f t="shared" si="4"/>
        <v>0.43537914777284342</v>
      </c>
      <c r="O168">
        <f t="shared" si="5"/>
        <v>0.40433442905576267</v>
      </c>
    </row>
    <row r="169" spans="1:15">
      <c r="A169">
        <v>898</v>
      </c>
      <c r="B169">
        <v>38</v>
      </c>
      <c r="C169">
        <v>15</v>
      </c>
      <c r="D169">
        <v>54</v>
      </c>
      <c r="E169">
        <v>3</v>
      </c>
      <c r="F169">
        <v>8</v>
      </c>
      <c r="G169">
        <v>29</v>
      </c>
      <c r="H169" t="s">
        <v>11</v>
      </c>
      <c r="I169">
        <v>23477</v>
      </c>
      <c r="J169">
        <v>1</v>
      </c>
      <c r="K169">
        <v>0</v>
      </c>
      <c r="L169">
        <v>0</v>
      </c>
      <c r="M169">
        <v>1</v>
      </c>
      <c r="N169">
        <f t="shared" si="4"/>
        <v>-1.3223310489481395</v>
      </c>
      <c r="O169">
        <f t="shared" si="5"/>
        <v>-0.27606540851590411</v>
      </c>
    </row>
    <row r="170" spans="1:15">
      <c r="A170">
        <v>902</v>
      </c>
      <c r="B170">
        <v>224</v>
      </c>
      <c r="C170">
        <v>12</v>
      </c>
      <c r="D170">
        <v>48</v>
      </c>
      <c r="E170">
        <v>4</v>
      </c>
      <c r="F170">
        <v>12</v>
      </c>
      <c r="G170">
        <v>12</v>
      </c>
      <c r="H170" t="s">
        <v>11</v>
      </c>
      <c r="I170">
        <v>62994</v>
      </c>
      <c r="J170">
        <v>1</v>
      </c>
      <c r="K170">
        <v>0</v>
      </c>
      <c r="L170">
        <v>0</v>
      </c>
      <c r="M170">
        <v>1</v>
      </c>
      <c r="N170">
        <f t="shared" si="4"/>
        <v>0.50602993667500029</v>
      </c>
      <c r="O170">
        <f t="shared" si="5"/>
        <v>0.65219149744355309</v>
      </c>
    </row>
    <row r="171" spans="1:15">
      <c r="A171">
        <v>905</v>
      </c>
      <c r="B171">
        <v>7</v>
      </c>
      <c r="C171">
        <v>17</v>
      </c>
      <c r="D171">
        <v>18</v>
      </c>
      <c r="E171">
        <v>6</v>
      </c>
      <c r="F171">
        <v>10</v>
      </c>
      <c r="G171">
        <v>26</v>
      </c>
      <c r="H171" t="s">
        <v>12</v>
      </c>
      <c r="I171">
        <v>21846</v>
      </c>
      <c r="J171">
        <v>1</v>
      </c>
      <c r="K171">
        <v>0</v>
      </c>
      <c r="L171">
        <v>1</v>
      </c>
      <c r="M171">
        <v>0</v>
      </c>
      <c r="N171">
        <f t="shared" si="4"/>
        <v>-1.3977936793996246</v>
      </c>
      <c r="O171">
        <f t="shared" si="5"/>
        <v>-0.58213951772039041</v>
      </c>
    </row>
    <row r="172" spans="1:15">
      <c r="A172">
        <v>907</v>
      </c>
      <c r="B172">
        <v>254</v>
      </c>
      <c r="C172">
        <v>6</v>
      </c>
      <c r="D172">
        <v>71</v>
      </c>
      <c r="E172">
        <v>4</v>
      </c>
      <c r="F172">
        <v>0</v>
      </c>
      <c r="G172">
        <v>27</v>
      </c>
      <c r="H172" t="s">
        <v>11</v>
      </c>
      <c r="I172">
        <v>46149</v>
      </c>
      <c r="J172">
        <v>0</v>
      </c>
      <c r="K172">
        <v>1</v>
      </c>
      <c r="L172">
        <v>0</v>
      </c>
      <c r="M172">
        <v>1</v>
      </c>
      <c r="N172">
        <f t="shared" si="4"/>
        <v>-0.27334959119456942</v>
      </c>
      <c r="O172">
        <f t="shared" si="5"/>
        <v>0.23201096832716636</v>
      </c>
    </row>
    <row r="173" spans="1:15">
      <c r="A173">
        <v>916</v>
      </c>
      <c r="B173">
        <v>20</v>
      </c>
      <c r="C173">
        <v>3</v>
      </c>
      <c r="D173">
        <v>4</v>
      </c>
      <c r="E173">
        <v>2</v>
      </c>
      <c r="F173">
        <v>0</v>
      </c>
      <c r="G173">
        <v>2</v>
      </c>
      <c r="H173" t="s">
        <v>12</v>
      </c>
      <c r="I173">
        <v>41644</v>
      </c>
      <c r="J173">
        <v>1</v>
      </c>
      <c r="K173">
        <v>1</v>
      </c>
      <c r="L173">
        <v>1</v>
      </c>
      <c r="M173">
        <v>0</v>
      </c>
      <c r="N173">
        <f t="shared" si="4"/>
        <v>-0.48178561215345406</v>
      </c>
      <c r="O173">
        <f t="shared" si="5"/>
        <v>-0.22192340868175892</v>
      </c>
    </row>
    <row r="174" spans="1:15">
      <c r="A174">
        <v>922</v>
      </c>
      <c r="B174">
        <v>16</v>
      </c>
      <c r="C174">
        <v>2</v>
      </c>
      <c r="D174">
        <v>11</v>
      </c>
      <c r="E174">
        <v>3</v>
      </c>
      <c r="F174">
        <v>0</v>
      </c>
      <c r="G174">
        <v>16</v>
      </c>
      <c r="H174" t="s">
        <v>11</v>
      </c>
      <c r="I174">
        <v>31086</v>
      </c>
      <c r="J174">
        <v>1</v>
      </c>
      <c r="K174">
        <v>1</v>
      </c>
      <c r="L174">
        <v>0</v>
      </c>
      <c r="M174">
        <v>1</v>
      </c>
      <c r="N174">
        <f t="shared" si="4"/>
        <v>-0.97028006482468687</v>
      </c>
      <c r="O174">
        <f t="shared" si="5"/>
        <v>-0.12237679486920296</v>
      </c>
    </row>
    <row r="175" spans="1:15">
      <c r="A175">
        <v>933</v>
      </c>
      <c r="B175">
        <v>9</v>
      </c>
      <c r="C175">
        <v>0</v>
      </c>
      <c r="D175">
        <v>6</v>
      </c>
      <c r="E175">
        <v>4</v>
      </c>
      <c r="F175">
        <v>1</v>
      </c>
      <c r="G175">
        <v>5</v>
      </c>
      <c r="H175" t="s">
        <v>11</v>
      </c>
      <c r="I175">
        <v>37717</v>
      </c>
      <c r="J175">
        <v>1</v>
      </c>
      <c r="K175">
        <v>0</v>
      </c>
      <c r="L175">
        <v>0</v>
      </c>
      <c r="M175">
        <v>1</v>
      </c>
      <c r="N175">
        <f t="shared" si="4"/>
        <v>-0.6634788983478026</v>
      </c>
      <c r="O175">
        <f t="shared" si="5"/>
        <v>7.1137140608643293E-3</v>
      </c>
    </row>
    <row r="176" spans="1:15">
      <c r="A176">
        <v>938</v>
      </c>
      <c r="B176">
        <v>51</v>
      </c>
      <c r="C176">
        <v>1</v>
      </c>
      <c r="D176">
        <v>7</v>
      </c>
      <c r="E176">
        <v>2</v>
      </c>
      <c r="F176">
        <v>1</v>
      </c>
      <c r="G176">
        <v>25</v>
      </c>
      <c r="H176" t="s">
        <v>11</v>
      </c>
      <c r="I176">
        <v>40211</v>
      </c>
      <c r="J176">
        <v>1</v>
      </c>
      <c r="K176">
        <v>1</v>
      </c>
      <c r="L176">
        <v>0</v>
      </c>
      <c r="M176">
        <v>1</v>
      </c>
      <c r="N176">
        <f t="shared" si="4"/>
        <v>-0.54808723657833347</v>
      </c>
      <c r="O176">
        <f t="shared" si="5"/>
        <v>5.8716617873687316E-2</v>
      </c>
    </row>
    <row r="177" spans="1:15">
      <c r="A177">
        <v>940</v>
      </c>
      <c r="B177">
        <v>158</v>
      </c>
      <c r="C177">
        <v>11</v>
      </c>
      <c r="D177">
        <v>99</v>
      </c>
      <c r="E177">
        <v>15</v>
      </c>
      <c r="F177">
        <v>11</v>
      </c>
      <c r="G177">
        <v>17</v>
      </c>
      <c r="H177" t="s">
        <v>12</v>
      </c>
      <c r="I177">
        <v>57100</v>
      </c>
      <c r="J177">
        <v>1</v>
      </c>
      <c r="K177">
        <v>0</v>
      </c>
      <c r="L177">
        <v>1</v>
      </c>
      <c r="M177">
        <v>0</v>
      </c>
      <c r="N177">
        <f t="shared" si="4"/>
        <v>0.23332807040825981</v>
      </c>
      <c r="O177">
        <f t="shared" si="5"/>
        <v>0.13480714104955471</v>
      </c>
    </row>
    <row r="178" spans="1:15">
      <c r="A178">
        <v>942</v>
      </c>
      <c r="B178">
        <v>139</v>
      </c>
      <c r="C178">
        <v>13</v>
      </c>
      <c r="D178">
        <v>78</v>
      </c>
      <c r="E178">
        <v>20</v>
      </c>
      <c r="F178">
        <v>13</v>
      </c>
      <c r="G178">
        <v>36</v>
      </c>
      <c r="H178" t="s">
        <v>12</v>
      </c>
      <c r="I178">
        <v>39660</v>
      </c>
      <c r="J178">
        <v>1</v>
      </c>
      <c r="K178">
        <v>0</v>
      </c>
      <c r="L178">
        <v>1</v>
      </c>
      <c r="M178">
        <v>0</v>
      </c>
      <c r="N178">
        <f t="shared" si="4"/>
        <v>-0.57358074324833241</v>
      </c>
      <c r="O178">
        <f t="shared" si="5"/>
        <v>-0.31124554700441293</v>
      </c>
    </row>
    <row r="179" spans="1:15">
      <c r="A179">
        <v>944</v>
      </c>
      <c r="B179">
        <v>121</v>
      </c>
      <c r="C179">
        <v>103</v>
      </c>
      <c r="D179">
        <v>69</v>
      </c>
      <c r="E179">
        <v>8</v>
      </c>
      <c r="F179">
        <v>44</v>
      </c>
      <c r="G179">
        <v>48</v>
      </c>
      <c r="H179" t="s">
        <v>11</v>
      </c>
      <c r="I179">
        <v>56181</v>
      </c>
      <c r="J179">
        <v>0</v>
      </c>
      <c r="K179">
        <v>1</v>
      </c>
      <c r="L179">
        <v>0</v>
      </c>
      <c r="M179">
        <v>1</v>
      </c>
      <c r="N179">
        <f t="shared" si="4"/>
        <v>0.19080804748679145</v>
      </c>
      <c r="O179">
        <f t="shared" si="5"/>
        <v>0.50353887223233462</v>
      </c>
    </row>
    <row r="180" spans="1:15">
      <c r="A180">
        <v>945</v>
      </c>
      <c r="B180">
        <v>87</v>
      </c>
      <c r="C180">
        <v>3</v>
      </c>
      <c r="D180">
        <v>25</v>
      </c>
      <c r="E180">
        <v>3</v>
      </c>
      <c r="F180">
        <v>2</v>
      </c>
      <c r="G180">
        <v>13</v>
      </c>
      <c r="H180" t="s">
        <v>11</v>
      </c>
      <c r="I180">
        <v>36317</v>
      </c>
      <c r="J180">
        <v>0</v>
      </c>
      <c r="K180">
        <v>1</v>
      </c>
      <c r="L180">
        <v>0</v>
      </c>
      <c r="M180">
        <v>1</v>
      </c>
      <c r="N180">
        <f t="shared" si="4"/>
        <v>-0.72825368843491434</v>
      </c>
      <c r="O180">
        <f t="shared" si="5"/>
        <v>-2.6735763367142673E-2</v>
      </c>
    </row>
    <row r="181" spans="1:15">
      <c r="A181">
        <v>946</v>
      </c>
      <c r="B181">
        <v>45</v>
      </c>
      <c r="C181">
        <v>47</v>
      </c>
      <c r="D181">
        <v>52</v>
      </c>
      <c r="E181">
        <v>21</v>
      </c>
      <c r="F181">
        <v>20</v>
      </c>
      <c r="G181">
        <v>25</v>
      </c>
      <c r="H181" t="s">
        <v>11</v>
      </c>
      <c r="I181">
        <v>26490</v>
      </c>
      <c r="J181">
        <v>0</v>
      </c>
      <c r="K181">
        <v>0</v>
      </c>
      <c r="L181">
        <v>0</v>
      </c>
      <c r="M181">
        <v>1</v>
      </c>
      <c r="N181">
        <f t="shared" si="4"/>
        <v>-1.1829264471392338</v>
      </c>
      <c r="O181">
        <f t="shared" si="5"/>
        <v>-0.27053554233872129</v>
      </c>
    </row>
    <row r="182" spans="1:15">
      <c r="A182">
        <v>948</v>
      </c>
      <c r="B182">
        <v>4</v>
      </c>
      <c r="C182">
        <v>7</v>
      </c>
      <c r="D182">
        <v>7</v>
      </c>
      <c r="E182">
        <v>6</v>
      </c>
      <c r="F182">
        <v>4</v>
      </c>
      <c r="G182">
        <v>13</v>
      </c>
      <c r="H182" t="s">
        <v>12</v>
      </c>
      <c r="I182">
        <v>10245</v>
      </c>
      <c r="J182">
        <v>1</v>
      </c>
      <c r="K182">
        <v>0</v>
      </c>
      <c r="L182">
        <v>1</v>
      </c>
      <c r="M182">
        <v>0</v>
      </c>
      <c r="N182">
        <f t="shared" si="4"/>
        <v>-1.9345453506857557</v>
      </c>
      <c r="O182">
        <f t="shared" si="5"/>
        <v>-0.6685325538934721</v>
      </c>
    </row>
    <row r="183" spans="1:15">
      <c r="A183">
        <v>954</v>
      </c>
      <c r="B183">
        <v>3</v>
      </c>
      <c r="C183">
        <v>3</v>
      </c>
      <c r="D183">
        <v>24</v>
      </c>
      <c r="E183">
        <v>34</v>
      </c>
      <c r="F183">
        <v>7</v>
      </c>
      <c r="G183">
        <v>31</v>
      </c>
      <c r="H183" t="s">
        <v>12</v>
      </c>
      <c r="I183">
        <v>22123</v>
      </c>
      <c r="J183">
        <v>0</v>
      </c>
      <c r="K183">
        <v>0</v>
      </c>
      <c r="L183">
        <v>1</v>
      </c>
      <c r="M183">
        <v>0</v>
      </c>
      <c r="N183">
        <f t="shared" si="4"/>
        <v>-1.3849775245038174</v>
      </c>
      <c r="O183">
        <f t="shared" si="5"/>
        <v>-0.67139920341975712</v>
      </c>
    </row>
    <row r="184" spans="1:15">
      <c r="A184">
        <v>955</v>
      </c>
      <c r="B184">
        <v>167</v>
      </c>
      <c r="C184">
        <v>2</v>
      </c>
      <c r="D184">
        <v>44</v>
      </c>
      <c r="E184">
        <v>6</v>
      </c>
      <c r="F184">
        <v>2</v>
      </c>
      <c r="G184">
        <v>19</v>
      </c>
      <c r="H184" t="s">
        <v>11</v>
      </c>
      <c r="I184">
        <v>47175</v>
      </c>
      <c r="J184">
        <v>1</v>
      </c>
      <c r="K184">
        <v>1</v>
      </c>
      <c r="L184">
        <v>0</v>
      </c>
      <c r="M184">
        <v>1</v>
      </c>
      <c r="N184">
        <f t="shared" si="4"/>
        <v>-0.22587892360215753</v>
      </c>
      <c r="O184">
        <f t="shared" si="5"/>
        <v>0.21382818036788812</v>
      </c>
    </row>
    <row r="185" spans="1:15">
      <c r="A185">
        <v>961</v>
      </c>
      <c r="B185">
        <v>133</v>
      </c>
      <c r="C185">
        <v>27</v>
      </c>
      <c r="D185">
        <v>421</v>
      </c>
      <c r="E185">
        <v>13</v>
      </c>
      <c r="F185">
        <v>195</v>
      </c>
      <c r="G185">
        <v>71</v>
      </c>
      <c r="H185" t="s">
        <v>11</v>
      </c>
      <c r="I185">
        <v>74716</v>
      </c>
      <c r="J185">
        <v>0</v>
      </c>
      <c r="K185">
        <v>1</v>
      </c>
      <c r="L185">
        <v>0</v>
      </c>
      <c r="M185">
        <v>1</v>
      </c>
      <c r="N185">
        <f t="shared" si="4"/>
        <v>1.0483800005329462</v>
      </c>
      <c r="O185">
        <f t="shared" si="5"/>
        <v>0.81158505857321561</v>
      </c>
    </row>
    <row r="186" spans="1:15">
      <c r="A186">
        <v>965</v>
      </c>
      <c r="B186">
        <v>235</v>
      </c>
      <c r="C186">
        <v>65</v>
      </c>
      <c r="D186">
        <v>164</v>
      </c>
      <c r="E186">
        <v>50</v>
      </c>
      <c r="F186">
        <v>49</v>
      </c>
      <c r="G186">
        <v>27</v>
      </c>
      <c r="H186" t="s">
        <v>12</v>
      </c>
      <c r="I186">
        <v>55635</v>
      </c>
      <c r="J186">
        <v>0</v>
      </c>
      <c r="K186">
        <v>1</v>
      </c>
      <c r="L186">
        <v>1</v>
      </c>
      <c r="M186">
        <v>0</v>
      </c>
      <c r="N186">
        <f t="shared" si="4"/>
        <v>0.16554587935281787</v>
      </c>
      <c r="O186">
        <f t="shared" si="5"/>
        <v>9.6281073023681524E-2</v>
      </c>
    </row>
    <row r="187" spans="1:15">
      <c r="A187">
        <v>966</v>
      </c>
      <c r="B187">
        <v>538</v>
      </c>
      <c r="C187">
        <v>13</v>
      </c>
      <c r="D187">
        <v>91</v>
      </c>
      <c r="E187">
        <v>17</v>
      </c>
      <c r="F187">
        <v>6</v>
      </c>
      <c r="G187">
        <v>26</v>
      </c>
      <c r="H187" t="s">
        <v>11</v>
      </c>
      <c r="I187">
        <v>44529</v>
      </c>
      <c r="J187">
        <v>0</v>
      </c>
      <c r="K187">
        <v>1</v>
      </c>
      <c r="L187">
        <v>0</v>
      </c>
      <c r="M187">
        <v>1</v>
      </c>
      <c r="N187">
        <f t="shared" si="4"/>
        <v>-0.34830327686679874</v>
      </c>
      <c r="O187">
        <f t="shared" si="5"/>
        <v>0.18683169688026652</v>
      </c>
    </row>
    <row r="188" spans="1:15">
      <c r="A188">
        <v>967</v>
      </c>
      <c r="B188">
        <v>342</v>
      </c>
      <c r="C188">
        <v>9</v>
      </c>
      <c r="D188">
        <v>112</v>
      </c>
      <c r="E188">
        <v>19</v>
      </c>
      <c r="F188">
        <v>14</v>
      </c>
      <c r="G188">
        <v>19</v>
      </c>
      <c r="H188" t="s">
        <v>11</v>
      </c>
      <c r="I188">
        <v>46049</v>
      </c>
      <c r="J188">
        <v>1</v>
      </c>
      <c r="K188">
        <v>1</v>
      </c>
      <c r="L188">
        <v>0</v>
      </c>
      <c r="M188">
        <v>1</v>
      </c>
      <c r="N188">
        <f t="shared" si="4"/>
        <v>-0.27797636191507741</v>
      </c>
      <c r="O188">
        <f t="shared" si="5"/>
        <v>0.18832039358412833</v>
      </c>
    </row>
    <row r="189" spans="1:15">
      <c r="A189">
        <v>968</v>
      </c>
      <c r="B189">
        <v>112</v>
      </c>
      <c r="C189">
        <v>19</v>
      </c>
      <c r="D189">
        <v>21</v>
      </c>
      <c r="E189">
        <v>16</v>
      </c>
      <c r="F189">
        <v>14</v>
      </c>
      <c r="G189">
        <v>5</v>
      </c>
      <c r="H189" t="s">
        <v>12</v>
      </c>
      <c r="I189">
        <v>41335</v>
      </c>
      <c r="J189">
        <v>1</v>
      </c>
      <c r="K189">
        <v>0</v>
      </c>
      <c r="L189">
        <v>1</v>
      </c>
      <c r="M189">
        <v>0</v>
      </c>
      <c r="N189">
        <f t="shared" si="4"/>
        <v>-0.49608233367982374</v>
      </c>
      <c r="O189">
        <f t="shared" si="5"/>
        <v>-0.27411467826931152</v>
      </c>
    </row>
    <row r="190" spans="1:15">
      <c r="A190">
        <v>975</v>
      </c>
      <c r="B190">
        <v>178</v>
      </c>
      <c r="C190">
        <v>4</v>
      </c>
      <c r="D190">
        <v>26</v>
      </c>
      <c r="E190">
        <v>8</v>
      </c>
      <c r="F190">
        <v>4</v>
      </c>
      <c r="G190">
        <v>44</v>
      </c>
      <c r="H190" t="s">
        <v>12</v>
      </c>
      <c r="I190">
        <v>54252</v>
      </c>
      <c r="J190">
        <v>1</v>
      </c>
      <c r="K190">
        <v>1</v>
      </c>
      <c r="L190">
        <v>1</v>
      </c>
      <c r="M190">
        <v>0</v>
      </c>
      <c r="N190">
        <f t="shared" si="4"/>
        <v>0.10155764028819246</v>
      </c>
      <c r="O190">
        <f t="shared" si="5"/>
        <v>4.8472961670870118E-2</v>
      </c>
    </row>
    <row r="191" spans="1:15">
      <c r="A191">
        <v>977</v>
      </c>
      <c r="B191">
        <v>200</v>
      </c>
      <c r="C191">
        <v>19</v>
      </c>
      <c r="D191">
        <v>111</v>
      </c>
      <c r="E191">
        <v>50</v>
      </c>
      <c r="F191">
        <v>15</v>
      </c>
      <c r="G191">
        <v>19</v>
      </c>
      <c r="H191" t="s">
        <v>11</v>
      </c>
      <c r="I191">
        <v>47320</v>
      </c>
      <c r="J191">
        <v>0</v>
      </c>
      <c r="K191">
        <v>1</v>
      </c>
      <c r="L191">
        <v>0</v>
      </c>
      <c r="M191">
        <v>1</v>
      </c>
      <c r="N191">
        <f t="shared" si="4"/>
        <v>-0.21917010605742093</v>
      </c>
      <c r="O191">
        <f t="shared" si="5"/>
        <v>0.26486909405041015</v>
      </c>
    </row>
    <row r="192" spans="1:15">
      <c r="A192">
        <v>979</v>
      </c>
      <c r="B192">
        <v>6</v>
      </c>
      <c r="C192">
        <v>10</v>
      </c>
      <c r="D192">
        <v>21</v>
      </c>
      <c r="E192">
        <v>19</v>
      </c>
      <c r="F192">
        <v>14</v>
      </c>
      <c r="G192">
        <v>42</v>
      </c>
      <c r="H192" t="s">
        <v>12</v>
      </c>
      <c r="I192">
        <v>33249</v>
      </c>
      <c r="J192">
        <v>1</v>
      </c>
      <c r="K192">
        <v>0</v>
      </c>
      <c r="L192">
        <v>1</v>
      </c>
      <c r="M192">
        <v>0</v>
      </c>
      <c r="N192">
        <f t="shared" si="4"/>
        <v>-0.87020301414009926</v>
      </c>
      <c r="O192">
        <f t="shared" si="5"/>
        <v>-0.43398538258555902</v>
      </c>
    </row>
    <row r="193" spans="1:15">
      <c r="A193">
        <v>983</v>
      </c>
      <c r="B193">
        <v>110</v>
      </c>
      <c r="C193">
        <v>29</v>
      </c>
      <c r="D193">
        <v>92</v>
      </c>
      <c r="E193">
        <v>28</v>
      </c>
      <c r="F193">
        <v>10</v>
      </c>
      <c r="G193">
        <v>145</v>
      </c>
      <c r="H193" t="s">
        <v>11</v>
      </c>
      <c r="I193">
        <v>40059</v>
      </c>
      <c r="J193">
        <v>1</v>
      </c>
      <c r="K193">
        <v>0</v>
      </c>
      <c r="L193">
        <v>0</v>
      </c>
      <c r="M193">
        <v>1</v>
      </c>
      <c r="N193">
        <f t="shared" si="4"/>
        <v>-0.55511992807350563</v>
      </c>
      <c r="O193">
        <f t="shared" si="5"/>
        <v>6.6378649909661469E-2</v>
      </c>
    </row>
    <row r="194" spans="1:15">
      <c r="A194">
        <v>988</v>
      </c>
      <c r="B194">
        <v>410</v>
      </c>
      <c r="C194">
        <v>0</v>
      </c>
      <c r="D194">
        <v>592</v>
      </c>
      <c r="E194">
        <v>147</v>
      </c>
      <c r="F194">
        <v>22</v>
      </c>
      <c r="G194">
        <v>22</v>
      </c>
      <c r="H194" t="s">
        <v>11</v>
      </c>
      <c r="I194">
        <v>81168</v>
      </c>
      <c r="J194">
        <v>0</v>
      </c>
      <c r="K194">
        <v>0</v>
      </c>
      <c r="L194">
        <v>0</v>
      </c>
      <c r="M194">
        <v>1</v>
      </c>
      <c r="N194">
        <f t="shared" si="4"/>
        <v>1.3468992474201211</v>
      </c>
      <c r="O194">
        <f t="shared" si="5"/>
        <v>0.99904981305508855</v>
      </c>
    </row>
    <row r="195" spans="1:15">
      <c r="A195">
        <v>999</v>
      </c>
      <c r="B195">
        <v>490</v>
      </c>
      <c r="C195">
        <v>44</v>
      </c>
      <c r="D195">
        <v>125</v>
      </c>
      <c r="E195">
        <v>29</v>
      </c>
      <c r="F195">
        <v>20</v>
      </c>
      <c r="G195">
        <v>22</v>
      </c>
      <c r="H195" t="s">
        <v>12</v>
      </c>
      <c r="I195">
        <v>86037</v>
      </c>
      <c r="J195">
        <v>0</v>
      </c>
      <c r="K195">
        <v>0</v>
      </c>
      <c r="L195">
        <v>1</v>
      </c>
      <c r="M195">
        <v>0</v>
      </c>
      <c r="N195">
        <f t="shared" ref="N195:N258" si="6">STANDARDIZE(I195,$Q$1,$R$1)</f>
        <v>1.5721767138016549</v>
      </c>
      <c r="O195">
        <f t="shared" ref="O195:O258" si="7">SUMPRODUCT(J195:N195,$Q$4:$U$4) / SQRT(SUMSQ(J195:N195) * SUMSQ($Q$4:$U$4))</f>
        <v>0.69874809490691425</v>
      </c>
    </row>
    <row r="196" spans="1:15">
      <c r="A196">
        <v>1000</v>
      </c>
      <c r="B196">
        <v>505</v>
      </c>
      <c r="C196">
        <v>72</v>
      </c>
      <c r="D196">
        <v>270</v>
      </c>
      <c r="E196">
        <v>36</v>
      </c>
      <c r="F196">
        <v>27</v>
      </c>
      <c r="G196">
        <v>54</v>
      </c>
      <c r="H196" t="s">
        <v>11</v>
      </c>
      <c r="I196">
        <v>74881</v>
      </c>
      <c r="J196">
        <v>1</v>
      </c>
      <c r="K196">
        <v>1</v>
      </c>
      <c r="L196">
        <v>0</v>
      </c>
      <c r="M196">
        <v>1</v>
      </c>
      <c r="N196">
        <f t="shared" si="6"/>
        <v>1.0560141722217844</v>
      </c>
      <c r="O196">
        <f t="shared" si="7"/>
        <v>0.70741729622034177</v>
      </c>
    </row>
    <row r="197" spans="1:15">
      <c r="A197">
        <v>1008</v>
      </c>
      <c r="B197">
        <v>728</v>
      </c>
      <c r="C197">
        <v>17</v>
      </c>
      <c r="D197">
        <v>133</v>
      </c>
      <c r="E197">
        <v>11</v>
      </c>
      <c r="F197">
        <v>8</v>
      </c>
      <c r="G197">
        <v>124</v>
      </c>
      <c r="H197" t="s">
        <v>11</v>
      </c>
      <c r="I197">
        <v>44953</v>
      </c>
      <c r="J197">
        <v>0</v>
      </c>
      <c r="K197">
        <v>0</v>
      </c>
      <c r="L197">
        <v>0</v>
      </c>
      <c r="M197">
        <v>1</v>
      </c>
      <c r="N197">
        <f t="shared" si="6"/>
        <v>-0.32868576901184487</v>
      </c>
      <c r="O197">
        <f t="shared" si="7"/>
        <v>0.27394286961611336</v>
      </c>
    </row>
    <row r="198" spans="1:15">
      <c r="A198">
        <v>1010</v>
      </c>
      <c r="B198">
        <v>41</v>
      </c>
      <c r="C198">
        <v>0</v>
      </c>
      <c r="D198">
        <v>17</v>
      </c>
      <c r="E198">
        <v>3</v>
      </c>
      <c r="F198">
        <v>1</v>
      </c>
      <c r="G198">
        <v>16</v>
      </c>
      <c r="H198" t="s">
        <v>11</v>
      </c>
      <c r="I198">
        <v>46931</v>
      </c>
      <c r="J198">
        <v>2</v>
      </c>
      <c r="K198">
        <v>1</v>
      </c>
      <c r="L198">
        <v>0</v>
      </c>
      <c r="M198">
        <v>1</v>
      </c>
      <c r="N198">
        <f t="shared" si="6"/>
        <v>-0.23716824416019699</v>
      </c>
      <c r="O198">
        <f t="shared" si="7"/>
        <v>0.14797101200088619</v>
      </c>
    </row>
    <row r="199" spans="1:15">
      <c r="A199">
        <v>1012</v>
      </c>
      <c r="B199">
        <v>523</v>
      </c>
      <c r="C199">
        <v>7</v>
      </c>
      <c r="D199">
        <v>134</v>
      </c>
      <c r="E199">
        <v>37</v>
      </c>
      <c r="F199">
        <v>14</v>
      </c>
      <c r="G199">
        <v>169</v>
      </c>
      <c r="H199" t="s">
        <v>12</v>
      </c>
      <c r="I199">
        <v>61823</v>
      </c>
      <c r="J199">
        <v>0</v>
      </c>
      <c r="K199">
        <v>1</v>
      </c>
      <c r="L199">
        <v>1</v>
      </c>
      <c r="M199">
        <v>0</v>
      </c>
      <c r="N199">
        <f t="shared" si="6"/>
        <v>0.45185045153785186</v>
      </c>
      <c r="O199">
        <f t="shared" si="7"/>
        <v>0.25203748799428788</v>
      </c>
    </row>
    <row r="200" spans="1:15">
      <c r="A200">
        <v>1016</v>
      </c>
      <c r="B200">
        <v>41</v>
      </c>
      <c r="C200">
        <v>1</v>
      </c>
      <c r="D200">
        <v>6</v>
      </c>
      <c r="E200">
        <v>2</v>
      </c>
      <c r="F200">
        <v>0</v>
      </c>
      <c r="G200">
        <v>5</v>
      </c>
      <c r="H200" t="s">
        <v>12</v>
      </c>
      <c r="I200">
        <v>34554</v>
      </c>
      <c r="J200">
        <v>0</v>
      </c>
      <c r="K200">
        <v>1</v>
      </c>
      <c r="L200">
        <v>1</v>
      </c>
      <c r="M200">
        <v>0</v>
      </c>
      <c r="N200">
        <f t="shared" si="6"/>
        <v>-0.8098236562374701</v>
      </c>
      <c r="O200">
        <f t="shared" si="7"/>
        <v>-0.41151384600950719</v>
      </c>
    </row>
    <row r="201" spans="1:15">
      <c r="A201">
        <v>1020</v>
      </c>
      <c r="B201">
        <v>350</v>
      </c>
      <c r="C201">
        <v>60</v>
      </c>
      <c r="D201">
        <v>568</v>
      </c>
      <c r="E201">
        <v>110</v>
      </c>
      <c r="F201">
        <v>133</v>
      </c>
      <c r="G201">
        <v>145</v>
      </c>
      <c r="H201" t="s">
        <v>11</v>
      </c>
      <c r="I201">
        <v>79593</v>
      </c>
      <c r="J201">
        <v>0</v>
      </c>
      <c r="K201">
        <v>0</v>
      </c>
      <c r="L201">
        <v>0</v>
      </c>
      <c r="M201">
        <v>1</v>
      </c>
      <c r="N201">
        <f t="shared" si="6"/>
        <v>1.2740276085721205</v>
      </c>
      <c r="O201">
        <f t="shared" si="7"/>
        <v>0.99752147115351564</v>
      </c>
    </row>
    <row r="202" spans="1:15">
      <c r="A202">
        <v>1029</v>
      </c>
      <c r="B202">
        <v>200</v>
      </c>
      <c r="C202">
        <v>5</v>
      </c>
      <c r="D202">
        <v>44</v>
      </c>
      <c r="E202">
        <v>0</v>
      </c>
      <c r="F202">
        <v>10</v>
      </c>
      <c r="G202">
        <v>20</v>
      </c>
      <c r="H202" t="s">
        <v>11</v>
      </c>
      <c r="I202">
        <v>64413</v>
      </c>
      <c r="J202">
        <v>0</v>
      </c>
      <c r="K202">
        <v>1</v>
      </c>
      <c r="L202">
        <v>0</v>
      </c>
      <c r="M202">
        <v>1</v>
      </c>
      <c r="N202">
        <f t="shared" si="6"/>
        <v>0.57168381319900863</v>
      </c>
      <c r="O202">
        <f t="shared" si="7"/>
        <v>0.67784151717440766</v>
      </c>
    </row>
    <row r="203" spans="1:15">
      <c r="A203">
        <v>1030</v>
      </c>
      <c r="B203">
        <v>22</v>
      </c>
      <c r="C203">
        <v>0</v>
      </c>
      <c r="D203">
        <v>13</v>
      </c>
      <c r="E203">
        <v>0</v>
      </c>
      <c r="F203">
        <v>0</v>
      </c>
      <c r="G203">
        <v>3</v>
      </c>
      <c r="H203" t="s">
        <v>12</v>
      </c>
      <c r="I203">
        <v>40637</v>
      </c>
      <c r="J203">
        <v>1</v>
      </c>
      <c r="K203">
        <v>1</v>
      </c>
      <c r="L203">
        <v>1</v>
      </c>
      <c r="M203">
        <v>0</v>
      </c>
      <c r="N203">
        <f t="shared" si="6"/>
        <v>-0.52837719330896948</v>
      </c>
      <c r="O203">
        <f t="shared" si="7"/>
        <v>-0.24163181869775271</v>
      </c>
    </row>
    <row r="204" spans="1:15">
      <c r="A204">
        <v>1031</v>
      </c>
      <c r="B204">
        <v>600</v>
      </c>
      <c r="C204">
        <v>20</v>
      </c>
      <c r="D204">
        <v>350</v>
      </c>
      <c r="E204">
        <v>29</v>
      </c>
      <c r="F204">
        <v>30</v>
      </c>
      <c r="G204">
        <v>33</v>
      </c>
      <c r="H204" t="s">
        <v>11</v>
      </c>
      <c r="I204">
        <v>85710</v>
      </c>
      <c r="J204">
        <v>0</v>
      </c>
      <c r="K204">
        <v>0</v>
      </c>
      <c r="L204">
        <v>0</v>
      </c>
      <c r="M204">
        <v>1</v>
      </c>
      <c r="N204">
        <f t="shared" si="6"/>
        <v>1.5570471735455937</v>
      </c>
      <c r="O204">
        <f t="shared" si="7"/>
        <v>0.99970838640411308</v>
      </c>
    </row>
    <row r="205" spans="1:15">
      <c r="A205">
        <v>1041</v>
      </c>
      <c r="B205">
        <v>322</v>
      </c>
      <c r="C205">
        <v>3</v>
      </c>
      <c r="D205">
        <v>50</v>
      </c>
      <c r="E205">
        <v>4</v>
      </c>
      <c r="F205">
        <v>3</v>
      </c>
      <c r="G205">
        <v>42</v>
      </c>
      <c r="H205" t="s">
        <v>12</v>
      </c>
      <c r="I205">
        <v>48432</v>
      </c>
      <c r="J205">
        <v>0</v>
      </c>
      <c r="K205">
        <v>1</v>
      </c>
      <c r="L205">
        <v>1</v>
      </c>
      <c r="M205">
        <v>0</v>
      </c>
      <c r="N205">
        <f t="shared" si="6"/>
        <v>-0.16772041564537216</v>
      </c>
      <c r="O205">
        <f t="shared" si="7"/>
        <v>-9.7528348657675706E-2</v>
      </c>
    </row>
    <row r="206" spans="1:15">
      <c r="A206">
        <v>1044</v>
      </c>
      <c r="B206">
        <v>299</v>
      </c>
      <c r="C206">
        <v>5</v>
      </c>
      <c r="D206">
        <v>201</v>
      </c>
      <c r="E206">
        <v>21</v>
      </c>
      <c r="F206">
        <v>21</v>
      </c>
      <c r="G206">
        <v>49</v>
      </c>
      <c r="H206" t="s">
        <v>11</v>
      </c>
      <c r="I206">
        <v>58398</v>
      </c>
      <c r="J206">
        <v>0</v>
      </c>
      <c r="K206">
        <v>0</v>
      </c>
      <c r="L206">
        <v>0</v>
      </c>
      <c r="M206">
        <v>1</v>
      </c>
      <c r="N206">
        <f t="shared" si="6"/>
        <v>0.29338355436045344</v>
      </c>
      <c r="O206">
        <f t="shared" si="7"/>
        <v>0.77101147348870125</v>
      </c>
    </row>
    <row r="207" spans="1:15">
      <c r="A207">
        <v>1045</v>
      </c>
      <c r="B207">
        <v>112</v>
      </c>
      <c r="C207">
        <v>10</v>
      </c>
      <c r="D207">
        <v>107</v>
      </c>
      <c r="E207">
        <v>30</v>
      </c>
      <c r="F207">
        <v>0</v>
      </c>
      <c r="G207">
        <v>20</v>
      </c>
      <c r="H207" t="s">
        <v>11</v>
      </c>
      <c r="I207">
        <v>52117</v>
      </c>
      <c r="J207">
        <v>0</v>
      </c>
      <c r="K207">
        <v>1</v>
      </c>
      <c r="L207">
        <v>0</v>
      </c>
      <c r="M207">
        <v>1</v>
      </c>
      <c r="N207">
        <f t="shared" si="6"/>
        <v>2.7760854053470135E-3</v>
      </c>
      <c r="O207">
        <f t="shared" si="7"/>
        <v>0.3979949787019606</v>
      </c>
    </row>
    <row r="208" spans="1:15">
      <c r="A208">
        <v>1048</v>
      </c>
      <c r="B208">
        <v>63</v>
      </c>
      <c r="C208">
        <v>3</v>
      </c>
      <c r="D208">
        <v>67</v>
      </c>
      <c r="E208">
        <v>8</v>
      </c>
      <c r="F208">
        <v>9</v>
      </c>
      <c r="G208">
        <v>28</v>
      </c>
      <c r="H208" t="s">
        <v>11</v>
      </c>
      <c r="I208">
        <v>35641</v>
      </c>
      <c r="J208">
        <v>1</v>
      </c>
      <c r="K208">
        <v>0</v>
      </c>
      <c r="L208">
        <v>0</v>
      </c>
      <c r="M208">
        <v>1</v>
      </c>
      <c r="N208">
        <f t="shared" si="6"/>
        <v>-0.75953065850554824</v>
      </c>
      <c r="O208">
        <f t="shared" si="7"/>
        <v>-4.2628299402602474E-2</v>
      </c>
    </row>
    <row r="209" spans="1:15">
      <c r="A209">
        <v>1050</v>
      </c>
      <c r="B209">
        <v>14</v>
      </c>
      <c r="C209">
        <v>10</v>
      </c>
      <c r="D209">
        <v>13</v>
      </c>
      <c r="E209">
        <v>4</v>
      </c>
      <c r="F209">
        <v>15</v>
      </c>
      <c r="G209">
        <v>9</v>
      </c>
      <c r="H209" t="s">
        <v>11</v>
      </c>
      <c r="I209">
        <v>28332</v>
      </c>
      <c r="J209">
        <v>0</v>
      </c>
      <c r="K209">
        <v>0</v>
      </c>
      <c r="L209">
        <v>0</v>
      </c>
      <c r="M209">
        <v>1</v>
      </c>
      <c r="N209">
        <f t="shared" si="6"/>
        <v>-1.0977013304674768</v>
      </c>
      <c r="O209">
        <f t="shared" si="7"/>
        <v>-0.23467835682591984</v>
      </c>
    </row>
    <row r="210" spans="1:15">
      <c r="A210">
        <v>1052</v>
      </c>
      <c r="B210">
        <v>656</v>
      </c>
      <c r="C210">
        <v>38</v>
      </c>
      <c r="D210">
        <v>161</v>
      </c>
      <c r="E210">
        <v>62</v>
      </c>
      <c r="F210">
        <v>47</v>
      </c>
      <c r="G210">
        <v>37</v>
      </c>
      <c r="H210" t="s">
        <v>11</v>
      </c>
      <c r="I210">
        <v>56796</v>
      </c>
      <c r="J210">
        <v>0</v>
      </c>
      <c r="K210">
        <v>1</v>
      </c>
      <c r="L210">
        <v>0</v>
      </c>
      <c r="M210">
        <v>1</v>
      </c>
      <c r="N210">
        <f t="shared" si="6"/>
        <v>0.21926268741791555</v>
      </c>
      <c r="O210">
        <f t="shared" si="7"/>
        <v>0.51856785147204154</v>
      </c>
    </row>
    <row r="211" spans="1:15">
      <c r="A211">
        <v>1055</v>
      </c>
      <c r="B211">
        <v>29</v>
      </c>
      <c r="C211">
        <v>0</v>
      </c>
      <c r="D211">
        <v>8</v>
      </c>
      <c r="E211">
        <v>2</v>
      </c>
      <c r="F211">
        <v>0</v>
      </c>
      <c r="G211">
        <v>6</v>
      </c>
      <c r="H211" t="s">
        <v>11</v>
      </c>
      <c r="I211">
        <v>53204</v>
      </c>
      <c r="J211">
        <v>1</v>
      </c>
      <c r="K211">
        <v>1</v>
      </c>
      <c r="L211">
        <v>0</v>
      </c>
      <c r="M211">
        <v>1</v>
      </c>
      <c r="N211">
        <f t="shared" si="6"/>
        <v>5.306908313726879E-2</v>
      </c>
      <c r="O211">
        <f t="shared" si="7"/>
        <v>0.34884428904955261</v>
      </c>
    </row>
    <row r="212" spans="1:15">
      <c r="A212">
        <v>1064</v>
      </c>
      <c r="B212">
        <v>22</v>
      </c>
      <c r="C212">
        <v>1</v>
      </c>
      <c r="D212">
        <v>11</v>
      </c>
      <c r="E212">
        <v>0</v>
      </c>
      <c r="F212">
        <v>5</v>
      </c>
      <c r="G212">
        <v>3</v>
      </c>
      <c r="H212" t="s">
        <v>11</v>
      </c>
      <c r="I212">
        <v>42403</v>
      </c>
      <c r="J212">
        <v>1</v>
      </c>
      <c r="K212">
        <v>0</v>
      </c>
      <c r="L212">
        <v>0</v>
      </c>
      <c r="M212">
        <v>1</v>
      </c>
      <c r="N212">
        <f t="shared" si="6"/>
        <v>-0.44666842238479848</v>
      </c>
      <c r="O212">
        <f t="shared" si="7"/>
        <v>0.12855540345346103</v>
      </c>
    </row>
    <row r="213" spans="1:15">
      <c r="A213">
        <v>1065</v>
      </c>
      <c r="B213">
        <v>557</v>
      </c>
      <c r="C213">
        <v>129</v>
      </c>
      <c r="D213">
        <v>984</v>
      </c>
      <c r="E213">
        <v>193</v>
      </c>
      <c r="F213">
        <v>37</v>
      </c>
      <c r="G213">
        <v>18</v>
      </c>
      <c r="H213" t="s">
        <v>12</v>
      </c>
      <c r="I213">
        <v>80695</v>
      </c>
      <c r="J213">
        <v>0</v>
      </c>
      <c r="K213">
        <v>0</v>
      </c>
      <c r="L213">
        <v>1</v>
      </c>
      <c r="M213">
        <v>0</v>
      </c>
      <c r="N213">
        <f t="shared" si="6"/>
        <v>1.3250146219121184</v>
      </c>
      <c r="O213">
        <f t="shared" si="7"/>
        <v>0.66099840198855875</v>
      </c>
    </row>
    <row r="214" spans="1:15">
      <c r="A214">
        <v>1071</v>
      </c>
      <c r="B214">
        <v>532</v>
      </c>
      <c r="C214">
        <v>88</v>
      </c>
      <c r="D214">
        <v>168</v>
      </c>
      <c r="E214">
        <v>69</v>
      </c>
      <c r="F214">
        <v>44</v>
      </c>
      <c r="G214">
        <v>133</v>
      </c>
      <c r="H214" t="s">
        <v>12</v>
      </c>
      <c r="I214">
        <v>70179</v>
      </c>
      <c r="J214">
        <v>0</v>
      </c>
      <c r="K214">
        <v>1</v>
      </c>
      <c r="L214">
        <v>1</v>
      </c>
      <c r="M214">
        <v>0</v>
      </c>
      <c r="N214">
        <f t="shared" si="6"/>
        <v>0.83846341294349891</v>
      </c>
      <c r="O214">
        <f t="shared" si="7"/>
        <v>0.42233032369598478</v>
      </c>
    </row>
    <row r="215" spans="1:15">
      <c r="A215">
        <v>1072</v>
      </c>
      <c r="B215">
        <v>70</v>
      </c>
      <c r="C215">
        <v>0</v>
      </c>
      <c r="D215">
        <v>17</v>
      </c>
      <c r="E215">
        <v>0</v>
      </c>
      <c r="F215">
        <v>0</v>
      </c>
      <c r="G215">
        <v>6</v>
      </c>
      <c r="H215" t="s">
        <v>12</v>
      </c>
      <c r="I215">
        <v>40760</v>
      </c>
      <c r="J215">
        <v>0</v>
      </c>
      <c r="K215">
        <v>1</v>
      </c>
      <c r="L215">
        <v>1</v>
      </c>
      <c r="M215">
        <v>0</v>
      </c>
      <c r="N215">
        <f t="shared" si="6"/>
        <v>-0.52268626532274465</v>
      </c>
      <c r="O215">
        <f t="shared" si="7"/>
        <v>-0.2870879906935615</v>
      </c>
    </row>
    <row r="216" spans="1:15">
      <c r="A216">
        <v>1077</v>
      </c>
      <c r="B216">
        <v>258</v>
      </c>
      <c r="C216">
        <v>105</v>
      </c>
      <c r="D216">
        <v>239</v>
      </c>
      <c r="E216">
        <v>237</v>
      </c>
      <c r="F216">
        <v>172</v>
      </c>
      <c r="G216">
        <v>9</v>
      </c>
      <c r="H216" t="s">
        <v>11</v>
      </c>
      <c r="I216">
        <v>56715</v>
      </c>
      <c r="J216">
        <v>0</v>
      </c>
      <c r="K216">
        <v>0</v>
      </c>
      <c r="L216">
        <v>0</v>
      </c>
      <c r="M216">
        <v>1</v>
      </c>
      <c r="N216">
        <f t="shared" si="6"/>
        <v>0.21551500313430408</v>
      </c>
      <c r="O216">
        <f t="shared" si="7"/>
        <v>0.72243716180871975</v>
      </c>
    </row>
    <row r="217" spans="1:15">
      <c r="A217">
        <v>1079</v>
      </c>
      <c r="B217">
        <v>1000</v>
      </c>
      <c r="C217">
        <v>0</v>
      </c>
      <c r="D217">
        <v>76</v>
      </c>
      <c r="E217">
        <v>0</v>
      </c>
      <c r="F217">
        <v>0</v>
      </c>
      <c r="G217">
        <v>10</v>
      </c>
      <c r="H217" t="s">
        <v>11</v>
      </c>
      <c r="I217">
        <v>71969</v>
      </c>
      <c r="J217">
        <v>0</v>
      </c>
      <c r="K217">
        <v>1</v>
      </c>
      <c r="L217">
        <v>0</v>
      </c>
      <c r="M217">
        <v>1</v>
      </c>
      <c r="N217">
        <f t="shared" si="6"/>
        <v>0.92128260884059188</v>
      </c>
      <c r="O217">
        <f t="shared" si="7"/>
        <v>0.78413455614781913</v>
      </c>
    </row>
    <row r="218" spans="1:15">
      <c r="A218">
        <v>1081</v>
      </c>
      <c r="B218">
        <v>733</v>
      </c>
      <c r="C218">
        <v>9</v>
      </c>
      <c r="D218">
        <v>180</v>
      </c>
      <c r="E218">
        <v>12</v>
      </c>
      <c r="F218">
        <v>19</v>
      </c>
      <c r="G218">
        <v>66</v>
      </c>
      <c r="H218" t="s">
        <v>11</v>
      </c>
      <c r="I218">
        <v>75283</v>
      </c>
      <c r="J218">
        <v>1</v>
      </c>
      <c r="K218">
        <v>2</v>
      </c>
      <c r="L218">
        <v>0</v>
      </c>
      <c r="M218">
        <v>1</v>
      </c>
      <c r="N218">
        <f t="shared" si="6"/>
        <v>1.0746137905182265</v>
      </c>
      <c r="O218">
        <f t="shared" si="7"/>
        <v>0.5422596281900488</v>
      </c>
    </row>
    <row r="219" spans="1:15">
      <c r="A219">
        <v>1087</v>
      </c>
      <c r="B219">
        <v>16</v>
      </c>
      <c r="C219">
        <v>14</v>
      </c>
      <c r="D219">
        <v>36</v>
      </c>
      <c r="E219">
        <v>37</v>
      </c>
      <c r="F219">
        <v>22</v>
      </c>
      <c r="G219">
        <v>48</v>
      </c>
      <c r="H219" t="s">
        <v>11</v>
      </c>
      <c r="I219">
        <v>22669</v>
      </c>
      <c r="J219">
        <v>1</v>
      </c>
      <c r="K219">
        <v>0</v>
      </c>
      <c r="L219">
        <v>0</v>
      </c>
      <c r="M219">
        <v>1</v>
      </c>
      <c r="N219">
        <f t="shared" si="6"/>
        <v>-1.3597153563698439</v>
      </c>
      <c r="O219">
        <f t="shared" si="7"/>
        <v>-0.28822616627992231</v>
      </c>
    </row>
    <row r="220" spans="1:15">
      <c r="A220">
        <v>1092</v>
      </c>
      <c r="B220">
        <v>269</v>
      </c>
      <c r="C220">
        <v>129</v>
      </c>
      <c r="D220">
        <v>495</v>
      </c>
      <c r="E220">
        <v>182</v>
      </c>
      <c r="F220">
        <v>43</v>
      </c>
      <c r="G220">
        <v>29</v>
      </c>
      <c r="H220" t="s">
        <v>11</v>
      </c>
      <c r="I220">
        <v>61014</v>
      </c>
      <c r="J220">
        <v>0</v>
      </c>
      <c r="K220">
        <v>1</v>
      </c>
      <c r="L220">
        <v>0</v>
      </c>
      <c r="M220">
        <v>1</v>
      </c>
      <c r="N220">
        <f t="shared" si="6"/>
        <v>0.41441987640894229</v>
      </c>
      <c r="O220">
        <f t="shared" si="7"/>
        <v>0.61325307883225699</v>
      </c>
    </row>
    <row r="221" spans="1:15">
      <c r="A221">
        <v>1100</v>
      </c>
      <c r="B221">
        <v>24</v>
      </c>
      <c r="C221">
        <v>4</v>
      </c>
      <c r="D221">
        <v>22</v>
      </c>
      <c r="E221">
        <v>0</v>
      </c>
      <c r="F221">
        <v>2</v>
      </c>
      <c r="G221">
        <v>9</v>
      </c>
      <c r="H221" t="s">
        <v>11</v>
      </c>
      <c r="I221">
        <v>41275</v>
      </c>
      <c r="J221">
        <v>1</v>
      </c>
      <c r="K221">
        <v>2</v>
      </c>
      <c r="L221">
        <v>0</v>
      </c>
      <c r="M221">
        <v>1</v>
      </c>
      <c r="N221">
        <f t="shared" si="6"/>
        <v>-0.49885839611212851</v>
      </c>
      <c r="O221">
        <f t="shared" si="7"/>
        <v>5.8980516328427789E-2</v>
      </c>
    </row>
    <row r="222" spans="1:15">
      <c r="A222">
        <v>1103</v>
      </c>
      <c r="B222">
        <v>1486</v>
      </c>
      <c r="C222">
        <v>55</v>
      </c>
      <c r="D222">
        <v>278</v>
      </c>
      <c r="E222">
        <v>49</v>
      </c>
      <c r="F222">
        <v>0</v>
      </c>
      <c r="G222">
        <v>185</v>
      </c>
      <c r="H222" t="s">
        <v>11</v>
      </c>
      <c r="I222">
        <v>81929</v>
      </c>
      <c r="J222">
        <v>1</v>
      </c>
      <c r="K222">
        <v>0</v>
      </c>
      <c r="L222">
        <v>0</v>
      </c>
      <c r="M222">
        <v>1</v>
      </c>
      <c r="N222">
        <f t="shared" si="6"/>
        <v>1.382108972603187</v>
      </c>
      <c r="O222">
        <f t="shared" si="7"/>
        <v>0.862282827945417</v>
      </c>
    </row>
    <row r="223" spans="1:15">
      <c r="A223">
        <v>1109</v>
      </c>
      <c r="B223">
        <v>6</v>
      </c>
      <c r="C223">
        <v>0</v>
      </c>
      <c r="D223">
        <v>5</v>
      </c>
      <c r="E223">
        <v>0</v>
      </c>
      <c r="F223">
        <v>0</v>
      </c>
      <c r="G223">
        <v>1</v>
      </c>
      <c r="H223" t="s">
        <v>11</v>
      </c>
      <c r="I223">
        <v>27590</v>
      </c>
      <c r="J223">
        <v>1</v>
      </c>
      <c r="K223">
        <v>0</v>
      </c>
      <c r="L223">
        <v>0</v>
      </c>
      <c r="M223">
        <v>1</v>
      </c>
      <c r="N223">
        <f t="shared" si="6"/>
        <v>-1.132031969213646</v>
      </c>
      <c r="O223">
        <f t="shared" si="7"/>
        <v>-0.20806370919806649</v>
      </c>
    </row>
    <row r="224" spans="1:15">
      <c r="A224">
        <v>1118</v>
      </c>
      <c r="B224">
        <v>544</v>
      </c>
      <c r="C224">
        <v>13</v>
      </c>
      <c r="D224">
        <v>85</v>
      </c>
      <c r="E224">
        <v>8</v>
      </c>
      <c r="F224">
        <v>6</v>
      </c>
      <c r="G224">
        <v>29</v>
      </c>
      <c r="H224" t="s">
        <v>11</v>
      </c>
      <c r="I224">
        <v>50965</v>
      </c>
      <c r="J224">
        <v>0</v>
      </c>
      <c r="K224">
        <v>1</v>
      </c>
      <c r="L224">
        <v>0</v>
      </c>
      <c r="M224">
        <v>1</v>
      </c>
      <c r="N224">
        <f t="shared" si="6"/>
        <v>-5.0524313294904956E-2</v>
      </c>
      <c r="O224">
        <f t="shared" si="7"/>
        <v>0.36655085092561035</v>
      </c>
    </row>
    <row r="225" spans="1:15">
      <c r="A225">
        <v>1127</v>
      </c>
      <c r="B225">
        <v>938</v>
      </c>
      <c r="C225">
        <v>19</v>
      </c>
      <c r="D225">
        <v>843</v>
      </c>
      <c r="E225">
        <v>25</v>
      </c>
      <c r="F225">
        <v>95</v>
      </c>
      <c r="G225">
        <v>38</v>
      </c>
      <c r="H225" t="s">
        <v>11</v>
      </c>
      <c r="I225">
        <v>85844</v>
      </c>
      <c r="J225">
        <v>0</v>
      </c>
      <c r="K225">
        <v>0</v>
      </c>
      <c r="L225">
        <v>0</v>
      </c>
      <c r="M225">
        <v>1</v>
      </c>
      <c r="N225">
        <f t="shared" si="6"/>
        <v>1.5632470463110746</v>
      </c>
      <c r="O225">
        <f t="shared" si="7"/>
        <v>0.99966315951098417</v>
      </c>
    </row>
    <row r="226" spans="1:15">
      <c r="A226">
        <v>1131</v>
      </c>
      <c r="B226">
        <v>85</v>
      </c>
      <c r="C226">
        <v>0</v>
      </c>
      <c r="D226">
        <v>3</v>
      </c>
      <c r="E226">
        <v>0</v>
      </c>
      <c r="F226">
        <v>0</v>
      </c>
      <c r="G226">
        <v>7</v>
      </c>
      <c r="H226" t="s">
        <v>12</v>
      </c>
      <c r="I226">
        <v>52569</v>
      </c>
      <c r="J226">
        <v>0</v>
      </c>
      <c r="K226">
        <v>1</v>
      </c>
      <c r="L226">
        <v>1</v>
      </c>
      <c r="M226">
        <v>0</v>
      </c>
      <c r="N226">
        <f t="shared" si="6"/>
        <v>2.3689089062043096E-2</v>
      </c>
      <c r="O226">
        <f t="shared" si="7"/>
        <v>1.3869643332496018E-2</v>
      </c>
    </row>
    <row r="227" spans="1:15">
      <c r="A227">
        <v>1137</v>
      </c>
      <c r="B227">
        <v>398</v>
      </c>
      <c r="C227">
        <v>190</v>
      </c>
      <c r="D227">
        <v>537</v>
      </c>
      <c r="E227">
        <v>61</v>
      </c>
      <c r="F227">
        <v>156</v>
      </c>
      <c r="G227">
        <v>37</v>
      </c>
      <c r="H227" t="s">
        <v>12</v>
      </c>
      <c r="I227">
        <v>81246</v>
      </c>
      <c r="J227">
        <v>0</v>
      </c>
      <c r="K227">
        <v>0</v>
      </c>
      <c r="L227">
        <v>1</v>
      </c>
      <c r="M227">
        <v>0</v>
      </c>
      <c r="N227">
        <f t="shared" si="6"/>
        <v>1.3505081285821174</v>
      </c>
      <c r="O227">
        <f t="shared" si="7"/>
        <v>0.6655298412505618</v>
      </c>
    </row>
    <row r="228" spans="1:15">
      <c r="A228">
        <v>1139</v>
      </c>
      <c r="B228">
        <v>1050</v>
      </c>
      <c r="C228">
        <v>14</v>
      </c>
      <c r="D228">
        <v>322</v>
      </c>
      <c r="E228">
        <v>0</v>
      </c>
      <c r="F228">
        <v>14</v>
      </c>
      <c r="G228">
        <v>112</v>
      </c>
      <c r="H228" t="s">
        <v>11</v>
      </c>
      <c r="I228">
        <v>73356</v>
      </c>
      <c r="J228">
        <v>0</v>
      </c>
      <c r="K228">
        <v>0</v>
      </c>
      <c r="L228">
        <v>0</v>
      </c>
      <c r="M228">
        <v>1</v>
      </c>
      <c r="N228">
        <f t="shared" si="6"/>
        <v>0.98545591873403759</v>
      </c>
      <c r="O228">
        <f t="shared" si="7"/>
        <v>0.9805266083732308</v>
      </c>
    </row>
    <row r="229" spans="1:15">
      <c r="A229">
        <v>1142</v>
      </c>
      <c r="B229">
        <v>208</v>
      </c>
      <c r="C229">
        <v>7</v>
      </c>
      <c r="D229">
        <v>82</v>
      </c>
      <c r="E229">
        <v>30</v>
      </c>
      <c r="F229">
        <v>66</v>
      </c>
      <c r="G229">
        <v>35</v>
      </c>
      <c r="H229" t="s">
        <v>11</v>
      </c>
      <c r="I229">
        <v>55707</v>
      </c>
      <c r="J229">
        <v>0</v>
      </c>
      <c r="K229">
        <v>1</v>
      </c>
      <c r="L229">
        <v>0</v>
      </c>
      <c r="M229">
        <v>1</v>
      </c>
      <c r="N229">
        <f t="shared" si="6"/>
        <v>0.16887715427158362</v>
      </c>
      <c r="O229">
        <f t="shared" si="7"/>
        <v>0.49176551725948198</v>
      </c>
    </row>
    <row r="230" spans="1:15">
      <c r="A230">
        <v>1143</v>
      </c>
      <c r="B230">
        <v>7</v>
      </c>
      <c r="C230">
        <v>10</v>
      </c>
      <c r="D230">
        <v>13</v>
      </c>
      <c r="E230">
        <v>3</v>
      </c>
      <c r="F230">
        <v>11</v>
      </c>
      <c r="G230">
        <v>11</v>
      </c>
      <c r="H230" t="s">
        <v>11</v>
      </c>
      <c r="I230">
        <v>22063</v>
      </c>
      <c r="J230">
        <v>1</v>
      </c>
      <c r="K230">
        <v>0</v>
      </c>
      <c r="L230">
        <v>0</v>
      </c>
      <c r="M230">
        <v>1</v>
      </c>
      <c r="N230">
        <f t="shared" si="6"/>
        <v>-1.3877535869361222</v>
      </c>
      <c r="O230">
        <f t="shared" si="7"/>
        <v>-0.29710294349153216</v>
      </c>
    </row>
    <row r="231" spans="1:15">
      <c r="A231">
        <v>1146</v>
      </c>
      <c r="B231">
        <v>520</v>
      </c>
      <c r="C231">
        <v>8</v>
      </c>
      <c r="D231">
        <v>223</v>
      </c>
      <c r="E231">
        <v>32</v>
      </c>
      <c r="F231">
        <v>49</v>
      </c>
      <c r="G231">
        <v>42</v>
      </c>
      <c r="H231" t="s">
        <v>11</v>
      </c>
      <c r="I231">
        <v>49912</v>
      </c>
      <c r="J231">
        <v>0</v>
      </c>
      <c r="K231">
        <v>1</v>
      </c>
      <c r="L231">
        <v>0</v>
      </c>
      <c r="M231">
        <v>1</v>
      </c>
      <c r="N231">
        <f t="shared" si="6"/>
        <v>-9.9244208981854015E-2</v>
      </c>
      <c r="O231">
        <f t="shared" si="7"/>
        <v>0.33742601304564934</v>
      </c>
    </row>
    <row r="232" spans="1:15">
      <c r="A232">
        <v>1150</v>
      </c>
      <c r="B232">
        <v>755</v>
      </c>
      <c r="C232">
        <v>144</v>
      </c>
      <c r="D232">
        <v>562</v>
      </c>
      <c r="E232">
        <v>104</v>
      </c>
      <c r="F232">
        <v>64</v>
      </c>
      <c r="G232">
        <v>224</v>
      </c>
      <c r="H232" t="s">
        <v>11</v>
      </c>
      <c r="I232">
        <v>83532</v>
      </c>
      <c r="J232">
        <v>0</v>
      </c>
      <c r="K232">
        <v>0</v>
      </c>
      <c r="L232">
        <v>0</v>
      </c>
      <c r="M232">
        <v>1</v>
      </c>
      <c r="N232">
        <f t="shared" si="6"/>
        <v>1.45627610725293</v>
      </c>
      <c r="O232">
        <f t="shared" si="7"/>
        <v>0.99997768854511038</v>
      </c>
    </row>
    <row r="233" spans="1:15">
      <c r="A233">
        <v>1158</v>
      </c>
      <c r="B233">
        <v>102</v>
      </c>
      <c r="C233">
        <v>1</v>
      </c>
      <c r="D233">
        <v>15</v>
      </c>
      <c r="E233">
        <v>2</v>
      </c>
      <c r="F233">
        <v>0</v>
      </c>
      <c r="G233">
        <v>24</v>
      </c>
      <c r="H233" t="s">
        <v>12</v>
      </c>
      <c r="I233">
        <v>48877</v>
      </c>
      <c r="J233">
        <v>0</v>
      </c>
      <c r="K233">
        <v>1</v>
      </c>
      <c r="L233">
        <v>1</v>
      </c>
      <c r="M233">
        <v>0</v>
      </c>
      <c r="N233">
        <f t="shared" si="6"/>
        <v>-0.14713128593911165</v>
      </c>
      <c r="O233">
        <f t="shared" si="7"/>
        <v>-8.5692961488598091E-2</v>
      </c>
    </row>
    <row r="234" spans="1:15">
      <c r="A234">
        <v>1160</v>
      </c>
      <c r="B234">
        <v>9</v>
      </c>
      <c r="C234">
        <v>4</v>
      </c>
      <c r="D234">
        <v>17</v>
      </c>
      <c r="E234">
        <v>10</v>
      </c>
      <c r="F234">
        <v>2</v>
      </c>
      <c r="G234">
        <v>7</v>
      </c>
      <c r="H234" t="s">
        <v>11</v>
      </c>
      <c r="I234">
        <v>13260</v>
      </c>
      <c r="J234">
        <v>1</v>
      </c>
      <c r="K234">
        <v>1</v>
      </c>
      <c r="L234">
        <v>0</v>
      </c>
      <c r="M234">
        <v>1</v>
      </c>
      <c r="N234">
        <f t="shared" si="6"/>
        <v>-1.7950482134624399</v>
      </c>
      <c r="O234">
        <f t="shared" si="7"/>
        <v>-0.37121128136588616</v>
      </c>
    </row>
    <row r="235" spans="1:15">
      <c r="A235">
        <v>1162</v>
      </c>
      <c r="B235">
        <v>124</v>
      </c>
      <c r="C235">
        <v>83</v>
      </c>
      <c r="D235">
        <v>267</v>
      </c>
      <c r="E235">
        <v>85</v>
      </c>
      <c r="F235">
        <v>59</v>
      </c>
      <c r="G235">
        <v>35</v>
      </c>
      <c r="H235" t="s">
        <v>12</v>
      </c>
      <c r="I235">
        <v>42000</v>
      </c>
      <c r="J235">
        <v>0</v>
      </c>
      <c r="K235">
        <v>0</v>
      </c>
      <c r="L235">
        <v>1</v>
      </c>
      <c r="M235">
        <v>0</v>
      </c>
      <c r="N235">
        <f t="shared" si="6"/>
        <v>-0.46531430838844562</v>
      </c>
      <c r="O235">
        <f t="shared" si="7"/>
        <v>-0.34936556267678698</v>
      </c>
    </row>
    <row r="236" spans="1:15">
      <c r="A236">
        <v>1165</v>
      </c>
      <c r="B236">
        <v>239</v>
      </c>
      <c r="C236">
        <v>13</v>
      </c>
      <c r="D236">
        <v>143</v>
      </c>
      <c r="E236">
        <v>45</v>
      </c>
      <c r="F236">
        <v>4</v>
      </c>
      <c r="G236">
        <v>52</v>
      </c>
      <c r="H236" t="s">
        <v>12</v>
      </c>
      <c r="I236">
        <v>50729</v>
      </c>
      <c r="J236">
        <v>1</v>
      </c>
      <c r="K236">
        <v>1</v>
      </c>
      <c r="L236">
        <v>1</v>
      </c>
      <c r="M236">
        <v>0</v>
      </c>
      <c r="N236">
        <f t="shared" si="6"/>
        <v>-6.1443492195303789E-2</v>
      </c>
      <c r="O236">
        <f t="shared" si="7"/>
        <v>-2.9358578262160102E-2</v>
      </c>
    </row>
    <row r="237" spans="1:15">
      <c r="A237">
        <v>1168</v>
      </c>
      <c r="B237">
        <v>322</v>
      </c>
      <c r="C237">
        <v>53</v>
      </c>
      <c r="D237">
        <v>899</v>
      </c>
      <c r="E237">
        <v>34</v>
      </c>
      <c r="F237">
        <v>40</v>
      </c>
      <c r="G237">
        <v>53</v>
      </c>
      <c r="H237" t="s">
        <v>11</v>
      </c>
      <c r="I237">
        <v>72159</v>
      </c>
      <c r="J237">
        <v>0</v>
      </c>
      <c r="K237">
        <v>0</v>
      </c>
      <c r="L237">
        <v>0</v>
      </c>
      <c r="M237">
        <v>1</v>
      </c>
      <c r="N237">
        <f t="shared" si="6"/>
        <v>0.93007347320955702</v>
      </c>
      <c r="O237">
        <f t="shared" si="7"/>
        <v>0.97444486995766277</v>
      </c>
    </row>
    <row r="238" spans="1:15">
      <c r="A238">
        <v>1170</v>
      </c>
      <c r="B238">
        <v>50</v>
      </c>
      <c r="C238">
        <v>15</v>
      </c>
      <c r="D238">
        <v>110</v>
      </c>
      <c r="E238">
        <v>39</v>
      </c>
      <c r="F238">
        <v>15</v>
      </c>
      <c r="G238">
        <v>15</v>
      </c>
      <c r="H238" t="s">
        <v>11</v>
      </c>
      <c r="I238">
        <v>27573</v>
      </c>
      <c r="J238">
        <v>1</v>
      </c>
      <c r="K238">
        <v>0</v>
      </c>
      <c r="L238">
        <v>0</v>
      </c>
      <c r="M238">
        <v>1</v>
      </c>
      <c r="N238">
        <f t="shared" si="6"/>
        <v>-1.1328185202361323</v>
      </c>
      <c r="O238">
        <f t="shared" si="7"/>
        <v>-0.20836672930002842</v>
      </c>
    </row>
    <row r="239" spans="1:15">
      <c r="A239">
        <v>1172</v>
      </c>
      <c r="B239">
        <v>979</v>
      </c>
      <c r="C239">
        <v>44</v>
      </c>
      <c r="D239">
        <v>935</v>
      </c>
      <c r="E239">
        <v>29</v>
      </c>
      <c r="F239">
        <v>25</v>
      </c>
      <c r="G239">
        <v>22</v>
      </c>
      <c r="H239" t="s">
        <v>11</v>
      </c>
      <c r="I239">
        <v>92491</v>
      </c>
      <c r="J239">
        <v>0</v>
      </c>
      <c r="K239">
        <v>0</v>
      </c>
      <c r="L239">
        <v>0</v>
      </c>
      <c r="M239">
        <v>1</v>
      </c>
      <c r="N239">
        <f t="shared" si="6"/>
        <v>1.8707884961032402</v>
      </c>
      <c r="O239">
        <f t="shared" si="7"/>
        <v>0.99458018009750881</v>
      </c>
    </row>
    <row r="240" spans="1:15">
      <c r="A240">
        <v>1173</v>
      </c>
      <c r="B240">
        <v>1200</v>
      </c>
      <c r="C240">
        <v>105</v>
      </c>
      <c r="D240">
        <v>758</v>
      </c>
      <c r="E240">
        <v>0</v>
      </c>
      <c r="F240">
        <v>42</v>
      </c>
      <c r="G240">
        <v>147</v>
      </c>
      <c r="H240" t="s">
        <v>11</v>
      </c>
      <c r="I240">
        <v>77632</v>
      </c>
      <c r="J240">
        <v>0</v>
      </c>
      <c r="K240">
        <v>0</v>
      </c>
      <c r="L240">
        <v>0</v>
      </c>
      <c r="M240">
        <v>1</v>
      </c>
      <c r="N240">
        <f t="shared" si="6"/>
        <v>1.183296634742959</v>
      </c>
      <c r="O240">
        <f t="shared" si="7"/>
        <v>0.99432485099059742</v>
      </c>
    </row>
    <row r="241" spans="1:15">
      <c r="A241">
        <v>1175</v>
      </c>
      <c r="B241">
        <v>88</v>
      </c>
      <c r="C241">
        <v>39</v>
      </c>
      <c r="D241">
        <v>54</v>
      </c>
      <c r="E241">
        <v>64</v>
      </c>
      <c r="F241">
        <v>28</v>
      </c>
      <c r="G241">
        <v>153</v>
      </c>
      <c r="H241" t="s">
        <v>11</v>
      </c>
      <c r="I241">
        <v>36262</v>
      </c>
      <c r="J241">
        <v>0</v>
      </c>
      <c r="K241">
        <v>0</v>
      </c>
      <c r="L241">
        <v>0</v>
      </c>
      <c r="M241">
        <v>1</v>
      </c>
      <c r="N241">
        <f t="shared" si="6"/>
        <v>-0.73079841233119369</v>
      </c>
      <c r="O241">
        <f t="shared" si="7"/>
        <v>-3.6038322118855902E-2</v>
      </c>
    </row>
    <row r="242" spans="1:15">
      <c r="A242">
        <v>1176</v>
      </c>
      <c r="B242">
        <v>2</v>
      </c>
      <c r="C242">
        <v>6</v>
      </c>
      <c r="D242">
        <v>4</v>
      </c>
      <c r="E242">
        <v>3</v>
      </c>
      <c r="F242">
        <v>1</v>
      </c>
      <c r="G242">
        <v>9</v>
      </c>
      <c r="H242" t="s">
        <v>11</v>
      </c>
      <c r="I242">
        <v>26228</v>
      </c>
      <c r="J242">
        <v>1</v>
      </c>
      <c r="K242">
        <v>0</v>
      </c>
      <c r="L242">
        <v>0</v>
      </c>
      <c r="M242">
        <v>1</v>
      </c>
      <c r="N242">
        <f t="shared" si="6"/>
        <v>-1.1950485864269647</v>
      </c>
      <c r="O242">
        <f t="shared" si="7"/>
        <v>-0.23174996343839743</v>
      </c>
    </row>
    <row r="243" spans="1:15">
      <c r="A243">
        <v>1177</v>
      </c>
      <c r="B243">
        <v>80</v>
      </c>
      <c r="C243">
        <v>3</v>
      </c>
      <c r="D243">
        <v>26</v>
      </c>
      <c r="E243">
        <v>4</v>
      </c>
      <c r="F243">
        <v>2</v>
      </c>
      <c r="G243">
        <v>14</v>
      </c>
      <c r="H243" t="s">
        <v>11</v>
      </c>
      <c r="I243">
        <v>49618</v>
      </c>
      <c r="J243">
        <v>1</v>
      </c>
      <c r="K243">
        <v>1</v>
      </c>
      <c r="L243">
        <v>0</v>
      </c>
      <c r="M243">
        <v>1</v>
      </c>
      <c r="N243">
        <f t="shared" si="6"/>
        <v>-0.11284691490014749</v>
      </c>
      <c r="O243">
        <f t="shared" si="7"/>
        <v>0.26911053671593721</v>
      </c>
    </row>
    <row r="244" spans="1:15">
      <c r="A244">
        <v>1183</v>
      </c>
      <c r="B244">
        <v>9</v>
      </c>
      <c r="C244">
        <v>1</v>
      </c>
      <c r="D244">
        <v>4</v>
      </c>
      <c r="E244">
        <v>3</v>
      </c>
      <c r="F244">
        <v>2</v>
      </c>
      <c r="G244">
        <v>3</v>
      </c>
      <c r="H244" t="s">
        <v>11</v>
      </c>
      <c r="I244">
        <v>36408</v>
      </c>
      <c r="J244">
        <v>1</v>
      </c>
      <c r="K244">
        <v>1</v>
      </c>
      <c r="L244">
        <v>0</v>
      </c>
      <c r="M244">
        <v>1</v>
      </c>
      <c r="N244">
        <f t="shared" si="6"/>
        <v>-0.72404332707925201</v>
      </c>
      <c r="O244">
        <f t="shared" si="7"/>
        <v>-2.0797004129250823E-2</v>
      </c>
    </row>
    <row r="245" spans="1:15">
      <c r="A245">
        <v>1184</v>
      </c>
      <c r="B245">
        <v>554</v>
      </c>
      <c r="C245">
        <v>41</v>
      </c>
      <c r="D245">
        <v>215</v>
      </c>
      <c r="E245">
        <v>11</v>
      </c>
      <c r="F245">
        <v>0</v>
      </c>
      <c r="G245">
        <v>24</v>
      </c>
      <c r="H245" t="s">
        <v>12</v>
      </c>
      <c r="I245">
        <v>69674</v>
      </c>
      <c r="J245">
        <v>0</v>
      </c>
      <c r="K245">
        <v>2</v>
      </c>
      <c r="L245">
        <v>1</v>
      </c>
      <c r="M245">
        <v>0</v>
      </c>
      <c r="N245">
        <f t="shared" si="6"/>
        <v>0.81509822080493366</v>
      </c>
      <c r="O245">
        <f t="shared" si="7"/>
        <v>0.28361317980711315</v>
      </c>
    </row>
    <row r="246" spans="1:15">
      <c r="A246">
        <v>1204</v>
      </c>
      <c r="B246">
        <v>1253</v>
      </c>
      <c r="C246">
        <v>0</v>
      </c>
      <c r="D246">
        <v>447</v>
      </c>
      <c r="E246">
        <v>23</v>
      </c>
      <c r="F246">
        <v>71</v>
      </c>
      <c r="G246">
        <v>35</v>
      </c>
      <c r="H246" t="s">
        <v>11</v>
      </c>
      <c r="I246">
        <v>67536</v>
      </c>
      <c r="J246">
        <v>0</v>
      </c>
      <c r="K246">
        <v>1</v>
      </c>
      <c r="L246">
        <v>0</v>
      </c>
      <c r="M246">
        <v>1</v>
      </c>
      <c r="N246">
        <f t="shared" si="6"/>
        <v>0.71617786280047291</v>
      </c>
      <c r="O246">
        <f t="shared" si="7"/>
        <v>0.72774465041796133</v>
      </c>
    </row>
    <row r="247" spans="1:15">
      <c r="A247">
        <v>1212</v>
      </c>
      <c r="B247">
        <v>384</v>
      </c>
      <c r="C247">
        <v>25</v>
      </c>
      <c r="D247">
        <v>292</v>
      </c>
      <c r="E247">
        <v>130</v>
      </c>
      <c r="F247">
        <v>41</v>
      </c>
      <c r="G247">
        <v>64</v>
      </c>
      <c r="H247" t="s">
        <v>11</v>
      </c>
      <c r="I247">
        <v>52845</v>
      </c>
      <c r="J247">
        <v>1</v>
      </c>
      <c r="K247">
        <v>0</v>
      </c>
      <c r="L247">
        <v>0</v>
      </c>
      <c r="M247">
        <v>1</v>
      </c>
      <c r="N247">
        <f t="shared" si="6"/>
        <v>3.6458976250645134E-2</v>
      </c>
      <c r="O247">
        <f t="shared" si="7"/>
        <v>0.41758064705922815</v>
      </c>
    </row>
    <row r="248" spans="1:15">
      <c r="A248">
        <v>1215</v>
      </c>
      <c r="B248">
        <v>690</v>
      </c>
      <c r="C248">
        <v>117</v>
      </c>
      <c r="D248">
        <v>499</v>
      </c>
      <c r="E248">
        <v>76</v>
      </c>
      <c r="F248">
        <v>102</v>
      </c>
      <c r="G248">
        <v>88</v>
      </c>
      <c r="H248" t="s">
        <v>11</v>
      </c>
      <c r="I248">
        <v>70440</v>
      </c>
      <c r="J248">
        <v>0</v>
      </c>
      <c r="K248">
        <v>0</v>
      </c>
      <c r="L248">
        <v>0</v>
      </c>
      <c r="M248">
        <v>1</v>
      </c>
      <c r="N248">
        <f t="shared" si="6"/>
        <v>0.85053928452402472</v>
      </c>
      <c r="O248">
        <f t="shared" si="7"/>
        <v>0.96352055109080648</v>
      </c>
    </row>
    <row r="249" spans="1:15">
      <c r="A249">
        <v>1225</v>
      </c>
      <c r="B249">
        <v>483</v>
      </c>
      <c r="C249">
        <v>84</v>
      </c>
      <c r="D249">
        <v>398</v>
      </c>
      <c r="E249">
        <v>205</v>
      </c>
      <c r="F249">
        <v>84</v>
      </c>
      <c r="G249">
        <v>241</v>
      </c>
      <c r="H249" t="s">
        <v>11</v>
      </c>
      <c r="I249">
        <v>80124</v>
      </c>
      <c r="J249">
        <v>0</v>
      </c>
      <c r="K249">
        <v>0</v>
      </c>
      <c r="L249">
        <v>0</v>
      </c>
      <c r="M249">
        <v>1</v>
      </c>
      <c r="N249">
        <f t="shared" si="6"/>
        <v>1.2985957610980179</v>
      </c>
      <c r="O249">
        <f t="shared" si="7"/>
        <v>0.99812996047842695</v>
      </c>
    </row>
    <row r="250" spans="1:15">
      <c r="A250">
        <v>1232</v>
      </c>
      <c r="B250">
        <v>587</v>
      </c>
      <c r="C250">
        <v>54</v>
      </c>
      <c r="D250">
        <v>348</v>
      </c>
      <c r="E250">
        <v>71</v>
      </c>
      <c r="F250">
        <v>54</v>
      </c>
      <c r="G250">
        <v>130</v>
      </c>
      <c r="H250" t="s">
        <v>11</v>
      </c>
      <c r="I250">
        <v>70038</v>
      </c>
      <c r="J250">
        <v>0</v>
      </c>
      <c r="K250">
        <v>0</v>
      </c>
      <c r="L250">
        <v>0</v>
      </c>
      <c r="M250">
        <v>1</v>
      </c>
      <c r="N250">
        <f t="shared" si="6"/>
        <v>0.83193966622758264</v>
      </c>
      <c r="O250">
        <f t="shared" si="7"/>
        <v>0.96054842556457953</v>
      </c>
    </row>
    <row r="251" spans="1:15">
      <c r="A251">
        <v>1241</v>
      </c>
      <c r="B251">
        <v>13</v>
      </c>
      <c r="C251">
        <v>3</v>
      </c>
      <c r="D251">
        <v>8</v>
      </c>
      <c r="E251">
        <v>7</v>
      </c>
      <c r="F251">
        <v>4</v>
      </c>
      <c r="G251">
        <v>16</v>
      </c>
      <c r="H251" t="s">
        <v>11</v>
      </c>
      <c r="I251">
        <v>14796</v>
      </c>
      <c r="J251">
        <v>1</v>
      </c>
      <c r="K251">
        <v>0</v>
      </c>
      <c r="L251">
        <v>0</v>
      </c>
      <c r="M251">
        <v>1</v>
      </c>
      <c r="N251">
        <f t="shared" si="6"/>
        <v>-1.7239810151954373</v>
      </c>
      <c r="O251">
        <f t="shared" si="7"/>
        <v>-0.38886930556465699</v>
      </c>
    </row>
    <row r="252" spans="1:15">
      <c r="A252">
        <v>1245</v>
      </c>
      <c r="B252">
        <v>977</v>
      </c>
      <c r="C252">
        <v>12</v>
      </c>
      <c r="D252">
        <v>253</v>
      </c>
      <c r="E252">
        <v>16</v>
      </c>
      <c r="F252">
        <v>12</v>
      </c>
      <c r="G252">
        <v>101</v>
      </c>
      <c r="H252" t="s">
        <v>12</v>
      </c>
      <c r="I252">
        <v>63810</v>
      </c>
      <c r="J252">
        <v>0</v>
      </c>
      <c r="K252">
        <v>1</v>
      </c>
      <c r="L252">
        <v>1</v>
      </c>
      <c r="M252">
        <v>0</v>
      </c>
      <c r="N252">
        <f t="shared" si="6"/>
        <v>0.54378438575434551</v>
      </c>
      <c r="O252">
        <f t="shared" si="7"/>
        <v>0.297208946443551</v>
      </c>
    </row>
    <row r="253" spans="1:15">
      <c r="A253">
        <v>1250</v>
      </c>
      <c r="B253">
        <v>34</v>
      </c>
      <c r="C253">
        <v>6</v>
      </c>
      <c r="D253">
        <v>21</v>
      </c>
      <c r="E253">
        <v>11</v>
      </c>
      <c r="F253">
        <v>4</v>
      </c>
      <c r="G253">
        <v>8</v>
      </c>
      <c r="H253" t="s">
        <v>12</v>
      </c>
      <c r="I253">
        <v>37697</v>
      </c>
      <c r="J253">
        <v>1</v>
      </c>
      <c r="K253">
        <v>0</v>
      </c>
      <c r="L253">
        <v>1</v>
      </c>
      <c r="M253">
        <v>0</v>
      </c>
      <c r="N253">
        <f t="shared" si="6"/>
        <v>-0.66440425249190416</v>
      </c>
      <c r="O253">
        <f t="shared" si="7"/>
        <v>-0.35212985464699387</v>
      </c>
    </row>
    <row r="254" spans="1:15">
      <c r="A254">
        <v>1272</v>
      </c>
      <c r="B254">
        <v>664</v>
      </c>
      <c r="C254">
        <v>58</v>
      </c>
      <c r="D254">
        <v>83</v>
      </c>
      <c r="E254">
        <v>32</v>
      </c>
      <c r="F254">
        <v>0</v>
      </c>
      <c r="G254">
        <v>66</v>
      </c>
      <c r="H254" t="s">
        <v>12</v>
      </c>
      <c r="I254">
        <v>55250</v>
      </c>
      <c r="J254">
        <v>0</v>
      </c>
      <c r="K254">
        <v>1</v>
      </c>
      <c r="L254">
        <v>1</v>
      </c>
      <c r="M254">
        <v>0</v>
      </c>
      <c r="N254">
        <f t="shared" si="6"/>
        <v>0.14773281207886213</v>
      </c>
      <c r="O254">
        <f t="shared" si="7"/>
        <v>8.6039531202088598E-2</v>
      </c>
    </row>
    <row r="255" spans="1:15">
      <c r="A255">
        <v>1277</v>
      </c>
      <c r="B255">
        <v>434</v>
      </c>
      <c r="C255">
        <v>22</v>
      </c>
      <c r="D255">
        <v>388</v>
      </c>
      <c r="E255">
        <v>104</v>
      </c>
      <c r="F255">
        <v>22</v>
      </c>
      <c r="G255">
        <v>34</v>
      </c>
      <c r="H255" t="s">
        <v>11</v>
      </c>
      <c r="I255">
        <v>78468</v>
      </c>
      <c r="J255">
        <v>0</v>
      </c>
      <c r="K255">
        <v>0</v>
      </c>
      <c r="L255">
        <v>0</v>
      </c>
      <c r="M255">
        <v>1</v>
      </c>
      <c r="N255">
        <f t="shared" si="6"/>
        <v>1.2219764379664058</v>
      </c>
      <c r="O255">
        <f t="shared" si="7"/>
        <v>0.99588270577248283</v>
      </c>
    </row>
    <row r="256" spans="1:15">
      <c r="A256">
        <v>1291</v>
      </c>
      <c r="B256">
        <v>152</v>
      </c>
      <c r="C256">
        <v>9</v>
      </c>
      <c r="D256">
        <v>121</v>
      </c>
      <c r="E256">
        <v>12</v>
      </c>
      <c r="F256">
        <v>12</v>
      </c>
      <c r="G256">
        <v>45</v>
      </c>
      <c r="H256" t="s">
        <v>11</v>
      </c>
      <c r="I256">
        <v>27683</v>
      </c>
      <c r="J256">
        <v>1</v>
      </c>
      <c r="K256">
        <v>0</v>
      </c>
      <c r="L256">
        <v>0</v>
      </c>
      <c r="M256">
        <v>1</v>
      </c>
      <c r="N256">
        <f t="shared" si="6"/>
        <v>-1.1277290724435736</v>
      </c>
      <c r="O256">
        <f t="shared" si="7"/>
        <v>-0.20640267468366177</v>
      </c>
    </row>
    <row r="257" spans="1:15">
      <c r="A257">
        <v>1307</v>
      </c>
      <c r="B257">
        <v>27</v>
      </c>
      <c r="C257">
        <v>5</v>
      </c>
      <c r="D257">
        <v>8</v>
      </c>
      <c r="E257">
        <v>8</v>
      </c>
      <c r="F257">
        <v>3</v>
      </c>
      <c r="G257">
        <v>12</v>
      </c>
      <c r="H257" t="s">
        <v>12</v>
      </c>
      <c r="I257">
        <v>41986</v>
      </c>
      <c r="J257">
        <v>0</v>
      </c>
      <c r="K257">
        <v>1</v>
      </c>
      <c r="L257">
        <v>1</v>
      </c>
      <c r="M257">
        <v>0</v>
      </c>
      <c r="N257">
        <f t="shared" si="6"/>
        <v>-0.46596205628931675</v>
      </c>
      <c r="O257">
        <f t="shared" si="7"/>
        <v>-0.25914852483291101</v>
      </c>
    </row>
    <row r="258" spans="1:15">
      <c r="A258">
        <v>1321</v>
      </c>
      <c r="B258">
        <v>22</v>
      </c>
      <c r="C258">
        <v>2</v>
      </c>
      <c r="D258">
        <v>18</v>
      </c>
      <c r="E258">
        <v>0</v>
      </c>
      <c r="F258">
        <v>2</v>
      </c>
      <c r="G258">
        <v>12</v>
      </c>
      <c r="H258" t="s">
        <v>11</v>
      </c>
      <c r="I258">
        <v>26067</v>
      </c>
      <c r="J258">
        <v>1</v>
      </c>
      <c r="K258">
        <v>0</v>
      </c>
      <c r="L258">
        <v>0</v>
      </c>
      <c r="M258">
        <v>1</v>
      </c>
      <c r="N258">
        <f t="shared" si="6"/>
        <v>-1.2024976872869826</v>
      </c>
      <c r="O258">
        <f t="shared" si="7"/>
        <v>-0.23447170528028172</v>
      </c>
    </row>
    <row r="259" spans="1:15">
      <c r="A259">
        <v>1324</v>
      </c>
      <c r="B259">
        <v>23</v>
      </c>
      <c r="C259">
        <v>3</v>
      </c>
      <c r="D259">
        <v>21</v>
      </c>
      <c r="E259">
        <v>3</v>
      </c>
      <c r="F259">
        <v>19</v>
      </c>
      <c r="G259">
        <v>22</v>
      </c>
      <c r="H259" t="s">
        <v>11</v>
      </c>
      <c r="I259">
        <v>38872</v>
      </c>
      <c r="J259">
        <v>1</v>
      </c>
      <c r="K259">
        <v>0</v>
      </c>
      <c r="L259">
        <v>0</v>
      </c>
      <c r="M259">
        <v>1</v>
      </c>
      <c r="N259">
        <f t="shared" ref="N259:N322" si="8">STANDARDIZE(I259,$Q$1,$R$1)</f>
        <v>-0.61003969652593537</v>
      </c>
      <c r="O259">
        <f t="shared" ref="O259:O322" si="9">SUMPRODUCT(J259:N259,$Q$4:$U$4) / SQRT(SUMSQ(J259:N259) * SUMSQ($Q$4:$U$4))</f>
        <v>3.5948097218988721E-2</v>
      </c>
    </row>
    <row r="260" spans="1:15">
      <c r="A260">
        <v>1328</v>
      </c>
      <c r="B260">
        <v>261</v>
      </c>
      <c r="C260">
        <v>42</v>
      </c>
      <c r="D260">
        <v>144</v>
      </c>
      <c r="E260">
        <v>55</v>
      </c>
      <c r="F260">
        <v>48</v>
      </c>
      <c r="G260">
        <v>133</v>
      </c>
      <c r="H260" t="s">
        <v>11</v>
      </c>
      <c r="I260">
        <v>57937</v>
      </c>
      <c r="J260">
        <v>0</v>
      </c>
      <c r="K260">
        <v>1</v>
      </c>
      <c r="L260">
        <v>0</v>
      </c>
      <c r="M260">
        <v>1</v>
      </c>
      <c r="N260">
        <f t="shared" si="8"/>
        <v>0.27205414133891165</v>
      </c>
      <c r="O260">
        <f t="shared" si="9"/>
        <v>0.54567150981065804</v>
      </c>
    </row>
    <row r="261" spans="1:15">
      <c r="A261">
        <v>1331</v>
      </c>
      <c r="B261">
        <v>12</v>
      </c>
      <c r="C261">
        <v>6</v>
      </c>
      <c r="D261">
        <v>20</v>
      </c>
      <c r="E261">
        <v>30</v>
      </c>
      <c r="F261">
        <v>1</v>
      </c>
      <c r="G261">
        <v>3</v>
      </c>
      <c r="H261" t="s">
        <v>12</v>
      </c>
      <c r="I261">
        <v>35790</v>
      </c>
      <c r="J261">
        <v>1</v>
      </c>
      <c r="K261">
        <v>0</v>
      </c>
      <c r="L261">
        <v>1</v>
      </c>
      <c r="M261">
        <v>0</v>
      </c>
      <c r="N261">
        <f t="shared" si="8"/>
        <v>-0.75263677013199137</v>
      </c>
      <c r="O261">
        <f t="shared" si="9"/>
        <v>-0.38905486813449314</v>
      </c>
    </row>
    <row r="262" spans="1:15">
      <c r="A262">
        <v>1340</v>
      </c>
      <c r="B262">
        <v>551</v>
      </c>
      <c r="C262">
        <v>137</v>
      </c>
      <c r="D262">
        <v>792</v>
      </c>
      <c r="E262">
        <v>179</v>
      </c>
      <c r="F262">
        <v>103</v>
      </c>
      <c r="G262">
        <v>33</v>
      </c>
      <c r="H262" t="s">
        <v>11</v>
      </c>
      <c r="I262">
        <v>92910</v>
      </c>
      <c r="J262">
        <v>0</v>
      </c>
      <c r="K262">
        <v>0</v>
      </c>
      <c r="L262">
        <v>0</v>
      </c>
      <c r="M262">
        <v>1</v>
      </c>
      <c r="N262">
        <f t="shared" si="8"/>
        <v>1.8901746654221685</v>
      </c>
      <c r="O262">
        <f t="shared" si="9"/>
        <v>0.99412675060171674</v>
      </c>
    </row>
    <row r="263" spans="1:15">
      <c r="A263">
        <v>1343</v>
      </c>
      <c r="B263">
        <v>368</v>
      </c>
      <c r="C263">
        <v>24</v>
      </c>
      <c r="D263">
        <v>68</v>
      </c>
      <c r="E263">
        <v>38</v>
      </c>
      <c r="F263">
        <v>0</v>
      </c>
      <c r="G263">
        <v>88</v>
      </c>
      <c r="H263" t="s">
        <v>11</v>
      </c>
      <c r="I263">
        <v>58554</v>
      </c>
      <c r="J263">
        <v>1</v>
      </c>
      <c r="K263">
        <v>1</v>
      </c>
      <c r="L263">
        <v>0</v>
      </c>
      <c r="M263">
        <v>1</v>
      </c>
      <c r="N263">
        <f t="shared" si="8"/>
        <v>0.3006013166844459</v>
      </c>
      <c r="O263">
        <f t="shared" si="9"/>
        <v>0.46047345717317895</v>
      </c>
    </row>
    <row r="264" spans="1:15">
      <c r="A264">
        <v>1349</v>
      </c>
      <c r="B264">
        <v>85</v>
      </c>
      <c r="C264">
        <v>7</v>
      </c>
      <c r="D264">
        <v>24</v>
      </c>
      <c r="E264">
        <v>2</v>
      </c>
      <c r="F264">
        <v>3</v>
      </c>
      <c r="G264">
        <v>27</v>
      </c>
      <c r="H264" t="s">
        <v>11</v>
      </c>
      <c r="I264">
        <v>50447</v>
      </c>
      <c r="J264">
        <v>2</v>
      </c>
      <c r="K264">
        <v>0</v>
      </c>
      <c r="L264">
        <v>0</v>
      </c>
      <c r="M264">
        <v>1</v>
      </c>
      <c r="N264">
        <f t="shared" si="8"/>
        <v>-7.4490985627136311E-2</v>
      </c>
      <c r="O264">
        <f t="shared" si="9"/>
        <v>0.22297535514176903</v>
      </c>
    </row>
    <row r="265" spans="1:15">
      <c r="A265">
        <v>1351</v>
      </c>
      <c r="B265">
        <v>962</v>
      </c>
      <c r="C265">
        <v>12</v>
      </c>
      <c r="D265">
        <v>194</v>
      </c>
      <c r="E265">
        <v>16</v>
      </c>
      <c r="F265">
        <v>24</v>
      </c>
      <c r="G265">
        <v>12</v>
      </c>
      <c r="H265" t="s">
        <v>11</v>
      </c>
      <c r="I265">
        <v>58656</v>
      </c>
      <c r="J265">
        <v>0</v>
      </c>
      <c r="K265">
        <v>1</v>
      </c>
      <c r="L265">
        <v>0</v>
      </c>
      <c r="M265">
        <v>1</v>
      </c>
      <c r="N265">
        <f t="shared" si="8"/>
        <v>0.30532062281936401</v>
      </c>
      <c r="O265">
        <f t="shared" si="9"/>
        <v>0.56220332879165469</v>
      </c>
    </row>
    <row r="266" spans="1:15">
      <c r="A266">
        <v>1357</v>
      </c>
      <c r="B266">
        <v>856</v>
      </c>
      <c r="C266">
        <v>59</v>
      </c>
      <c r="D266">
        <v>487</v>
      </c>
      <c r="E266">
        <v>58</v>
      </c>
      <c r="F266">
        <v>29</v>
      </c>
      <c r="G266">
        <v>73</v>
      </c>
      <c r="H266" t="s">
        <v>11</v>
      </c>
      <c r="I266">
        <v>74854</v>
      </c>
      <c r="J266">
        <v>1</v>
      </c>
      <c r="K266">
        <v>2</v>
      </c>
      <c r="L266">
        <v>0</v>
      </c>
      <c r="M266">
        <v>1</v>
      </c>
      <c r="N266">
        <f t="shared" si="8"/>
        <v>1.0547649441272471</v>
      </c>
      <c r="O266">
        <f t="shared" si="9"/>
        <v>0.53770507231620368</v>
      </c>
    </row>
    <row r="267" spans="1:15">
      <c r="A267">
        <v>1361</v>
      </c>
      <c r="B267">
        <v>1076</v>
      </c>
      <c r="C267">
        <v>68</v>
      </c>
      <c r="D267">
        <v>103</v>
      </c>
      <c r="E267">
        <v>29</v>
      </c>
      <c r="F267">
        <v>91</v>
      </c>
      <c r="G267">
        <v>68</v>
      </c>
      <c r="H267" t="s">
        <v>11</v>
      </c>
      <c r="I267">
        <v>82584</v>
      </c>
      <c r="J267">
        <v>0</v>
      </c>
      <c r="K267">
        <v>0</v>
      </c>
      <c r="L267">
        <v>0</v>
      </c>
      <c r="M267">
        <v>1</v>
      </c>
      <c r="N267">
        <f t="shared" si="8"/>
        <v>1.4124143208225142</v>
      </c>
      <c r="O267">
        <f t="shared" si="9"/>
        <v>0.99977892643363664</v>
      </c>
    </row>
    <row r="268" spans="1:15">
      <c r="A268">
        <v>1362</v>
      </c>
      <c r="B268">
        <v>33</v>
      </c>
      <c r="C268">
        <v>87</v>
      </c>
      <c r="D268">
        <v>64</v>
      </c>
      <c r="E268">
        <v>175</v>
      </c>
      <c r="F268">
        <v>16</v>
      </c>
      <c r="G268">
        <v>74</v>
      </c>
      <c r="H268" t="s">
        <v>12</v>
      </c>
      <c r="I268">
        <v>31907</v>
      </c>
      <c r="J268">
        <v>0</v>
      </c>
      <c r="K268">
        <v>0</v>
      </c>
      <c r="L268">
        <v>1</v>
      </c>
      <c r="M268">
        <v>0</v>
      </c>
      <c r="N268">
        <f t="shared" si="8"/>
        <v>-0.93229427720931635</v>
      </c>
      <c r="O268">
        <f t="shared" si="9"/>
        <v>-0.56470438906004128</v>
      </c>
    </row>
    <row r="269" spans="1:15">
      <c r="A269">
        <v>1371</v>
      </c>
      <c r="B269">
        <v>123</v>
      </c>
      <c r="C269">
        <v>164</v>
      </c>
      <c r="D269">
        <v>266</v>
      </c>
      <c r="E269">
        <v>227</v>
      </c>
      <c r="F269">
        <v>30</v>
      </c>
      <c r="G269">
        <v>174</v>
      </c>
      <c r="H269" t="s">
        <v>12</v>
      </c>
      <c r="I269">
        <v>79941</v>
      </c>
      <c r="J269">
        <v>0</v>
      </c>
      <c r="K269">
        <v>0</v>
      </c>
      <c r="L269">
        <v>1</v>
      </c>
      <c r="M269">
        <v>0</v>
      </c>
      <c r="N269">
        <f t="shared" si="8"/>
        <v>1.2901287706794882</v>
      </c>
      <c r="O269">
        <f t="shared" si="9"/>
        <v>0.65452097721787383</v>
      </c>
    </row>
    <row r="270" spans="1:15">
      <c r="A270">
        <v>1377</v>
      </c>
      <c r="B270">
        <v>182</v>
      </c>
      <c r="C270">
        <v>4</v>
      </c>
      <c r="D270">
        <v>33</v>
      </c>
      <c r="E270">
        <v>0</v>
      </c>
      <c r="F270">
        <v>0</v>
      </c>
      <c r="G270">
        <v>66</v>
      </c>
      <c r="H270" t="s">
        <v>12</v>
      </c>
      <c r="I270">
        <v>44551</v>
      </c>
      <c r="J270">
        <v>0</v>
      </c>
      <c r="K270">
        <v>1</v>
      </c>
      <c r="L270">
        <v>1</v>
      </c>
      <c r="M270">
        <v>0</v>
      </c>
      <c r="N270">
        <f t="shared" si="8"/>
        <v>-0.34728538730828701</v>
      </c>
      <c r="O270">
        <f t="shared" si="9"/>
        <v>-0.19749188289636538</v>
      </c>
    </row>
    <row r="271" spans="1:15">
      <c r="A271">
        <v>1378</v>
      </c>
      <c r="B271">
        <v>284</v>
      </c>
      <c r="C271">
        <v>16</v>
      </c>
      <c r="D271">
        <v>160</v>
      </c>
      <c r="E271">
        <v>84</v>
      </c>
      <c r="F271">
        <v>16</v>
      </c>
      <c r="G271">
        <v>134</v>
      </c>
      <c r="H271" t="s">
        <v>11</v>
      </c>
      <c r="I271">
        <v>50334</v>
      </c>
      <c r="J271">
        <v>0</v>
      </c>
      <c r="K271">
        <v>1</v>
      </c>
      <c r="L271">
        <v>0</v>
      </c>
      <c r="M271">
        <v>1</v>
      </c>
      <c r="N271">
        <f t="shared" si="8"/>
        <v>-7.9719236541310329E-2</v>
      </c>
      <c r="O271">
        <f t="shared" si="9"/>
        <v>0.34913480568492716</v>
      </c>
    </row>
    <row r="272" spans="1:15">
      <c r="A272">
        <v>1379</v>
      </c>
      <c r="B272">
        <v>154</v>
      </c>
      <c r="C272">
        <v>2</v>
      </c>
      <c r="D272">
        <v>46</v>
      </c>
      <c r="E272">
        <v>20</v>
      </c>
      <c r="F272">
        <v>4</v>
      </c>
      <c r="G272">
        <v>15</v>
      </c>
      <c r="H272" t="s">
        <v>11</v>
      </c>
      <c r="I272">
        <v>42670</v>
      </c>
      <c r="J272">
        <v>0</v>
      </c>
      <c r="K272">
        <v>0</v>
      </c>
      <c r="L272">
        <v>0</v>
      </c>
      <c r="M272">
        <v>1</v>
      </c>
      <c r="N272">
        <f t="shared" si="8"/>
        <v>-0.43431494456104214</v>
      </c>
      <c r="O272">
        <f t="shared" si="9"/>
        <v>0.18425941539924057</v>
      </c>
    </row>
    <row r="273" spans="1:15">
      <c r="A273">
        <v>1381</v>
      </c>
      <c r="B273">
        <v>172</v>
      </c>
      <c r="C273">
        <v>3</v>
      </c>
      <c r="D273">
        <v>115</v>
      </c>
      <c r="E273">
        <v>16</v>
      </c>
      <c r="F273">
        <v>0</v>
      </c>
      <c r="G273">
        <v>18</v>
      </c>
      <c r="H273" t="s">
        <v>12</v>
      </c>
      <c r="I273">
        <v>38513</v>
      </c>
      <c r="J273">
        <v>1</v>
      </c>
      <c r="K273">
        <v>0</v>
      </c>
      <c r="L273">
        <v>1</v>
      </c>
      <c r="M273">
        <v>0</v>
      </c>
      <c r="N273">
        <f t="shared" si="8"/>
        <v>-0.62664980341255905</v>
      </c>
      <c r="O273">
        <f t="shared" si="9"/>
        <v>-0.33548610914623861</v>
      </c>
    </row>
    <row r="274" spans="1:15">
      <c r="A274">
        <v>1384</v>
      </c>
      <c r="B274">
        <v>6</v>
      </c>
      <c r="C274">
        <v>4</v>
      </c>
      <c r="D274">
        <v>14</v>
      </c>
      <c r="E274">
        <v>8</v>
      </c>
      <c r="F274">
        <v>8</v>
      </c>
      <c r="G274">
        <v>22</v>
      </c>
      <c r="H274" t="s">
        <v>11</v>
      </c>
      <c r="I274">
        <v>17256</v>
      </c>
      <c r="J274">
        <v>1</v>
      </c>
      <c r="K274">
        <v>0</v>
      </c>
      <c r="L274">
        <v>0</v>
      </c>
      <c r="M274">
        <v>1</v>
      </c>
      <c r="N274">
        <f t="shared" si="8"/>
        <v>-1.6101624554709411</v>
      </c>
      <c r="O274">
        <f t="shared" si="9"/>
        <v>-0.36063449824418004</v>
      </c>
    </row>
    <row r="275" spans="1:15">
      <c r="A275">
        <v>1386</v>
      </c>
      <c r="B275">
        <v>10</v>
      </c>
      <c r="C275">
        <v>0</v>
      </c>
      <c r="D275">
        <v>1</v>
      </c>
      <c r="E275">
        <v>0</v>
      </c>
      <c r="F275">
        <v>0</v>
      </c>
      <c r="G275">
        <v>0</v>
      </c>
      <c r="H275" t="s">
        <v>11</v>
      </c>
      <c r="I275">
        <v>32474</v>
      </c>
      <c r="J275">
        <v>1</v>
      </c>
      <c r="K275">
        <v>1</v>
      </c>
      <c r="L275">
        <v>0</v>
      </c>
      <c r="M275">
        <v>1</v>
      </c>
      <c r="N275">
        <f t="shared" si="8"/>
        <v>-0.90606048722403609</v>
      </c>
      <c r="O275">
        <f t="shared" si="9"/>
        <v>-9.7084824055133107E-2</v>
      </c>
    </row>
    <row r="276" spans="1:15">
      <c r="A276">
        <v>1399</v>
      </c>
      <c r="B276">
        <v>407</v>
      </c>
      <c r="C276">
        <v>114</v>
      </c>
      <c r="D276">
        <v>445</v>
      </c>
      <c r="E276">
        <v>181</v>
      </c>
      <c r="F276">
        <v>165</v>
      </c>
      <c r="G276">
        <v>203</v>
      </c>
      <c r="H276" t="s">
        <v>11</v>
      </c>
      <c r="I276">
        <v>72905</v>
      </c>
      <c r="J276">
        <v>0</v>
      </c>
      <c r="K276">
        <v>0</v>
      </c>
      <c r="L276">
        <v>0</v>
      </c>
      <c r="M276">
        <v>1</v>
      </c>
      <c r="N276">
        <f t="shared" si="8"/>
        <v>0.96458918278454653</v>
      </c>
      <c r="O276">
        <f t="shared" si="9"/>
        <v>0.97836972150596591</v>
      </c>
    </row>
    <row r="277" spans="1:15">
      <c r="A277">
        <v>1402</v>
      </c>
      <c r="B277">
        <v>496</v>
      </c>
      <c r="C277">
        <v>36</v>
      </c>
      <c r="D277">
        <v>460</v>
      </c>
      <c r="E277">
        <v>189</v>
      </c>
      <c r="F277">
        <v>60</v>
      </c>
      <c r="G277">
        <v>12</v>
      </c>
      <c r="H277" t="s">
        <v>11</v>
      </c>
      <c r="I277">
        <v>66991</v>
      </c>
      <c r="J277">
        <v>0</v>
      </c>
      <c r="K277">
        <v>0</v>
      </c>
      <c r="L277">
        <v>0</v>
      </c>
      <c r="M277">
        <v>1</v>
      </c>
      <c r="N277">
        <f t="shared" si="8"/>
        <v>0.69096196237370444</v>
      </c>
      <c r="O277">
        <f t="shared" si="9"/>
        <v>0.93192549891813903</v>
      </c>
    </row>
    <row r="278" spans="1:15">
      <c r="A278">
        <v>1403</v>
      </c>
      <c r="B278">
        <v>8</v>
      </c>
      <c r="C278">
        <v>4</v>
      </c>
      <c r="D278">
        <v>15</v>
      </c>
      <c r="E278">
        <v>3</v>
      </c>
      <c r="F278">
        <v>5</v>
      </c>
      <c r="G278">
        <v>3</v>
      </c>
      <c r="H278" t="s">
        <v>11</v>
      </c>
      <c r="I278">
        <v>34984</v>
      </c>
      <c r="J278">
        <v>1</v>
      </c>
      <c r="K278">
        <v>1</v>
      </c>
      <c r="L278">
        <v>0</v>
      </c>
      <c r="M278">
        <v>1</v>
      </c>
      <c r="N278">
        <f t="shared" si="8"/>
        <v>-0.78992854213928576</v>
      </c>
      <c r="O278">
        <f t="shared" si="9"/>
        <v>-4.9169540117224249E-2</v>
      </c>
    </row>
    <row r="279" spans="1:15">
      <c r="A279">
        <v>1404</v>
      </c>
      <c r="B279">
        <v>51</v>
      </c>
      <c r="C279">
        <v>23</v>
      </c>
      <c r="D279">
        <v>82</v>
      </c>
      <c r="E279">
        <v>33</v>
      </c>
      <c r="F279">
        <v>0</v>
      </c>
      <c r="G279">
        <v>42</v>
      </c>
      <c r="H279" t="s">
        <v>11</v>
      </c>
      <c r="I279">
        <v>34916</v>
      </c>
      <c r="J279">
        <v>2</v>
      </c>
      <c r="K279">
        <v>0</v>
      </c>
      <c r="L279">
        <v>0</v>
      </c>
      <c r="M279">
        <v>1</v>
      </c>
      <c r="N279">
        <f t="shared" si="8"/>
        <v>-0.79307474622923113</v>
      </c>
      <c r="O279">
        <f t="shared" si="9"/>
        <v>-4.055071085781424E-2</v>
      </c>
    </row>
    <row r="280" spans="1:15">
      <c r="A280">
        <v>1406</v>
      </c>
      <c r="B280">
        <v>280</v>
      </c>
      <c r="C280">
        <v>7</v>
      </c>
      <c r="D280">
        <v>81</v>
      </c>
      <c r="E280">
        <v>20</v>
      </c>
      <c r="F280">
        <v>0</v>
      </c>
      <c r="G280">
        <v>27</v>
      </c>
      <c r="H280" t="s">
        <v>12</v>
      </c>
      <c r="I280">
        <v>53201</v>
      </c>
      <c r="J280">
        <v>1</v>
      </c>
      <c r="K280">
        <v>1</v>
      </c>
      <c r="L280">
        <v>1</v>
      </c>
      <c r="M280">
        <v>0</v>
      </c>
      <c r="N280">
        <f t="shared" si="8"/>
        <v>5.2930280015653551E-2</v>
      </c>
      <c r="O280">
        <f t="shared" si="9"/>
        <v>2.5294943946584655E-2</v>
      </c>
    </row>
    <row r="281" spans="1:15">
      <c r="A281">
        <v>1407</v>
      </c>
      <c r="B281">
        <v>4</v>
      </c>
      <c r="C281">
        <v>12</v>
      </c>
      <c r="D281">
        <v>5</v>
      </c>
      <c r="E281">
        <v>3</v>
      </c>
      <c r="F281">
        <v>16</v>
      </c>
      <c r="G281">
        <v>17</v>
      </c>
      <c r="H281" t="s">
        <v>11</v>
      </c>
      <c r="I281">
        <v>20425</v>
      </c>
      <c r="J281">
        <v>1</v>
      </c>
      <c r="K281">
        <v>0</v>
      </c>
      <c r="L281">
        <v>0</v>
      </c>
      <c r="M281">
        <v>1</v>
      </c>
      <c r="N281">
        <f t="shared" si="8"/>
        <v>-1.463540091338043</v>
      </c>
      <c r="O281">
        <f t="shared" si="9"/>
        <v>-0.32008678321772616</v>
      </c>
    </row>
    <row r="282" spans="1:15">
      <c r="A282">
        <v>1409</v>
      </c>
      <c r="B282">
        <v>270</v>
      </c>
      <c r="C282">
        <v>3</v>
      </c>
      <c r="D282">
        <v>27</v>
      </c>
      <c r="E282">
        <v>39</v>
      </c>
      <c r="F282">
        <v>6</v>
      </c>
      <c r="G282">
        <v>99</v>
      </c>
      <c r="H282" t="s">
        <v>11</v>
      </c>
      <c r="I282">
        <v>40689</v>
      </c>
      <c r="J282">
        <v>0</v>
      </c>
      <c r="K282">
        <v>1</v>
      </c>
      <c r="L282">
        <v>0</v>
      </c>
      <c r="M282">
        <v>1</v>
      </c>
      <c r="N282">
        <f t="shared" si="8"/>
        <v>-0.52597127253430531</v>
      </c>
      <c r="O282">
        <f t="shared" si="9"/>
        <v>8.2834388161934752E-2</v>
      </c>
    </row>
    <row r="283" spans="1:15">
      <c r="A283">
        <v>1411</v>
      </c>
      <c r="B283">
        <v>204</v>
      </c>
      <c r="C283">
        <v>34</v>
      </c>
      <c r="D283">
        <v>204</v>
      </c>
      <c r="E283">
        <v>172</v>
      </c>
      <c r="F283">
        <v>153</v>
      </c>
      <c r="G283">
        <v>173</v>
      </c>
      <c r="H283" t="s">
        <v>12</v>
      </c>
      <c r="I283">
        <v>82623</v>
      </c>
      <c r="J283">
        <v>0</v>
      </c>
      <c r="K283">
        <v>0</v>
      </c>
      <c r="L283">
        <v>1</v>
      </c>
      <c r="M283">
        <v>0</v>
      </c>
      <c r="N283">
        <f t="shared" si="8"/>
        <v>1.4142187614035124</v>
      </c>
      <c r="O283">
        <f t="shared" si="9"/>
        <v>0.67615731816022329</v>
      </c>
    </row>
    <row r="284" spans="1:15">
      <c r="A284">
        <v>1419</v>
      </c>
      <c r="B284">
        <v>18</v>
      </c>
      <c r="C284">
        <v>6</v>
      </c>
      <c r="D284">
        <v>15</v>
      </c>
      <c r="E284">
        <v>12</v>
      </c>
      <c r="F284">
        <v>8</v>
      </c>
      <c r="G284">
        <v>17</v>
      </c>
      <c r="H284" t="s">
        <v>11</v>
      </c>
      <c r="I284">
        <v>34026</v>
      </c>
      <c r="J284">
        <v>1</v>
      </c>
      <c r="K284">
        <v>1</v>
      </c>
      <c r="L284">
        <v>0</v>
      </c>
      <c r="M284">
        <v>1</v>
      </c>
      <c r="N284">
        <f t="shared" si="8"/>
        <v>-0.8342530056417522</v>
      </c>
      <c r="O284">
        <f t="shared" si="9"/>
        <v>-6.7781207216763215E-2</v>
      </c>
    </row>
    <row r="285" spans="1:15">
      <c r="A285">
        <v>1440</v>
      </c>
      <c r="B285">
        <v>367</v>
      </c>
      <c r="C285">
        <v>17</v>
      </c>
      <c r="D285">
        <v>241</v>
      </c>
      <c r="E285">
        <v>104</v>
      </c>
      <c r="F285">
        <v>188</v>
      </c>
      <c r="G285">
        <v>232</v>
      </c>
      <c r="H285" t="s">
        <v>11</v>
      </c>
      <c r="I285">
        <v>52513</v>
      </c>
      <c r="J285">
        <v>0</v>
      </c>
      <c r="K285">
        <v>0</v>
      </c>
      <c r="L285">
        <v>0</v>
      </c>
      <c r="M285">
        <v>1</v>
      </c>
      <c r="N285">
        <f t="shared" si="8"/>
        <v>2.1098097458558628E-2</v>
      </c>
      <c r="O285">
        <f t="shared" si="9"/>
        <v>0.57789518604061807</v>
      </c>
    </row>
    <row r="286" spans="1:15">
      <c r="A286">
        <v>1446</v>
      </c>
      <c r="B286">
        <v>387</v>
      </c>
      <c r="C286">
        <v>68</v>
      </c>
      <c r="D286">
        <v>569</v>
      </c>
      <c r="E286">
        <v>89</v>
      </c>
      <c r="F286">
        <v>45</v>
      </c>
      <c r="G286">
        <v>68</v>
      </c>
      <c r="H286" t="s">
        <v>12</v>
      </c>
      <c r="I286">
        <v>86424</v>
      </c>
      <c r="J286">
        <v>0</v>
      </c>
      <c r="K286">
        <v>0</v>
      </c>
      <c r="L286">
        <v>1</v>
      </c>
      <c r="M286">
        <v>0</v>
      </c>
      <c r="N286">
        <f t="shared" si="8"/>
        <v>1.5900823164900209</v>
      </c>
      <c r="O286">
        <f t="shared" si="9"/>
        <v>0.70101272877067666</v>
      </c>
    </row>
    <row r="287" spans="1:15">
      <c r="A287">
        <v>1448</v>
      </c>
      <c r="B287">
        <v>21</v>
      </c>
      <c r="C287">
        <v>12</v>
      </c>
      <c r="D287">
        <v>12</v>
      </c>
      <c r="E287">
        <v>0</v>
      </c>
      <c r="F287">
        <v>3</v>
      </c>
      <c r="G287">
        <v>3</v>
      </c>
      <c r="H287" t="s">
        <v>11</v>
      </c>
      <c r="I287">
        <v>33562</v>
      </c>
      <c r="J287">
        <v>1</v>
      </c>
      <c r="K287">
        <v>2</v>
      </c>
      <c r="L287">
        <v>0</v>
      </c>
      <c r="M287">
        <v>1</v>
      </c>
      <c r="N287">
        <f t="shared" si="8"/>
        <v>-0.85572122178490928</v>
      </c>
      <c r="O287">
        <f t="shared" si="9"/>
        <v>-5.7073811145174166E-2</v>
      </c>
    </row>
    <row r="288" spans="1:15">
      <c r="A288">
        <v>1453</v>
      </c>
      <c r="B288">
        <v>735</v>
      </c>
      <c r="C288">
        <v>40</v>
      </c>
      <c r="D288">
        <v>183</v>
      </c>
      <c r="E288">
        <v>52</v>
      </c>
      <c r="F288">
        <v>20</v>
      </c>
      <c r="G288">
        <v>30</v>
      </c>
      <c r="H288" t="s">
        <v>12</v>
      </c>
      <c r="I288">
        <v>57513</v>
      </c>
      <c r="J288">
        <v>0</v>
      </c>
      <c r="K288">
        <v>0</v>
      </c>
      <c r="L288">
        <v>1</v>
      </c>
      <c r="M288">
        <v>0</v>
      </c>
      <c r="N288">
        <f t="shared" si="8"/>
        <v>0.25243663348395778</v>
      </c>
      <c r="O288">
        <f t="shared" si="9"/>
        <v>0.2026892422493525</v>
      </c>
    </row>
    <row r="289" spans="1:15">
      <c r="A289">
        <v>1456</v>
      </c>
      <c r="B289">
        <v>265</v>
      </c>
      <c r="C289">
        <v>199</v>
      </c>
      <c r="D289">
        <v>303</v>
      </c>
      <c r="E289">
        <v>234</v>
      </c>
      <c r="F289">
        <v>9</v>
      </c>
      <c r="G289">
        <v>170</v>
      </c>
      <c r="H289" t="s">
        <v>12</v>
      </c>
      <c r="I289">
        <v>60474</v>
      </c>
      <c r="J289">
        <v>0</v>
      </c>
      <c r="K289">
        <v>1</v>
      </c>
      <c r="L289">
        <v>1</v>
      </c>
      <c r="M289">
        <v>0</v>
      </c>
      <c r="N289">
        <f t="shared" si="8"/>
        <v>0.38943531451819918</v>
      </c>
      <c r="O289">
        <f t="shared" si="9"/>
        <v>0.21985754395120669</v>
      </c>
    </row>
    <row r="290" spans="1:15">
      <c r="A290">
        <v>1458</v>
      </c>
      <c r="B290">
        <v>8</v>
      </c>
      <c r="C290">
        <v>3</v>
      </c>
      <c r="D290">
        <v>19</v>
      </c>
      <c r="E290">
        <v>3</v>
      </c>
      <c r="F290">
        <v>3</v>
      </c>
      <c r="G290">
        <v>8</v>
      </c>
      <c r="H290" t="s">
        <v>11</v>
      </c>
      <c r="I290">
        <v>21059</v>
      </c>
      <c r="J290">
        <v>1</v>
      </c>
      <c r="K290">
        <v>0</v>
      </c>
      <c r="L290">
        <v>0</v>
      </c>
      <c r="M290">
        <v>1</v>
      </c>
      <c r="N290">
        <f t="shared" si="8"/>
        <v>-1.4342063649700223</v>
      </c>
      <c r="O290">
        <f t="shared" si="9"/>
        <v>-0.31136228766221491</v>
      </c>
    </row>
    <row r="291" spans="1:15">
      <c r="A291">
        <v>1459</v>
      </c>
      <c r="B291">
        <v>666</v>
      </c>
      <c r="C291">
        <v>35</v>
      </c>
      <c r="D291">
        <v>124</v>
      </c>
      <c r="E291">
        <v>69</v>
      </c>
      <c r="F291">
        <v>8</v>
      </c>
      <c r="G291">
        <v>26</v>
      </c>
      <c r="H291" t="s">
        <v>11</v>
      </c>
      <c r="I291">
        <v>69063</v>
      </c>
      <c r="J291">
        <v>0</v>
      </c>
      <c r="K291">
        <v>1</v>
      </c>
      <c r="L291">
        <v>0</v>
      </c>
      <c r="M291">
        <v>1</v>
      </c>
      <c r="N291">
        <f t="shared" si="8"/>
        <v>0.78682865170262983</v>
      </c>
      <c r="O291">
        <f t="shared" si="9"/>
        <v>0.74899131863346391</v>
      </c>
    </row>
    <row r="292" spans="1:15">
      <c r="A292">
        <v>1461</v>
      </c>
      <c r="B292">
        <v>17</v>
      </c>
      <c r="C292">
        <v>1</v>
      </c>
      <c r="D292">
        <v>12</v>
      </c>
      <c r="E292">
        <v>3</v>
      </c>
      <c r="F292">
        <v>1</v>
      </c>
      <c r="G292">
        <v>4</v>
      </c>
      <c r="H292" t="s">
        <v>12</v>
      </c>
      <c r="I292">
        <v>36921</v>
      </c>
      <c r="J292">
        <v>1</v>
      </c>
      <c r="K292">
        <v>1</v>
      </c>
      <c r="L292">
        <v>1</v>
      </c>
      <c r="M292">
        <v>0</v>
      </c>
      <c r="N292">
        <f t="shared" si="8"/>
        <v>-0.70030799328304616</v>
      </c>
      <c r="O292">
        <f t="shared" si="9"/>
        <v>-0.3104147769835624</v>
      </c>
    </row>
    <row r="293" spans="1:15">
      <c r="A293">
        <v>1463</v>
      </c>
      <c r="B293">
        <v>8</v>
      </c>
      <c r="C293">
        <v>2</v>
      </c>
      <c r="D293">
        <v>5</v>
      </c>
      <c r="E293">
        <v>3</v>
      </c>
      <c r="F293">
        <v>0</v>
      </c>
      <c r="G293">
        <v>3</v>
      </c>
      <c r="H293" t="s">
        <v>12</v>
      </c>
      <c r="I293">
        <v>45160</v>
      </c>
      <c r="J293">
        <v>1</v>
      </c>
      <c r="K293">
        <v>1</v>
      </c>
      <c r="L293">
        <v>1</v>
      </c>
      <c r="M293">
        <v>0</v>
      </c>
      <c r="N293">
        <f t="shared" si="8"/>
        <v>-0.31910835362039336</v>
      </c>
      <c r="O293">
        <f t="shared" si="9"/>
        <v>-0.15004516918882807</v>
      </c>
    </row>
    <row r="294" spans="1:15">
      <c r="A294">
        <v>1473</v>
      </c>
      <c r="B294">
        <v>53</v>
      </c>
      <c r="C294">
        <v>1</v>
      </c>
      <c r="D294">
        <v>5</v>
      </c>
      <c r="E294">
        <v>2</v>
      </c>
      <c r="F294">
        <v>1</v>
      </c>
      <c r="G294">
        <v>10</v>
      </c>
      <c r="H294" t="s">
        <v>12</v>
      </c>
      <c r="I294">
        <v>47823</v>
      </c>
      <c r="J294">
        <v>0</v>
      </c>
      <c r="K294">
        <v>1</v>
      </c>
      <c r="L294">
        <v>1</v>
      </c>
      <c r="M294">
        <v>0</v>
      </c>
      <c r="N294">
        <f t="shared" si="8"/>
        <v>-0.19589744933326578</v>
      </c>
      <c r="O294">
        <f t="shared" si="9"/>
        <v>-0.11362646692699613</v>
      </c>
    </row>
    <row r="295" spans="1:15">
      <c r="A295">
        <v>1490</v>
      </c>
      <c r="B295">
        <v>675</v>
      </c>
      <c r="C295">
        <v>0</v>
      </c>
      <c r="D295">
        <v>85</v>
      </c>
      <c r="E295">
        <v>10</v>
      </c>
      <c r="F295">
        <v>7</v>
      </c>
      <c r="G295">
        <v>77</v>
      </c>
      <c r="H295" t="s">
        <v>11</v>
      </c>
      <c r="I295">
        <v>55759</v>
      </c>
      <c r="J295">
        <v>0</v>
      </c>
      <c r="K295">
        <v>1</v>
      </c>
      <c r="L295">
        <v>0</v>
      </c>
      <c r="M295">
        <v>1</v>
      </c>
      <c r="N295">
        <f t="shared" si="8"/>
        <v>0.17128307504624776</v>
      </c>
      <c r="O295">
        <f t="shared" si="9"/>
        <v>0.4930649579540145</v>
      </c>
    </row>
    <row r="296" spans="1:15">
      <c r="A296">
        <v>1491</v>
      </c>
      <c r="B296">
        <v>162</v>
      </c>
      <c r="C296">
        <v>33</v>
      </c>
      <c r="D296">
        <v>124</v>
      </c>
      <c r="E296">
        <v>40</v>
      </c>
      <c r="F296">
        <v>28</v>
      </c>
      <c r="G296">
        <v>172</v>
      </c>
      <c r="H296" t="s">
        <v>11</v>
      </c>
      <c r="I296">
        <v>71488</v>
      </c>
      <c r="J296">
        <v>0</v>
      </c>
      <c r="K296">
        <v>0</v>
      </c>
      <c r="L296">
        <v>0</v>
      </c>
      <c r="M296">
        <v>1</v>
      </c>
      <c r="N296">
        <f t="shared" si="8"/>
        <v>0.89902784167494842</v>
      </c>
      <c r="O296">
        <f t="shared" si="9"/>
        <v>0.97050819097027918</v>
      </c>
    </row>
    <row r="297" spans="1:15">
      <c r="A297">
        <v>1497</v>
      </c>
      <c r="B297">
        <v>268</v>
      </c>
      <c r="C297">
        <v>11</v>
      </c>
      <c r="D297">
        <v>88</v>
      </c>
      <c r="E297">
        <v>15</v>
      </c>
      <c r="F297">
        <v>3</v>
      </c>
      <c r="G297">
        <v>22</v>
      </c>
      <c r="H297" t="s">
        <v>12</v>
      </c>
      <c r="I297">
        <v>47958</v>
      </c>
      <c r="J297">
        <v>0</v>
      </c>
      <c r="K297">
        <v>1</v>
      </c>
      <c r="L297">
        <v>1</v>
      </c>
      <c r="M297">
        <v>0</v>
      </c>
      <c r="N297">
        <f t="shared" si="8"/>
        <v>-0.18965130886058001</v>
      </c>
      <c r="O297">
        <f t="shared" si="9"/>
        <v>-0.11006855403813491</v>
      </c>
    </row>
    <row r="298" spans="1:15">
      <c r="A298">
        <v>1501</v>
      </c>
      <c r="B298">
        <v>55</v>
      </c>
      <c r="C298">
        <v>16</v>
      </c>
      <c r="D298">
        <v>1622</v>
      </c>
      <c r="E298">
        <v>17</v>
      </c>
      <c r="F298">
        <v>3</v>
      </c>
      <c r="G298">
        <v>4</v>
      </c>
      <c r="H298" t="s">
        <v>11</v>
      </c>
      <c r="I298">
        <v>160803</v>
      </c>
      <c r="J298">
        <v>0</v>
      </c>
      <c r="K298">
        <v>0</v>
      </c>
      <c r="L298">
        <v>0</v>
      </c>
      <c r="M298">
        <v>1</v>
      </c>
      <c r="N298">
        <f t="shared" si="8"/>
        <v>5.0314281106966536</v>
      </c>
      <c r="O298">
        <f t="shared" si="9"/>
        <v>0.92150501823112529</v>
      </c>
    </row>
    <row r="299" spans="1:15">
      <c r="A299">
        <v>1503</v>
      </c>
      <c r="B299">
        <v>85</v>
      </c>
      <c r="C299">
        <v>1</v>
      </c>
      <c r="D299">
        <v>16</v>
      </c>
      <c r="E299">
        <v>2</v>
      </c>
      <c r="F299">
        <v>1</v>
      </c>
      <c r="G299">
        <v>2</v>
      </c>
      <c r="H299" t="s">
        <v>11</v>
      </c>
      <c r="I299">
        <v>162397</v>
      </c>
      <c r="J299">
        <v>1</v>
      </c>
      <c r="K299">
        <v>1</v>
      </c>
      <c r="L299">
        <v>0</v>
      </c>
      <c r="M299">
        <v>1</v>
      </c>
      <c r="N299">
        <f t="shared" si="8"/>
        <v>5.1051788359815511</v>
      </c>
      <c r="O299">
        <f t="shared" si="9"/>
        <v>0.88819348993933234</v>
      </c>
    </row>
    <row r="300" spans="1:15">
      <c r="A300">
        <v>1506</v>
      </c>
      <c r="B300">
        <v>48</v>
      </c>
      <c r="C300">
        <v>9</v>
      </c>
      <c r="D300">
        <v>45</v>
      </c>
      <c r="E300">
        <v>3</v>
      </c>
      <c r="F300">
        <v>15</v>
      </c>
      <c r="G300">
        <v>20</v>
      </c>
      <c r="H300" t="s">
        <v>12</v>
      </c>
      <c r="I300">
        <v>42160</v>
      </c>
      <c r="J300">
        <v>1</v>
      </c>
      <c r="K300">
        <v>1</v>
      </c>
      <c r="L300">
        <v>1</v>
      </c>
      <c r="M300">
        <v>0</v>
      </c>
      <c r="N300">
        <f t="shared" si="8"/>
        <v>-0.45791147523563286</v>
      </c>
      <c r="O300">
        <f t="shared" si="9"/>
        <v>-0.21166220285390477</v>
      </c>
    </row>
    <row r="301" spans="1:15">
      <c r="A301">
        <v>1509</v>
      </c>
      <c r="B301">
        <v>152</v>
      </c>
      <c r="C301">
        <v>27</v>
      </c>
      <c r="D301">
        <v>103</v>
      </c>
      <c r="E301">
        <v>106</v>
      </c>
      <c r="F301">
        <v>54</v>
      </c>
      <c r="G301">
        <v>81</v>
      </c>
      <c r="H301" t="s">
        <v>11</v>
      </c>
      <c r="I301">
        <v>84460</v>
      </c>
      <c r="J301">
        <v>0</v>
      </c>
      <c r="K301">
        <v>0</v>
      </c>
      <c r="L301">
        <v>0</v>
      </c>
      <c r="M301">
        <v>1</v>
      </c>
      <c r="N301">
        <f t="shared" si="8"/>
        <v>1.4992125395392439</v>
      </c>
      <c r="O301">
        <f t="shared" si="9"/>
        <v>0.99997683045418628</v>
      </c>
    </row>
    <row r="302" spans="1:15">
      <c r="A302">
        <v>1513</v>
      </c>
      <c r="B302">
        <v>600</v>
      </c>
      <c r="C302">
        <v>21</v>
      </c>
      <c r="D302">
        <v>128</v>
      </c>
      <c r="E302">
        <v>223</v>
      </c>
      <c r="F302">
        <v>150</v>
      </c>
      <c r="G302">
        <v>128</v>
      </c>
      <c r="H302" t="s">
        <v>11</v>
      </c>
      <c r="I302">
        <v>60839</v>
      </c>
      <c r="J302">
        <v>1</v>
      </c>
      <c r="K302">
        <v>1</v>
      </c>
      <c r="L302">
        <v>0</v>
      </c>
      <c r="M302">
        <v>1</v>
      </c>
      <c r="N302">
        <f t="shared" si="8"/>
        <v>0.40632302764805328</v>
      </c>
      <c r="O302">
        <f t="shared" si="9"/>
        <v>0.50421555510072757</v>
      </c>
    </row>
    <row r="303" spans="1:15">
      <c r="A303">
        <v>1515</v>
      </c>
      <c r="B303">
        <v>11</v>
      </c>
      <c r="C303">
        <v>2</v>
      </c>
      <c r="D303">
        <v>7</v>
      </c>
      <c r="E303">
        <v>4</v>
      </c>
      <c r="F303">
        <v>2</v>
      </c>
      <c r="G303">
        <v>2</v>
      </c>
      <c r="H303" t="s">
        <v>11</v>
      </c>
      <c r="I303">
        <v>34176</v>
      </c>
      <c r="J303">
        <v>0</v>
      </c>
      <c r="K303">
        <v>1</v>
      </c>
      <c r="L303">
        <v>0</v>
      </c>
      <c r="M303">
        <v>1</v>
      </c>
      <c r="N303">
        <f t="shared" si="8"/>
        <v>-0.82731284956099027</v>
      </c>
      <c r="O303">
        <f t="shared" si="9"/>
        <v>-7.6025063181714037E-2</v>
      </c>
    </row>
    <row r="304" spans="1:15">
      <c r="A304">
        <v>1517</v>
      </c>
      <c r="B304">
        <v>3</v>
      </c>
      <c r="C304">
        <v>9</v>
      </c>
      <c r="D304">
        <v>13</v>
      </c>
      <c r="E304">
        <v>2</v>
      </c>
      <c r="F304">
        <v>12</v>
      </c>
      <c r="G304">
        <v>12</v>
      </c>
      <c r="H304" t="s">
        <v>12</v>
      </c>
      <c r="I304">
        <v>30822</v>
      </c>
      <c r="J304">
        <v>1</v>
      </c>
      <c r="K304">
        <v>0</v>
      </c>
      <c r="L304">
        <v>1</v>
      </c>
      <c r="M304">
        <v>0</v>
      </c>
      <c r="N304">
        <f t="shared" si="8"/>
        <v>-0.98249473952682798</v>
      </c>
      <c r="O304">
        <f t="shared" si="9"/>
        <v>-0.47248613026753039</v>
      </c>
    </row>
    <row r="305" spans="1:15">
      <c r="A305">
        <v>1518</v>
      </c>
      <c r="B305">
        <v>379</v>
      </c>
      <c r="C305">
        <v>6</v>
      </c>
      <c r="D305">
        <v>157</v>
      </c>
      <c r="E305">
        <v>25</v>
      </c>
      <c r="F305">
        <v>91</v>
      </c>
      <c r="G305">
        <v>91</v>
      </c>
      <c r="H305" t="s">
        <v>11</v>
      </c>
      <c r="I305">
        <v>62694</v>
      </c>
      <c r="J305">
        <v>1</v>
      </c>
      <c r="K305">
        <v>1</v>
      </c>
      <c r="L305">
        <v>0</v>
      </c>
      <c r="M305">
        <v>1</v>
      </c>
      <c r="N305">
        <f t="shared" si="8"/>
        <v>0.49214962451347638</v>
      </c>
      <c r="O305">
        <f t="shared" si="9"/>
        <v>0.537655783097715</v>
      </c>
    </row>
    <row r="306" spans="1:15">
      <c r="A306">
        <v>1519</v>
      </c>
      <c r="B306">
        <v>38</v>
      </c>
      <c r="C306">
        <v>4</v>
      </c>
      <c r="D306">
        <v>22</v>
      </c>
      <c r="E306">
        <v>3</v>
      </c>
      <c r="F306">
        <v>3</v>
      </c>
      <c r="G306">
        <v>3</v>
      </c>
      <c r="H306" t="s">
        <v>12</v>
      </c>
      <c r="I306">
        <v>38578</v>
      </c>
      <c r="J306">
        <v>1</v>
      </c>
      <c r="K306">
        <v>1</v>
      </c>
      <c r="L306">
        <v>1</v>
      </c>
      <c r="M306">
        <v>0</v>
      </c>
      <c r="N306">
        <f t="shared" si="8"/>
        <v>-0.62364240244422886</v>
      </c>
      <c r="O306">
        <f t="shared" si="9"/>
        <v>-0.28054155296813205</v>
      </c>
    </row>
    <row r="307" spans="1:15">
      <c r="A307">
        <v>1523</v>
      </c>
      <c r="B307">
        <v>69</v>
      </c>
      <c r="C307">
        <v>2</v>
      </c>
      <c r="D307">
        <v>15</v>
      </c>
      <c r="E307">
        <v>2</v>
      </c>
      <c r="F307">
        <v>2</v>
      </c>
      <c r="G307">
        <v>6</v>
      </c>
      <c r="H307" t="s">
        <v>11</v>
      </c>
      <c r="I307">
        <v>59041</v>
      </c>
      <c r="J307">
        <v>1</v>
      </c>
      <c r="K307">
        <v>1</v>
      </c>
      <c r="L307">
        <v>0</v>
      </c>
      <c r="M307">
        <v>1</v>
      </c>
      <c r="N307">
        <f t="shared" si="8"/>
        <v>0.32313369009331977</v>
      </c>
      <c r="O307">
        <f t="shared" si="9"/>
        <v>0.47002029231288306</v>
      </c>
    </row>
    <row r="308" spans="1:15">
      <c r="A308">
        <v>1524</v>
      </c>
      <c r="B308">
        <v>709</v>
      </c>
      <c r="C308">
        <v>45</v>
      </c>
      <c r="D308">
        <v>115</v>
      </c>
      <c r="E308">
        <v>30</v>
      </c>
      <c r="F308">
        <v>160</v>
      </c>
      <c r="G308">
        <v>45</v>
      </c>
      <c r="H308" t="s">
        <v>12</v>
      </c>
      <c r="I308">
        <v>81698</v>
      </c>
      <c r="J308">
        <v>0</v>
      </c>
      <c r="K308">
        <v>0</v>
      </c>
      <c r="L308">
        <v>1</v>
      </c>
      <c r="M308">
        <v>0</v>
      </c>
      <c r="N308">
        <f t="shared" si="8"/>
        <v>1.3714211322388135</v>
      </c>
      <c r="O308">
        <f t="shared" si="9"/>
        <v>0.669125283829058</v>
      </c>
    </row>
    <row r="309" spans="1:15">
      <c r="A309">
        <v>1542</v>
      </c>
      <c r="B309">
        <v>347</v>
      </c>
      <c r="C309">
        <v>0</v>
      </c>
      <c r="D309">
        <v>35</v>
      </c>
      <c r="E309">
        <v>4</v>
      </c>
      <c r="F309">
        <v>3</v>
      </c>
      <c r="G309">
        <v>7</v>
      </c>
      <c r="H309" t="s">
        <v>12</v>
      </c>
      <c r="I309">
        <v>56243</v>
      </c>
      <c r="J309">
        <v>1</v>
      </c>
      <c r="K309">
        <v>2</v>
      </c>
      <c r="L309">
        <v>1</v>
      </c>
      <c r="M309">
        <v>0</v>
      </c>
      <c r="N309">
        <f t="shared" si="8"/>
        <v>0.1936766453335064</v>
      </c>
      <c r="O309">
        <f t="shared" si="9"/>
        <v>6.5274138645332491E-2</v>
      </c>
    </row>
    <row r="310" spans="1:15">
      <c r="A310">
        <v>1544</v>
      </c>
      <c r="B310">
        <v>741</v>
      </c>
      <c r="C310">
        <v>68</v>
      </c>
      <c r="D310">
        <v>689</v>
      </c>
      <c r="E310">
        <v>224</v>
      </c>
      <c r="F310">
        <v>68</v>
      </c>
      <c r="G310">
        <v>103</v>
      </c>
      <c r="H310" t="s">
        <v>12</v>
      </c>
      <c r="I310">
        <v>81380</v>
      </c>
      <c r="J310">
        <v>0</v>
      </c>
      <c r="K310">
        <v>0</v>
      </c>
      <c r="L310">
        <v>1</v>
      </c>
      <c r="M310">
        <v>0</v>
      </c>
      <c r="N310">
        <f t="shared" si="8"/>
        <v>1.3567080013475981</v>
      </c>
      <c r="O310">
        <f t="shared" si="9"/>
        <v>0.66660699771644782</v>
      </c>
    </row>
    <row r="311" spans="1:15">
      <c r="A311">
        <v>1545</v>
      </c>
      <c r="B311">
        <v>120</v>
      </c>
      <c r="C311">
        <v>19</v>
      </c>
      <c r="D311">
        <v>206</v>
      </c>
      <c r="E311">
        <v>25</v>
      </c>
      <c r="F311">
        <v>19</v>
      </c>
      <c r="G311">
        <v>54</v>
      </c>
      <c r="H311" t="s">
        <v>11</v>
      </c>
      <c r="I311">
        <v>38508</v>
      </c>
      <c r="J311">
        <v>1</v>
      </c>
      <c r="K311">
        <v>0</v>
      </c>
      <c r="L311">
        <v>0</v>
      </c>
      <c r="M311">
        <v>1</v>
      </c>
      <c r="N311">
        <f t="shared" si="8"/>
        <v>-0.62688114194858446</v>
      </c>
      <c r="O311">
        <f t="shared" si="9"/>
        <v>2.6775519237976293E-2</v>
      </c>
    </row>
    <row r="312" spans="1:15">
      <c r="A312">
        <v>1553</v>
      </c>
      <c r="B312">
        <v>966</v>
      </c>
      <c r="C312">
        <v>168</v>
      </c>
      <c r="D312">
        <v>672</v>
      </c>
      <c r="E312">
        <v>246</v>
      </c>
      <c r="F312">
        <v>105</v>
      </c>
      <c r="G312">
        <v>126</v>
      </c>
      <c r="H312" t="s">
        <v>11</v>
      </c>
      <c r="I312">
        <v>82657</v>
      </c>
      <c r="J312">
        <v>0</v>
      </c>
      <c r="K312">
        <v>0</v>
      </c>
      <c r="L312">
        <v>0</v>
      </c>
      <c r="M312">
        <v>1</v>
      </c>
      <c r="N312">
        <f t="shared" si="8"/>
        <v>1.4157918634484852</v>
      </c>
      <c r="O312">
        <f t="shared" si="9"/>
        <v>0.9998019673678703</v>
      </c>
    </row>
    <row r="313" spans="1:15">
      <c r="A313">
        <v>1570</v>
      </c>
      <c r="B313">
        <v>664</v>
      </c>
      <c r="C313">
        <v>9</v>
      </c>
      <c r="D313">
        <v>240</v>
      </c>
      <c r="E313">
        <v>50</v>
      </c>
      <c r="F313">
        <v>19</v>
      </c>
      <c r="G313">
        <v>57</v>
      </c>
      <c r="H313" t="s">
        <v>11</v>
      </c>
      <c r="I313">
        <v>69702</v>
      </c>
      <c r="J313">
        <v>0</v>
      </c>
      <c r="K313">
        <v>1</v>
      </c>
      <c r="L313">
        <v>0</v>
      </c>
      <c r="M313">
        <v>1</v>
      </c>
      <c r="N313">
        <f t="shared" si="8"/>
        <v>0.81639371660667581</v>
      </c>
      <c r="O313">
        <f t="shared" si="9"/>
        <v>0.75729790769079341</v>
      </c>
    </row>
    <row r="314" spans="1:15">
      <c r="A314">
        <v>1577</v>
      </c>
      <c r="B314">
        <v>558</v>
      </c>
      <c r="C314">
        <v>79</v>
      </c>
      <c r="D314">
        <v>622</v>
      </c>
      <c r="E314">
        <v>207</v>
      </c>
      <c r="F314">
        <v>175</v>
      </c>
      <c r="G314">
        <v>95</v>
      </c>
      <c r="H314" t="s">
        <v>11</v>
      </c>
      <c r="I314">
        <v>78569</v>
      </c>
      <c r="J314">
        <v>0</v>
      </c>
      <c r="K314">
        <v>0</v>
      </c>
      <c r="L314">
        <v>0</v>
      </c>
      <c r="M314">
        <v>1</v>
      </c>
      <c r="N314">
        <f t="shared" si="8"/>
        <v>1.2266494763941187</v>
      </c>
      <c r="O314">
        <f t="shared" si="9"/>
        <v>0.99605048288352094</v>
      </c>
    </row>
    <row r="315" spans="1:15">
      <c r="A315">
        <v>1581</v>
      </c>
      <c r="B315">
        <v>2</v>
      </c>
      <c r="C315">
        <v>0</v>
      </c>
      <c r="D315">
        <v>8</v>
      </c>
      <c r="E315">
        <v>2</v>
      </c>
      <c r="F315">
        <v>2</v>
      </c>
      <c r="G315">
        <v>3</v>
      </c>
      <c r="H315" t="s">
        <v>11</v>
      </c>
      <c r="I315">
        <v>37406</v>
      </c>
      <c r="J315">
        <v>1</v>
      </c>
      <c r="K315">
        <v>0</v>
      </c>
      <c r="L315">
        <v>0</v>
      </c>
      <c r="M315">
        <v>1</v>
      </c>
      <c r="N315">
        <f t="shared" si="8"/>
        <v>-0.67786815528858235</v>
      </c>
      <c r="O315">
        <f t="shared" si="9"/>
        <v>-5.1239426645550805E-4</v>
      </c>
    </row>
    <row r="316" spans="1:15">
      <c r="A316">
        <v>1584</v>
      </c>
      <c r="B316">
        <v>171</v>
      </c>
      <c r="C316">
        <v>7</v>
      </c>
      <c r="D316">
        <v>171</v>
      </c>
      <c r="E316">
        <v>25</v>
      </c>
      <c r="F316">
        <v>19</v>
      </c>
      <c r="G316">
        <v>89</v>
      </c>
      <c r="H316" t="s">
        <v>11</v>
      </c>
      <c r="I316">
        <v>41443</v>
      </c>
      <c r="J316">
        <v>1</v>
      </c>
      <c r="K316">
        <v>0</v>
      </c>
      <c r="L316">
        <v>0</v>
      </c>
      <c r="M316">
        <v>1</v>
      </c>
      <c r="N316">
        <f t="shared" si="8"/>
        <v>-0.4910854213016751</v>
      </c>
      <c r="O316">
        <f t="shared" si="9"/>
        <v>0.10278519507224156</v>
      </c>
    </row>
    <row r="317" spans="1:15">
      <c r="A317">
        <v>1592</v>
      </c>
      <c r="B317">
        <v>547</v>
      </c>
      <c r="C317">
        <v>99</v>
      </c>
      <c r="D317">
        <v>812</v>
      </c>
      <c r="E317">
        <v>151</v>
      </c>
      <c r="F317">
        <v>82</v>
      </c>
      <c r="G317">
        <v>33</v>
      </c>
      <c r="H317" t="s">
        <v>11</v>
      </c>
      <c r="I317">
        <v>90765</v>
      </c>
      <c r="J317">
        <v>0</v>
      </c>
      <c r="K317">
        <v>0</v>
      </c>
      <c r="L317">
        <v>0</v>
      </c>
      <c r="M317">
        <v>1</v>
      </c>
      <c r="N317">
        <f t="shared" si="8"/>
        <v>1.7909304334672724</v>
      </c>
      <c r="O317">
        <f t="shared" si="9"/>
        <v>0.99632088348399983</v>
      </c>
    </row>
    <row r="318" spans="1:15">
      <c r="A318">
        <v>1600</v>
      </c>
      <c r="B318">
        <v>292</v>
      </c>
      <c r="C318">
        <v>3</v>
      </c>
      <c r="D318">
        <v>77</v>
      </c>
      <c r="E318">
        <v>10</v>
      </c>
      <c r="F318">
        <v>3</v>
      </c>
      <c r="G318">
        <v>26</v>
      </c>
      <c r="H318" t="s">
        <v>11</v>
      </c>
      <c r="I318">
        <v>56962</v>
      </c>
      <c r="J318">
        <v>2</v>
      </c>
      <c r="K318">
        <v>1</v>
      </c>
      <c r="L318">
        <v>0</v>
      </c>
      <c r="M318">
        <v>1</v>
      </c>
      <c r="N318">
        <f t="shared" si="8"/>
        <v>0.22694312681395878</v>
      </c>
      <c r="O318">
        <f t="shared" si="9"/>
        <v>0.30426585281079027</v>
      </c>
    </row>
    <row r="319" spans="1:15">
      <c r="A319">
        <v>1604</v>
      </c>
      <c r="B319">
        <v>184</v>
      </c>
      <c r="C319">
        <v>2</v>
      </c>
      <c r="D319">
        <v>19</v>
      </c>
      <c r="E319">
        <v>8</v>
      </c>
      <c r="F319">
        <v>8</v>
      </c>
      <c r="G319">
        <v>4</v>
      </c>
      <c r="H319" t="s">
        <v>11</v>
      </c>
      <c r="I319">
        <v>47353</v>
      </c>
      <c r="J319">
        <v>0</v>
      </c>
      <c r="K319">
        <v>1</v>
      </c>
      <c r="L319">
        <v>0</v>
      </c>
      <c r="M319">
        <v>1</v>
      </c>
      <c r="N319">
        <f t="shared" si="8"/>
        <v>-0.21764327171965331</v>
      </c>
      <c r="O319">
        <f t="shared" si="9"/>
        <v>0.26579589498624429</v>
      </c>
    </row>
    <row r="320" spans="1:15">
      <c r="A320">
        <v>1606</v>
      </c>
      <c r="B320">
        <v>3</v>
      </c>
      <c r="C320">
        <v>1</v>
      </c>
      <c r="D320">
        <v>8</v>
      </c>
      <c r="E320">
        <v>4</v>
      </c>
      <c r="F320">
        <v>3</v>
      </c>
      <c r="G320">
        <v>3</v>
      </c>
      <c r="H320" t="s">
        <v>11</v>
      </c>
      <c r="I320">
        <v>38590</v>
      </c>
      <c r="J320">
        <v>1</v>
      </c>
      <c r="K320">
        <v>0</v>
      </c>
      <c r="L320">
        <v>0</v>
      </c>
      <c r="M320">
        <v>1</v>
      </c>
      <c r="N320">
        <f t="shared" si="8"/>
        <v>-0.62308718995776791</v>
      </c>
      <c r="O320">
        <f t="shared" si="9"/>
        <v>2.8835130050380745E-2</v>
      </c>
    </row>
    <row r="321" spans="1:15">
      <c r="A321">
        <v>1618</v>
      </c>
      <c r="B321">
        <v>577</v>
      </c>
      <c r="C321">
        <v>0</v>
      </c>
      <c r="D321">
        <v>64</v>
      </c>
      <c r="E321">
        <v>0</v>
      </c>
      <c r="F321">
        <v>0</v>
      </c>
      <c r="G321">
        <v>51</v>
      </c>
      <c r="H321" t="s">
        <v>11</v>
      </c>
      <c r="I321">
        <v>56046</v>
      </c>
      <c r="J321">
        <v>0</v>
      </c>
      <c r="K321">
        <v>0</v>
      </c>
      <c r="L321">
        <v>0</v>
      </c>
      <c r="M321">
        <v>1</v>
      </c>
      <c r="N321">
        <f t="shared" si="8"/>
        <v>0.18456190701410566</v>
      </c>
      <c r="O321">
        <f t="shared" si="9"/>
        <v>0.70154299780332463</v>
      </c>
    </row>
    <row r="322" spans="1:15">
      <c r="A322">
        <v>1619</v>
      </c>
      <c r="B322">
        <v>292</v>
      </c>
      <c r="C322">
        <v>51</v>
      </c>
      <c r="D322">
        <v>981</v>
      </c>
      <c r="E322">
        <v>224</v>
      </c>
      <c r="F322">
        <v>23</v>
      </c>
      <c r="G322">
        <v>17</v>
      </c>
      <c r="H322" t="s">
        <v>11</v>
      </c>
      <c r="I322">
        <v>90369</v>
      </c>
      <c r="J322">
        <v>0</v>
      </c>
      <c r="K322">
        <v>0</v>
      </c>
      <c r="L322">
        <v>0</v>
      </c>
      <c r="M322">
        <v>1</v>
      </c>
      <c r="N322">
        <f t="shared" si="8"/>
        <v>1.7726084214140607</v>
      </c>
      <c r="O322">
        <f t="shared" si="9"/>
        <v>0.99668741882130096</v>
      </c>
    </row>
    <row r="323" spans="1:15">
      <c r="A323">
        <v>1626</v>
      </c>
      <c r="B323">
        <v>15</v>
      </c>
      <c r="C323">
        <v>0</v>
      </c>
      <c r="D323">
        <v>8</v>
      </c>
      <c r="E323">
        <v>4</v>
      </c>
      <c r="F323">
        <v>2</v>
      </c>
      <c r="G323">
        <v>20</v>
      </c>
      <c r="H323" t="s">
        <v>12</v>
      </c>
      <c r="I323">
        <v>35860</v>
      </c>
      <c r="J323">
        <v>1</v>
      </c>
      <c r="K323">
        <v>1</v>
      </c>
      <c r="L323">
        <v>1</v>
      </c>
      <c r="M323">
        <v>0</v>
      </c>
      <c r="N323">
        <f t="shared" ref="N323:N386" si="10">STANDARDIZE(I323,$Q$1,$R$1)</f>
        <v>-0.74939803062763577</v>
      </c>
      <c r="O323">
        <f t="shared" ref="O323:O386" si="11">SUMPRODUCT(J323:N323,$Q$4:$U$4) / SQRT(SUMSQ(J323:N323) * SUMSQ($Q$4:$U$4))</f>
        <v>-0.32883874670195168</v>
      </c>
    </row>
    <row r="324" spans="1:15">
      <c r="A324">
        <v>1627</v>
      </c>
      <c r="B324">
        <v>408</v>
      </c>
      <c r="C324">
        <v>61</v>
      </c>
      <c r="D324">
        <v>109</v>
      </c>
      <c r="E324">
        <v>48</v>
      </c>
      <c r="F324">
        <v>122</v>
      </c>
      <c r="G324">
        <v>41</v>
      </c>
      <c r="H324" t="s">
        <v>12</v>
      </c>
      <c r="I324">
        <v>77297</v>
      </c>
      <c r="J324">
        <v>0</v>
      </c>
      <c r="K324">
        <v>0</v>
      </c>
      <c r="L324">
        <v>1</v>
      </c>
      <c r="M324">
        <v>0</v>
      </c>
      <c r="N324">
        <f t="shared" si="10"/>
        <v>1.1677969528292571</v>
      </c>
      <c r="O324">
        <f t="shared" si="11"/>
        <v>0.62901274096677906</v>
      </c>
    </row>
    <row r="325" spans="1:15">
      <c r="A325">
        <v>1628</v>
      </c>
      <c r="B325">
        <v>354</v>
      </c>
      <c r="C325">
        <v>21</v>
      </c>
      <c r="D325">
        <v>311</v>
      </c>
      <c r="E325">
        <v>167</v>
      </c>
      <c r="F325">
        <v>75</v>
      </c>
      <c r="G325">
        <v>32</v>
      </c>
      <c r="H325" t="s">
        <v>11</v>
      </c>
      <c r="I325">
        <v>71796</v>
      </c>
      <c r="J325">
        <v>0</v>
      </c>
      <c r="K325">
        <v>0</v>
      </c>
      <c r="L325">
        <v>0</v>
      </c>
      <c r="M325">
        <v>1</v>
      </c>
      <c r="N325">
        <f t="shared" si="10"/>
        <v>0.91327829549411299</v>
      </c>
      <c r="O325">
        <f t="shared" si="11"/>
        <v>0.9723648623195672</v>
      </c>
    </row>
    <row r="326" spans="1:15">
      <c r="A326">
        <v>1630</v>
      </c>
      <c r="B326">
        <v>162</v>
      </c>
      <c r="C326">
        <v>50</v>
      </c>
      <c r="D326">
        <v>100</v>
      </c>
      <c r="E326">
        <v>55</v>
      </c>
      <c r="F326">
        <v>30</v>
      </c>
      <c r="G326">
        <v>27</v>
      </c>
      <c r="H326" t="s">
        <v>12</v>
      </c>
      <c r="I326">
        <v>61825</v>
      </c>
      <c r="J326">
        <v>0</v>
      </c>
      <c r="K326">
        <v>1</v>
      </c>
      <c r="L326">
        <v>1</v>
      </c>
      <c r="M326">
        <v>0</v>
      </c>
      <c r="N326">
        <f t="shared" si="10"/>
        <v>0.45194298695226204</v>
      </c>
      <c r="O326">
        <f t="shared" si="11"/>
        <v>0.25208432090784633</v>
      </c>
    </row>
    <row r="327" spans="1:15">
      <c r="A327">
        <v>1631</v>
      </c>
      <c r="B327">
        <v>890</v>
      </c>
      <c r="C327">
        <v>63</v>
      </c>
      <c r="D327">
        <v>292</v>
      </c>
      <c r="E327">
        <v>0</v>
      </c>
      <c r="F327">
        <v>25</v>
      </c>
      <c r="G327">
        <v>12</v>
      </c>
      <c r="H327" t="s">
        <v>11</v>
      </c>
      <c r="I327">
        <v>65220</v>
      </c>
      <c r="J327">
        <v>0</v>
      </c>
      <c r="K327">
        <v>0</v>
      </c>
      <c r="L327">
        <v>0</v>
      </c>
      <c r="M327">
        <v>1</v>
      </c>
      <c r="N327">
        <f t="shared" si="10"/>
        <v>0.60902185291350808</v>
      </c>
      <c r="O327">
        <f t="shared" si="11"/>
        <v>0.90949975362380253</v>
      </c>
    </row>
    <row r="328" spans="1:15">
      <c r="A328">
        <v>1640</v>
      </c>
      <c r="B328">
        <v>66</v>
      </c>
      <c r="C328">
        <v>0</v>
      </c>
      <c r="D328">
        <v>16</v>
      </c>
      <c r="E328">
        <v>0</v>
      </c>
      <c r="F328">
        <v>6</v>
      </c>
      <c r="G328">
        <v>20</v>
      </c>
      <c r="H328" t="s">
        <v>12</v>
      </c>
      <c r="I328">
        <v>64587</v>
      </c>
      <c r="J328">
        <v>1</v>
      </c>
      <c r="K328">
        <v>1</v>
      </c>
      <c r="L328">
        <v>1</v>
      </c>
      <c r="M328">
        <v>0</v>
      </c>
      <c r="N328">
        <f t="shared" si="10"/>
        <v>0.57973439425269246</v>
      </c>
      <c r="O328">
        <f t="shared" si="11"/>
        <v>0.26284693046232727</v>
      </c>
    </row>
    <row r="329" spans="1:15">
      <c r="A329">
        <v>1646</v>
      </c>
      <c r="B329">
        <v>4</v>
      </c>
      <c r="C329">
        <v>9</v>
      </c>
      <c r="D329">
        <v>12</v>
      </c>
      <c r="E329">
        <v>11</v>
      </c>
      <c r="F329">
        <v>2</v>
      </c>
      <c r="G329">
        <v>8</v>
      </c>
      <c r="H329" t="s">
        <v>11</v>
      </c>
      <c r="I329">
        <v>25224</v>
      </c>
      <c r="J329">
        <v>1</v>
      </c>
      <c r="K329">
        <v>0</v>
      </c>
      <c r="L329">
        <v>0</v>
      </c>
      <c r="M329">
        <v>1</v>
      </c>
      <c r="N329">
        <f t="shared" si="10"/>
        <v>-1.2415013644608648</v>
      </c>
      <c r="O329">
        <f t="shared" si="11"/>
        <v>-0.24845831852311973</v>
      </c>
    </row>
    <row r="330" spans="1:15">
      <c r="A330">
        <v>1650</v>
      </c>
      <c r="B330">
        <v>779</v>
      </c>
      <c r="C330">
        <v>86</v>
      </c>
      <c r="D330">
        <v>537</v>
      </c>
      <c r="E330">
        <v>34</v>
      </c>
      <c r="F330">
        <v>69</v>
      </c>
      <c r="G330">
        <v>138</v>
      </c>
      <c r="H330" t="s">
        <v>11</v>
      </c>
      <c r="I330">
        <v>81843</v>
      </c>
      <c r="J330">
        <v>0</v>
      </c>
      <c r="K330">
        <v>0</v>
      </c>
      <c r="L330">
        <v>0</v>
      </c>
      <c r="M330">
        <v>1</v>
      </c>
      <c r="N330">
        <f t="shared" si="10"/>
        <v>1.3781299497835502</v>
      </c>
      <c r="O330">
        <f t="shared" si="11"/>
        <v>0.99946661749963706</v>
      </c>
    </row>
    <row r="331" spans="1:15">
      <c r="A331">
        <v>1655</v>
      </c>
      <c r="B331">
        <v>16</v>
      </c>
      <c r="C331">
        <v>3</v>
      </c>
      <c r="D331">
        <v>15</v>
      </c>
      <c r="E331">
        <v>2</v>
      </c>
      <c r="F331">
        <v>1</v>
      </c>
      <c r="G331">
        <v>11</v>
      </c>
      <c r="H331" t="s">
        <v>11</v>
      </c>
      <c r="I331">
        <v>34350</v>
      </c>
      <c r="J331">
        <v>1</v>
      </c>
      <c r="K331">
        <v>0</v>
      </c>
      <c r="L331">
        <v>0</v>
      </c>
      <c r="M331">
        <v>1</v>
      </c>
      <c r="N331">
        <f t="shared" si="10"/>
        <v>-0.81926226850730632</v>
      </c>
      <c r="O331">
        <f t="shared" si="11"/>
        <v>-7.2134337566118104E-2</v>
      </c>
    </row>
    <row r="332" spans="1:15">
      <c r="A332">
        <v>1663</v>
      </c>
      <c r="B332">
        <v>20</v>
      </c>
      <c r="C332">
        <v>2</v>
      </c>
      <c r="D332">
        <v>14</v>
      </c>
      <c r="E332">
        <v>3</v>
      </c>
      <c r="F332">
        <v>0</v>
      </c>
      <c r="G332">
        <v>10</v>
      </c>
      <c r="H332" t="s">
        <v>11</v>
      </c>
      <c r="I332">
        <v>34043</v>
      </c>
      <c r="J332">
        <v>1</v>
      </c>
      <c r="K332">
        <v>0</v>
      </c>
      <c r="L332">
        <v>0</v>
      </c>
      <c r="M332">
        <v>1</v>
      </c>
      <c r="N332">
        <f t="shared" si="10"/>
        <v>-0.83346645461926583</v>
      </c>
      <c r="O332">
        <f t="shared" si="11"/>
        <v>-7.8985105005161288E-2</v>
      </c>
    </row>
    <row r="333" spans="1:15">
      <c r="A333">
        <v>1665</v>
      </c>
      <c r="B333">
        <v>1459</v>
      </c>
      <c r="C333">
        <v>0</v>
      </c>
      <c r="D333">
        <v>61</v>
      </c>
      <c r="E333">
        <v>0</v>
      </c>
      <c r="F333">
        <v>15</v>
      </c>
      <c r="G333">
        <v>215</v>
      </c>
      <c r="H333" t="s">
        <v>12</v>
      </c>
      <c r="I333">
        <v>64140</v>
      </c>
      <c r="J333">
        <v>0</v>
      </c>
      <c r="K333">
        <v>2</v>
      </c>
      <c r="L333">
        <v>1</v>
      </c>
      <c r="M333">
        <v>0</v>
      </c>
      <c r="N333">
        <f t="shared" si="10"/>
        <v>0.55905272913202186</v>
      </c>
      <c r="O333">
        <f t="shared" si="11"/>
        <v>0.20086048982962265</v>
      </c>
    </row>
    <row r="334" spans="1:15">
      <c r="A334">
        <v>1672</v>
      </c>
      <c r="B334">
        <v>204</v>
      </c>
      <c r="C334">
        <v>7</v>
      </c>
      <c r="D334">
        <v>149</v>
      </c>
      <c r="E334">
        <v>20</v>
      </c>
      <c r="F334">
        <v>15</v>
      </c>
      <c r="G334">
        <v>66</v>
      </c>
      <c r="H334" t="s">
        <v>11</v>
      </c>
      <c r="I334">
        <v>65640</v>
      </c>
      <c r="J334">
        <v>0</v>
      </c>
      <c r="K334">
        <v>1</v>
      </c>
      <c r="L334">
        <v>0</v>
      </c>
      <c r="M334">
        <v>1</v>
      </c>
      <c r="N334">
        <f t="shared" si="10"/>
        <v>0.62845428993964159</v>
      </c>
      <c r="O334">
        <f t="shared" si="11"/>
        <v>0.69850875755952568</v>
      </c>
    </row>
    <row r="335" spans="1:15">
      <c r="A335">
        <v>1676</v>
      </c>
      <c r="B335">
        <v>213</v>
      </c>
      <c r="C335">
        <v>2</v>
      </c>
      <c r="D335">
        <v>44</v>
      </c>
      <c r="E335">
        <v>0</v>
      </c>
      <c r="F335">
        <v>2</v>
      </c>
      <c r="G335">
        <v>5</v>
      </c>
      <c r="H335" t="s">
        <v>11</v>
      </c>
      <c r="I335">
        <v>43057</v>
      </c>
      <c r="J335">
        <v>0</v>
      </c>
      <c r="K335">
        <v>1</v>
      </c>
      <c r="L335">
        <v>0</v>
      </c>
      <c r="M335">
        <v>1</v>
      </c>
      <c r="N335">
        <f t="shared" si="10"/>
        <v>-0.41640934187267625</v>
      </c>
      <c r="O335">
        <f t="shared" si="11"/>
        <v>0.1463227358849758</v>
      </c>
    </row>
    <row r="336" spans="1:15">
      <c r="A336">
        <v>1685</v>
      </c>
      <c r="B336">
        <v>796</v>
      </c>
      <c r="C336">
        <v>14</v>
      </c>
      <c r="D336">
        <v>590</v>
      </c>
      <c r="E336">
        <v>38</v>
      </c>
      <c r="F336">
        <v>44</v>
      </c>
      <c r="G336">
        <v>0</v>
      </c>
      <c r="H336" t="s">
        <v>11</v>
      </c>
      <c r="I336">
        <v>62981</v>
      </c>
      <c r="J336">
        <v>0</v>
      </c>
      <c r="K336">
        <v>0</v>
      </c>
      <c r="L336">
        <v>0</v>
      </c>
      <c r="M336">
        <v>1</v>
      </c>
      <c r="N336">
        <f t="shared" si="10"/>
        <v>0.50542845648133428</v>
      </c>
      <c r="O336">
        <f t="shared" si="11"/>
        <v>0.87383432374910042</v>
      </c>
    </row>
    <row r="337" spans="1:15">
      <c r="A337">
        <v>1710</v>
      </c>
      <c r="B337">
        <v>154</v>
      </c>
      <c r="C337">
        <v>20</v>
      </c>
      <c r="D337">
        <v>66</v>
      </c>
      <c r="E337">
        <v>0</v>
      </c>
      <c r="F337">
        <v>12</v>
      </c>
      <c r="G337">
        <v>27</v>
      </c>
      <c r="H337" t="s">
        <v>12</v>
      </c>
      <c r="I337">
        <v>30168</v>
      </c>
      <c r="J337">
        <v>1</v>
      </c>
      <c r="K337">
        <v>0</v>
      </c>
      <c r="L337">
        <v>1</v>
      </c>
      <c r="M337">
        <v>0</v>
      </c>
      <c r="N337">
        <f t="shared" si="10"/>
        <v>-1.0127538200389503</v>
      </c>
      <c r="O337">
        <f t="shared" si="11"/>
        <v>-0.48215418315291708</v>
      </c>
    </row>
    <row r="338" spans="1:15">
      <c r="A338">
        <v>1715</v>
      </c>
      <c r="B338">
        <v>9</v>
      </c>
      <c r="C338">
        <v>4</v>
      </c>
      <c r="D338">
        <v>18</v>
      </c>
      <c r="E338">
        <v>7</v>
      </c>
      <c r="F338">
        <v>5</v>
      </c>
      <c r="G338">
        <v>5</v>
      </c>
      <c r="H338" t="s">
        <v>11</v>
      </c>
      <c r="I338">
        <v>25851</v>
      </c>
      <c r="J338">
        <v>1</v>
      </c>
      <c r="K338">
        <v>0</v>
      </c>
      <c r="L338">
        <v>0</v>
      </c>
      <c r="M338">
        <v>1</v>
      </c>
      <c r="N338">
        <f t="shared" si="10"/>
        <v>-1.2124915120432798</v>
      </c>
      <c r="O338">
        <f t="shared" si="11"/>
        <v>-0.23809764561099642</v>
      </c>
    </row>
    <row r="339" spans="1:15">
      <c r="A339">
        <v>1717</v>
      </c>
      <c r="B339">
        <v>80</v>
      </c>
      <c r="C339">
        <v>15</v>
      </c>
      <c r="D339">
        <v>93</v>
      </c>
      <c r="E339">
        <v>20</v>
      </c>
      <c r="F339">
        <v>13</v>
      </c>
      <c r="G339">
        <v>52</v>
      </c>
      <c r="H339" t="s">
        <v>12</v>
      </c>
      <c r="I339">
        <v>39747</v>
      </c>
      <c r="J339">
        <v>1</v>
      </c>
      <c r="K339">
        <v>0</v>
      </c>
      <c r="L339">
        <v>1</v>
      </c>
      <c r="M339">
        <v>0</v>
      </c>
      <c r="N339">
        <f t="shared" si="10"/>
        <v>-0.56955545272149055</v>
      </c>
      <c r="O339">
        <f t="shared" si="11"/>
        <v>-0.30936704287488442</v>
      </c>
    </row>
    <row r="340" spans="1:15">
      <c r="A340">
        <v>1726</v>
      </c>
      <c r="B340">
        <v>3</v>
      </c>
      <c r="C340">
        <v>9</v>
      </c>
      <c r="D340">
        <v>15</v>
      </c>
      <c r="E340">
        <v>13</v>
      </c>
      <c r="F340">
        <v>2</v>
      </c>
      <c r="G340">
        <v>39</v>
      </c>
      <c r="H340" t="s">
        <v>12</v>
      </c>
      <c r="I340">
        <v>22585</v>
      </c>
      <c r="J340">
        <v>0</v>
      </c>
      <c r="K340">
        <v>0</v>
      </c>
      <c r="L340">
        <v>1</v>
      </c>
      <c r="M340">
        <v>0</v>
      </c>
      <c r="N340">
        <f t="shared" si="10"/>
        <v>-1.3636018437750705</v>
      </c>
      <c r="O340">
        <f t="shared" si="11"/>
        <v>-0.66779354227214582</v>
      </c>
    </row>
    <row r="341" spans="1:15">
      <c r="A341">
        <v>1729</v>
      </c>
      <c r="B341">
        <v>1043</v>
      </c>
      <c r="C341">
        <v>24</v>
      </c>
      <c r="D341">
        <v>97</v>
      </c>
      <c r="E341">
        <v>32</v>
      </c>
      <c r="F341">
        <v>24</v>
      </c>
      <c r="G341">
        <v>157</v>
      </c>
      <c r="H341" t="s">
        <v>11</v>
      </c>
      <c r="I341">
        <v>66426</v>
      </c>
      <c r="J341">
        <v>0</v>
      </c>
      <c r="K341">
        <v>1</v>
      </c>
      <c r="L341">
        <v>0</v>
      </c>
      <c r="M341">
        <v>1</v>
      </c>
      <c r="N341">
        <f t="shared" si="10"/>
        <v>0.66482070780283431</v>
      </c>
      <c r="O341">
        <f t="shared" si="11"/>
        <v>0.71102131717452255</v>
      </c>
    </row>
    <row r="342" spans="1:15">
      <c r="A342">
        <v>1734</v>
      </c>
      <c r="B342">
        <v>59</v>
      </c>
      <c r="C342">
        <v>0</v>
      </c>
      <c r="D342">
        <v>11</v>
      </c>
      <c r="E342">
        <v>4</v>
      </c>
      <c r="F342">
        <v>2</v>
      </c>
      <c r="G342">
        <v>5</v>
      </c>
      <c r="H342" t="s">
        <v>11</v>
      </c>
      <c r="I342">
        <v>40706</v>
      </c>
      <c r="J342">
        <v>2</v>
      </c>
      <c r="K342">
        <v>1</v>
      </c>
      <c r="L342">
        <v>0</v>
      </c>
      <c r="M342">
        <v>1</v>
      </c>
      <c r="N342">
        <f t="shared" si="10"/>
        <v>-0.52518472151181894</v>
      </c>
      <c r="O342">
        <f t="shared" si="11"/>
        <v>5.0151120157604416E-2</v>
      </c>
    </row>
    <row r="343" spans="1:15">
      <c r="A343">
        <v>1740</v>
      </c>
      <c r="B343">
        <v>760</v>
      </c>
      <c r="C343">
        <v>38</v>
      </c>
      <c r="D343">
        <v>104</v>
      </c>
      <c r="E343">
        <v>50</v>
      </c>
      <c r="F343">
        <v>9</v>
      </c>
      <c r="G343">
        <v>38</v>
      </c>
      <c r="H343" t="s">
        <v>11</v>
      </c>
      <c r="I343">
        <v>55956</v>
      </c>
      <c r="J343">
        <v>0</v>
      </c>
      <c r="K343">
        <v>0</v>
      </c>
      <c r="L343">
        <v>0</v>
      </c>
      <c r="M343">
        <v>1</v>
      </c>
      <c r="N343">
        <f t="shared" si="10"/>
        <v>0.18039781336564847</v>
      </c>
      <c r="O343">
        <f t="shared" si="11"/>
        <v>0.69866549480343265</v>
      </c>
    </row>
    <row r="344" spans="1:15">
      <c r="A344">
        <v>1743</v>
      </c>
      <c r="B344">
        <v>273</v>
      </c>
      <c r="C344">
        <v>86</v>
      </c>
      <c r="D344">
        <v>208</v>
      </c>
      <c r="E344">
        <v>177</v>
      </c>
      <c r="F344">
        <v>14</v>
      </c>
      <c r="G344">
        <v>43</v>
      </c>
      <c r="H344" t="s">
        <v>12</v>
      </c>
      <c r="I344">
        <v>69719</v>
      </c>
      <c r="J344">
        <v>0</v>
      </c>
      <c r="K344">
        <v>0</v>
      </c>
      <c r="L344">
        <v>1</v>
      </c>
      <c r="M344">
        <v>0</v>
      </c>
      <c r="N344">
        <f t="shared" si="10"/>
        <v>0.81718026762916218</v>
      </c>
      <c r="O344">
        <f t="shared" si="11"/>
        <v>0.52401156648960556</v>
      </c>
    </row>
    <row r="345" spans="1:15">
      <c r="A345">
        <v>1744</v>
      </c>
      <c r="B345">
        <v>9</v>
      </c>
      <c r="C345">
        <v>7</v>
      </c>
      <c r="D345">
        <v>13</v>
      </c>
      <c r="E345">
        <v>3</v>
      </c>
      <c r="F345">
        <v>2</v>
      </c>
      <c r="G345">
        <v>20</v>
      </c>
      <c r="H345" t="s">
        <v>12</v>
      </c>
      <c r="I345">
        <v>23529</v>
      </c>
      <c r="J345">
        <v>0</v>
      </c>
      <c r="K345">
        <v>1</v>
      </c>
      <c r="L345">
        <v>1</v>
      </c>
      <c r="M345">
        <v>0</v>
      </c>
      <c r="N345">
        <f t="shared" si="10"/>
        <v>-1.3199251281734752</v>
      </c>
      <c r="O345">
        <f t="shared" si="11"/>
        <v>-0.5650391160028585</v>
      </c>
    </row>
    <row r="346" spans="1:15">
      <c r="A346">
        <v>1745</v>
      </c>
      <c r="B346">
        <v>714</v>
      </c>
      <c r="C346">
        <v>76</v>
      </c>
      <c r="D346">
        <v>395</v>
      </c>
      <c r="E346">
        <v>116</v>
      </c>
      <c r="F346">
        <v>0</v>
      </c>
      <c r="G346">
        <v>12</v>
      </c>
      <c r="H346" t="s">
        <v>12</v>
      </c>
      <c r="I346">
        <v>85696</v>
      </c>
      <c r="J346">
        <v>0</v>
      </c>
      <c r="K346">
        <v>0</v>
      </c>
      <c r="L346">
        <v>1</v>
      </c>
      <c r="M346">
        <v>0</v>
      </c>
      <c r="N346">
        <f t="shared" si="10"/>
        <v>1.5563994256447227</v>
      </c>
      <c r="O346">
        <f t="shared" si="11"/>
        <v>0.69670648007082325</v>
      </c>
    </row>
    <row r="347" spans="1:15">
      <c r="A347">
        <v>1755</v>
      </c>
      <c r="B347">
        <v>30</v>
      </c>
      <c r="C347">
        <v>11</v>
      </c>
      <c r="D347">
        <v>25</v>
      </c>
      <c r="E347">
        <v>29</v>
      </c>
      <c r="F347">
        <v>1</v>
      </c>
      <c r="G347">
        <v>18</v>
      </c>
      <c r="H347" t="s">
        <v>11</v>
      </c>
      <c r="I347">
        <v>45204</v>
      </c>
      <c r="J347">
        <v>1</v>
      </c>
      <c r="K347">
        <v>0</v>
      </c>
      <c r="L347">
        <v>0</v>
      </c>
      <c r="M347">
        <v>1</v>
      </c>
      <c r="N347">
        <f t="shared" si="10"/>
        <v>-0.31707257450336984</v>
      </c>
      <c r="O347">
        <f t="shared" si="11"/>
        <v>0.20559828196868812</v>
      </c>
    </row>
    <row r="348" spans="1:15">
      <c r="A348">
        <v>1763</v>
      </c>
      <c r="B348">
        <v>1259</v>
      </c>
      <c r="C348">
        <v>172</v>
      </c>
      <c r="D348">
        <v>815</v>
      </c>
      <c r="E348">
        <v>97</v>
      </c>
      <c r="F348">
        <v>148</v>
      </c>
      <c r="G348">
        <v>33</v>
      </c>
      <c r="H348" t="s">
        <v>11</v>
      </c>
      <c r="I348">
        <v>87679</v>
      </c>
      <c r="J348">
        <v>0</v>
      </c>
      <c r="K348">
        <v>0</v>
      </c>
      <c r="L348">
        <v>0</v>
      </c>
      <c r="M348">
        <v>1</v>
      </c>
      <c r="N348">
        <f t="shared" si="10"/>
        <v>1.648148289032396</v>
      </c>
      <c r="O348">
        <f t="shared" si="11"/>
        <v>0.99876568006625865</v>
      </c>
    </row>
    <row r="349" spans="1:15">
      <c r="A349">
        <v>1764</v>
      </c>
      <c r="B349">
        <v>100</v>
      </c>
      <c r="C349">
        <v>2</v>
      </c>
      <c r="D349">
        <v>128</v>
      </c>
      <c r="E349">
        <v>23</v>
      </c>
      <c r="F349">
        <v>7</v>
      </c>
      <c r="G349">
        <v>10</v>
      </c>
      <c r="H349" t="s">
        <v>12</v>
      </c>
      <c r="I349">
        <v>33955</v>
      </c>
      <c r="J349">
        <v>1</v>
      </c>
      <c r="K349">
        <v>0</v>
      </c>
      <c r="L349">
        <v>1</v>
      </c>
      <c r="M349">
        <v>0</v>
      </c>
      <c r="N349">
        <f t="shared" si="10"/>
        <v>-0.83753801285331286</v>
      </c>
      <c r="O349">
        <f t="shared" si="11"/>
        <v>-0.42198528702210025</v>
      </c>
    </row>
    <row r="350" spans="1:15">
      <c r="A350">
        <v>1772</v>
      </c>
      <c r="B350">
        <v>1074</v>
      </c>
      <c r="C350">
        <v>37</v>
      </c>
      <c r="D350">
        <v>518</v>
      </c>
      <c r="E350">
        <v>193</v>
      </c>
      <c r="F350">
        <v>92</v>
      </c>
      <c r="G350">
        <v>129</v>
      </c>
      <c r="H350" t="s">
        <v>11</v>
      </c>
      <c r="I350">
        <v>79174</v>
      </c>
      <c r="J350">
        <v>0</v>
      </c>
      <c r="K350">
        <v>0</v>
      </c>
      <c r="L350">
        <v>0</v>
      </c>
      <c r="M350">
        <v>1</v>
      </c>
      <c r="N350">
        <f t="shared" si="10"/>
        <v>1.2546414392531919</v>
      </c>
      <c r="O350">
        <f t="shared" si="11"/>
        <v>0.99696877172524923</v>
      </c>
    </row>
    <row r="351" spans="1:15">
      <c r="A351">
        <v>1773</v>
      </c>
      <c r="B351">
        <v>5</v>
      </c>
      <c r="C351">
        <v>6</v>
      </c>
      <c r="D351">
        <v>15</v>
      </c>
      <c r="E351">
        <v>11</v>
      </c>
      <c r="F351">
        <v>7</v>
      </c>
      <c r="G351">
        <v>13</v>
      </c>
      <c r="H351" t="s">
        <v>11</v>
      </c>
      <c r="I351">
        <v>12393</v>
      </c>
      <c r="J351">
        <v>0</v>
      </c>
      <c r="K351">
        <v>0</v>
      </c>
      <c r="L351">
        <v>0</v>
      </c>
      <c r="M351">
        <v>1</v>
      </c>
      <c r="N351">
        <f t="shared" si="10"/>
        <v>-1.8351623156092443</v>
      </c>
      <c r="O351">
        <f t="shared" si="11"/>
        <v>-0.45895298963629277</v>
      </c>
    </row>
    <row r="352" spans="1:15">
      <c r="A352">
        <v>1777</v>
      </c>
      <c r="B352">
        <v>2</v>
      </c>
      <c r="C352">
        <v>2</v>
      </c>
      <c r="D352">
        <v>11</v>
      </c>
      <c r="E352">
        <v>41</v>
      </c>
      <c r="F352">
        <v>7</v>
      </c>
      <c r="G352">
        <v>11</v>
      </c>
      <c r="H352" t="s">
        <v>11</v>
      </c>
      <c r="I352">
        <v>25965</v>
      </c>
      <c r="J352">
        <v>0</v>
      </c>
      <c r="K352">
        <v>0</v>
      </c>
      <c r="L352">
        <v>0</v>
      </c>
      <c r="M352">
        <v>1</v>
      </c>
      <c r="N352">
        <f t="shared" si="10"/>
        <v>-1.2072169934219008</v>
      </c>
      <c r="O352">
        <f t="shared" si="11"/>
        <v>-0.280152610958742</v>
      </c>
    </row>
    <row r="353" spans="1:15">
      <c r="A353">
        <v>1802</v>
      </c>
      <c r="B353">
        <v>412</v>
      </c>
      <c r="C353">
        <v>5</v>
      </c>
      <c r="D353">
        <v>119</v>
      </c>
      <c r="E353">
        <v>38</v>
      </c>
      <c r="F353">
        <v>29</v>
      </c>
      <c r="G353">
        <v>77</v>
      </c>
      <c r="H353" t="s">
        <v>11</v>
      </c>
      <c r="I353">
        <v>64795</v>
      </c>
      <c r="J353">
        <v>0</v>
      </c>
      <c r="K353">
        <v>1</v>
      </c>
      <c r="L353">
        <v>0</v>
      </c>
      <c r="M353">
        <v>1</v>
      </c>
      <c r="N353">
        <f t="shared" si="10"/>
        <v>0.58935807735134915</v>
      </c>
      <c r="O353">
        <f t="shared" si="11"/>
        <v>0.68442529033271071</v>
      </c>
    </row>
    <row r="354" spans="1:15">
      <c r="A354">
        <v>1818</v>
      </c>
      <c r="B354">
        <v>25</v>
      </c>
      <c r="C354">
        <v>0</v>
      </c>
      <c r="D354">
        <v>8</v>
      </c>
      <c r="E354">
        <v>0</v>
      </c>
      <c r="F354">
        <v>1</v>
      </c>
      <c r="G354">
        <v>4</v>
      </c>
      <c r="H354" t="s">
        <v>11</v>
      </c>
      <c r="I354">
        <v>29732</v>
      </c>
      <c r="J354">
        <v>1</v>
      </c>
      <c r="K354">
        <v>0</v>
      </c>
      <c r="L354">
        <v>0</v>
      </c>
      <c r="M354">
        <v>1</v>
      </c>
      <c r="N354">
        <f t="shared" si="10"/>
        <v>-1.0329265403803649</v>
      </c>
      <c r="O354">
        <f t="shared" si="11"/>
        <v>-0.16835478943684792</v>
      </c>
    </row>
    <row r="355" spans="1:15">
      <c r="A355">
        <v>1826</v>
      </c>
      <c r="B355">
        <v>189</v>
      </c>
      <c r="C355">
        <v>104</v>
      </c>
      <c r="D355">
        <v>379</v>
      </c>
      <c r="E355">
        <v>111</v>
      </c>
      <c r="F355">
        <v>189</v>
      </c>
      <c r="G355">
        <v>218</v>
      </c>
      <c r="H355" t="s">
        <v>12</v>
      </c>
      <c r="I355">
        <v>84835</v>
      </c>
      <c r="J355">
        <v>0</v>
      </c>
      <c r="K355">
        <v>0</v>
      </c>
      <c r="L355">
        <v>1</v>
      </c>
      <c r="M355">
        <v>0</v>
      </c>
      <c r="N355">
        <f t="shared" si="10"/>
        <v>1.5165629297411489</v>
      </c>
      <c r="O355">
        <f t="shared" si="11"/>
        <v>0.69135123517969932</v>
      </c>
    </row>
    <row r="356" spans="1:15">
      <c r="A356">
        <v>1829</v>
      </c>
      <c r="B356">
        <v>1148</v>
      </c>
      <c r="C356">
        <v>0</v>
      </c>
      <c r="D356">
        <v>60</v>
      </c>
      <c r="E356">
        <v>0</v>
      </c>
      <c r="F356">
        <v>0</v>
      </c>
      <c r="G356">
        <v>24</v>
      </c>
      <c r="H356" t="s">
        <v>12</v>
      </c>
      <c r="I356">
        <v>54959</v>
      </c>
      <c r="J356">
        <v>0</v>
      </c>
      <c r="K356">
        <v>1</v>
      </c>
      <c r="L356">
        <v>1</v>
      </c>
      <c r="M356">
        <v>0</v>
      </c>
      <c r="N356">
        <f t="shared" si="10"/>
        <v>0.13426890928218391</v>
      </c>
      <c r="O356">
        <f t="shared" si="11"/>
        <v>7.8271688423016003E-2</v>
      </c>
    </row>
    <row r="357" spans="1:15">
      <c r="A357">
        <v>1833</v>
      </c>
      <c r="B357">
        <v>68</v>
      </c>
      <c r="C357">
        <v>8</v>
      </c>
      <c r="D357">
        <v>18</v>
      </c>
      <c r="E357">
        <v>19</v>
      </c>
      <c r="F357">
        <v>8</v>
      </c>
      <c r="G357">
        <v>12</v>
      </c>
      <c r="H357" t="s">
        <v>12</v>
      </c>
      <c r="I357">
        <v>39190</v>
      </c>
      <c r="J357">
        <v>1</v>
      </c>
      <c r="K357">
        <v>0</v>
      </c>
      <c r="L357">
        <v>1</v>
      </c>
      <c r="M357">
        <v>0</v>
      </c>
      <c r="N357">
        <f t="shared" si="10"/>
        <v>-0.59532656563471997</v>
      </c>
      <c r="O357">
        <f t="shared" si="11"/>
        <v>-0.32129703886801902</v>
      </c>
    </row>
    <row r="358" spans="1:15">
      <c r="A358">
        <v>1834</v>
      </c>
      <c r="B358">
        <v>30</v>
      </c>
      <c r="C358">
        <v>5</v>
      </c>
      <c r="D358">
        <v>23</v>
      </c>
      <c r="E358">
        <v>4</v>
      </c>
      <c r="F358">
        <v>1</v>
      </c>
      <c r="G358">
        <v>4</v>
      </c>
      <c r="H358" t="s">
        <v>12</v>
      </c>
      <c r="I358">
        <v>35544</v>
      </c>
      <c r="J358">
        <v>1</v>
      </c>
      <c r="K358">
        <v>0</v>
      </c>
      <c r="L358">
        <v>1</v>
      </c>
      <c r="M358">
        <v>0</v>
      </c>
      <c r="N358">
        <f t="shared" si="10"/>
        <v>-0.76401862610444105</v>
      </c>
      <c r="O358">
        <f t="shared" si="11"/>
        <v>-0.39361686511724181</v>
      </c>
    </row>
    <row r="359" spans="1:15">
      <c r="A359">
        <v>1839</v>
      </c>
      <c r="B359">
        <v>56</v>
      </c>
      <c r="C359">
        <v>7</v>
      </c>
      <c r="D359">
        <v>48</v>
      </c>
      <c r="E359">
        <v>10</v>
      </c>
      <c r="F359">
        <v>2</v>
      </c>
      <c r="G359">
        <v>18</v>
      </c>
      <c r="H359" t="s">
        <v>12</v>
      </c>
      <c r="I359">
        <v>43322</v>
      </c>
      <c r="J359">
        <v>0</v>
      </c>
      <c r="K359">
        <v>0</v>
      </c>
      <c r="L359">
        <v>1</v>
      </c>
      <c r="M359">
        <v>0</v>
      </c>
      <c r="N359">
        <f t="shared" si="10"/>
        <v>-0.40414839946333009</v>
      </c>
      <c r="O359">
        <f t="shared" si="11"/>
        <v>-0.3102995478809647</v>
      </c>
    </row>
    <row r="360" spans="1:15">
      <c r="A360">
        <v>1857</v>
      </c>
      <c r="B360">
        <v>46</v>
      </c>
      <c r="C360">
        <v>0</v>
      </c>
      <c r="D360">
        <v>12</v>
      </c>
      <c r="E360">
        <v>0</v>
      </c>
      <c r="F360">
        <v>2</v>
      </c>
      <c r="G360">
        <v>23</v>
      </c>
      <c r="H360" t="s">
        <v>12</v>
      </c>
      <c r="I360">
        <v>47139</v>
      </c>
      <c r="J360">
        <v>1</v>
      </c>
      <c r="K360">
        <v>1</v>
      </c>
      <c r="L360">
        <v>1</v>
      </c>
      <c r="M360">
        <v>0</v>
      </c>
      <c r="N360">
        <f t="shared" si="10"/>
        <v>-0.22754456106154039</v>
      </c>
      <c r="O360">
        <f t="shared" si="11"/>
        <v>-0.10786559542463972</v>
      </c>
    </row>
    <row r="361" spans="1:15">
      <c r="A361">
        <v>1859</v>
      </c>
      <c r="B361">
        <v>721</v>
      </c>
      <c r="C361">
        <v>111</v>
      </c>
      <c r="D361">
        <v>925</v>
      </c>
      <c r="E361">
        <v>97</v>
      </c>
      <c r="F361">
        <v>18</v>
      </c>
      <c r="G361">
        <v>18</v>
      </c>
      <c r="H361" t="s">
        <v>11</v>
      </c>
      <c r="I361">
        <v>75251</v>
      </c>
      <c r="J361">
        <v>0</v>
      </c>
      <c r="K361">
        <v>0</v>
      </c>
      <c r="L361">
        <v>0</v>
      </c>
      <c r="M361">
        <v>1</v>
      </c>
      <c r="N361">
        <f t="shared" si="10"/>
        <v>1.0731332238876639</v>
      </c>
      <c r="O361">
        <f t="shared" si="11"/>
        <v>0.98799858417836917</v>
      </c>
    </row>
    <row r="362" spans="1:15">
      <c r="A362">
        <v>1867</v>
      </c>
      <c r="B362">
        <v>652</v>
      </c>
      <c r="C362">
        <v>48</v>
      </c>
      <c r="D362">
        <v>350</v>
      </c>
      <c r="E362">
        <v>94</v>
      </c>
      <c r="F362">
        <v>84</v>
      </c>
      <c r="G362">
        <v>108</v>
      </c>
      <c r="H362" t="s">
        <v>12</v>
      </c>
      <c r="I362">
        <v>64849</v>
      </c>
      <c r="J362">
        <v>0</v>
      </c>
      <c r="K362">
        <v>0</v>
      </c>
      <c r="L362">
        <v>1</v>
      </c>
      <c r="M362">
        <v>0</v>
      </c>
      <c r="N362">
        <f t="shared" si="10"/>
        <v>0.59185653354042345</v>
      </c>
      <c r="O362">
        <f t="shared" si="11"/>
        <v>0.42178885709298425</v>
      </c>
    </row>
    <row r="363" spans="1:15">
      <c r="A363">
        <v>1876</v>
      </c>
      <c r="B363">
        <v>32</v>
      </c>
      <c r="C363">
        <v>0</v>
      </c>
      <c r="D363">
        <v>8</v>
      </c>
      <c r="E363">
        <v>23</v>
      </c>
      <c r="F363">
        <v>4</v>
      </c>
      <c r="G363">
        <v>18</v>
      </c>
      <c r="H363" t="s">
        <v>11</v>
      </c>
      <c r="I363">
        <v>18929</v>
      </c>
      <c r="J363">
        <v>0</v>
      </c>
      <c r="K363">
        <v>0</v>
      </c>
      <c r="L363">
        <v>0</v>
      </c>
      <c r="M363">
        <v>1</v>
      </c>
      <c r="N363">
        <f t="shared" si="10"/>
        <v>-1.5327565813168424</v>
      </c>
      <c r="O363">
        <f t="shared" si="11"/>
        <v>-0.38727117280707862</v>
      </c>
    </row>
    <row r="364" spans="1:15">
      <c r="A364">
        <v>1878</v>
      </c>
      <c r="B364">
        <v>4</v>
      </c>
      <c r="C364">
        <v>6</v>
      </c>
      <c r="D364">
        <v>8</v>
      </c>
      <c r="E364">
        <v>6</v>
      </c>
      <c r="F364">
        <v>3</v>
      </c>
      <c r="G364">
        <v>10</v>
      </c>
      <c r="H364" t="s">
        <v>11</v>
      </c>
      <c r="I364">
        <v>23148</v>
      </c>
      <c r="J364">
        <v>0</v>
      </c>
      <c r="K364">
        <v>0</v>
      </c>
      <c r="L364">
        <v>0</v>
      </c>
      <c r="M364">
        <v>1</v>
      </c>
      <c r="N364">
        <f t="shared" si="10"/>
        <v>-1.3375531246186105</v>
      </c>
      <c r="O364">
        <f t="shared" si="11"/>
        <v>-0.32759689283648141</v>
      </c>
    </row>
    <row r="365" spans="1:15">
      <c r="A365">
        <v>1880</v>
      </c>
      <c r="B365">
        <v>81</v>
      </c>
      <c r="C365">
        <v>0</v>
      </c>
      <c r="D365">
        <v>6</v>
      </c>
      <c r="E365">
        <v>0</v>
      </c>
      <c r="F365">
        <v>0</v>
      </c>
      <c r="G365">
        <v>6</v>
      </c>
      <c r="H365" t="s">
        <v>11</v>
      </c>
      <c r="I365">
        <v>53537</v>
      </c>
      <c r="J365">
        <v>1</v>
      </c>
      <c r="K365">
        <v>1</v>
      </c>
      <c r="L365">
        <v>0</v>
      </c>
      <c r="M365">
        <v>1</v>
      </c>
      <c r="N365">
        <f t="shared" si="10"/>
        <v>6.8476229636560373E-2</v>
      </c>
      <c r="O365">
        <f t="shared" si="11"/>
        <v>0.35609619913520002</v>
      </c>
    </row>
    <row r="366" spans="1:15">
      <c r="A366">
        <v>1890</v>
      </c>
      <c r="B366">
        <v>11</v>
      </c>
      <c r="C366">
        <v>1</v>
      </c>
      <c r="D366">
        <v>4</v>
      </c>
      <c r="E366">
        <v>2</v>
      </c>
      <c r="F366">
        <v>0</v>
      </c>
      <c r="G366">
        <v>7</v>
      </c>
      <c r="H366" t="s">
        <v>11</v>
      </c>
      <c r="I366">
        <v>42033</v>
      </c>
      <c r="J366">
        <v>1</v>
      </c>
      <c r="K366">
        <v>1</v>
      </c>
      <c r="L366">
        <v>0</v>
      </c>
      <c r="M366">
        <v>1</v>
      </c>
      <c r="N366">
        <f t="shared" si="10"/>
        <v>-0.46378747405067799</v>
      </c>
      <c r="O366">
        <f t="shared" si="11"/>
        <v>9.8423807109556241E-2</v>
      </c>
    </row>
    <row r="367" spans="1:15">
      <c r="A367">
        <v>1891</v>
      </c>
      <c r="B367">
        <v>667</v>
      </c>
      <c r="C367">
        <v>50</v>
      </c>
      <c r="D367">
        <v>850</v>
      </c>
      <c r="E367">
        <v>21</v>
      </c>
      <c r="F367">
        <v>83</v>
      </c>
      <c r="G367">
        <v>83</v>
      </c>
      <c r="H367" t="s">
        <v>12</v>
      </c>
      <c r="I367">
        <v>78789</v>
      </c>
      <c r="J367">
        <v>0</v>
      </c>
      <c r="K367">
        <v>0</v>
      </c>
      <c r="L367">
        <v>1</v>
      </c>
      <c r="M367">
        <v>0</v>
      </c>
      <c r="N367">
        <f t="shared" si="10"/>
        <v>1.2368283719792363</v>
      </c>
      <c r="O367">
        <f t="shared" si="11"/>
        <v>0.64396752377542377</v>
      </c>
    </row>
    <row r="368" spans="1:15">
      <c r="A368">
        <v>1907</v>
      </c>
      <c r="B368">
        <v>965</v>
      </c>
      <c r="C368">
        <v>69</v>
      </c>
      <c r="D368">
        <v>279</v>
      </c>
      <c r="E368">
        <v>54</v>
      </c>
      <c r="F368">
        <v>41</v>
      </c>
      <c r="G368">
        <v>69</v>
      </c>
      <c r="H368" t="s">
        <v>12</v>
      </c>
      <c r="I368">
        <v>63120</v>
      </c>
      <c r="J368">
        <v>0</v>
      </c>
      <c r="K368">
        <v>1</v>
      </c>
      <c r="L368">
        <v>1</v>
      </c>
      <c r="M368">
        <v>0</v>
      </c>
      <c r="N368">
        <f t="shared" si="10"/>
        <v>0.51185966778284042</v>
      </c>
      <c r="O368">
        <f t="shared" si="11"/>
        <v>0.28183662509877577</v>
      </c>
    </row>
    <row r="369" spans="1:15">
      <c r="A369">
        <v>1911</v>
      </c>
      <c r="B369">
        <v>595</v>
      </c>
      <c r="C369">
        <v>97</v>
      </c>
      <c r="D369">
        <v>291</v>
      </c>
      <c r="E369">
        <v>127</v>
      </c>
      <c r="F369">
        <v>133</v>
      </c>
      <c r="G369">
        <v>121</v>
      </c>
      <c r="H369" t="s">
        <v>11</v>
      </c>
      <c r="I369">
        <v>67430</v>
      </c>
      <c r="J369">
        <v>0</v>
      </c>
      <c r="K369">
        <v>0</v>
      </c>
      <c r="L369">
        <v>0</v>
      </c>
      <c r="M369">
        <v>1</v>
      </c>
      <c r="N369">
        <f t="shared" si="10"/>
        <v>0.71127348583673444</v>
      </c>
      <c r="O369">
        <f t="shared" si="11"/>
        <v>0.93677738833756752</v>
      </c>
    </row>
    <row r="370" spans="1:15">
      <c r="A370">
        <v>1915</v>
      </c>
      <c r="B370">
        <v>794</v>
      </c>
      <c r="C370">
        <v>115</v>
      </c>
      <c r="D370">
        <v>243</v>
      </c>
      <c r="E370">
        <v>150</v>
      </c>
      <c r="F370">
        <v>0</v>
      </c>
      <c r="G370">
        <v>205</v>
      </c>
      <c r="H370" t="s">
        <v>11</v>
      </c>
      <c r="I370">
        <v>78939</v>
      </c>
      <c r="J370">
        <v>0</v>
      </c>
      <c r="K370">
        <v>0</v>
      </c>
      <c r="L370">
        <v>0</v>
      </c>
      <c r="M370">
        <v>1</v>
      </c>
      <c r="N370">
        <f t="shared" si="10"/>
        <v>1.2437685280599982</v>
      </c>
      <c r="O370">
        <f t="shared" si="11"/>
        <v>0.99662940222489371</v>
      </c>
    </row>
    <row r="371" spans="1:15">
      <c r="A371">
        <v>1916</v>
      </c>
      <c r="B371">
        <v>188</v>
      </c>
      <c r="C371">
        <v>3</v>
      </c>
      <c r="D371">
        <v>180</v>
      </c>
      <c r="E371">
        <v>20</v>
      </c>
      <c r="F371">
        <v>3</v>
      </c>
      <c r="G371">
        <v>43</v>
      </c>
      <c r="H371" t="s">
        <v>11</v>
      </c>
      <c r="I371">
        <v>45736</v>
      </c>
      <c r="J371">
        <v>0</v>
      </c>
      <c r="K371">
        <v>1</v>
      </c>
      <c r="L371">
        <v>0</v>
      </c>
      <c r="M371">
        <v>1</v>
      </c>
      <c r="N371">
        <f t="shared" si="10"/>
        <v>-0.29245815427026739</v>
      </c>
      <c r="O371">
        <f t="shared" si="11"/>
        <v>0.22045126838116721</v>
      </c>
    </row>
    <row r="372" spans="1:15">
      <c r="A372">
        <v>1920</v>
      </c>
      <c r="B372">
        <v>44</v>
      </c>
      <c r="C372">
        <v>4</v>
      </c>
      <c r="D372">
        <v>21</v>
      </c>
      <c r="E372">
        <v>6</v>
      </c>
      <c r="F372">
        <v>0</v>
      </c>
      <c r="G372">
        <v>27</v>
      </c>
      <c r="H372" t="s">
        <v>11</v>
      </c>
      <c r="I372">
        <v>40321</v>
      </c>
      <c r="J372">
        <v>1</v>
      </c>
      <c r="K372">
        <v>1</v>
      </c>
      <c r="L372">
        <v>0</v>
      </c>
      <c r="M372">
        <v>1</v>
      </c>
      <c r="N372">
        <f t="shared" si="10"/>
        <v>-0.54299778878577465</v>
      </c>
      <c r="O372">
        <f t="shared" si="11"/>
        <v>6.1087989365249319E-2</v>
      </c>
    </row>
    <row r="373" spans="1:15">
      <c r="A373">
        <v>1921</v>
      </c>
      <c r="B373">
        <v>46</v>
      </c>
      <c r="C373">
        <v>1</v>
      </c>
      <c r="D373">
        <v>12</v>
      </c>
      <c r="E373">
        <v>3</v>
      </c>
      <c r="F373">
        <v>0</v>
      </c>
      <c r="G373">
        <v>9</v>
      </c>
      <c r="H373" t="s">
        <v>11</v>
      </c>
      <c r="I373">
        <v>59062</v>
      </c>
      <c r="J373">
        <v>2</v>
      </c>
      <c r="K373">
        <v>1</v>
      </c>
      <c r="L373">
        <v>0</v>
      </c>
      <c r="M373">
        <v>1</v>
      </c>
      <c r="N373">
        <f t="shared" si="10"/>
        <v>0.32410531194462644</v>
      </c>
      <c r="O373">
        <f t="shared" si="11"/>
        <v>0.33549331064980109</v>
      </c>
    </row>
    <row r="374" spans="1:15">
      <c r="A374">
        <v>1927</v>
      </c>
      <c r="B374">
        <v>399</v>
      </c>
      <c r="C374">
        <v>27</v>
      </c>
      <c r="D374">
        <v>159</v>
      </c>
      <c r="E374">
        <v>58</v>
      </c>
      <c r="F374">
        <v>8</v>
      </c>
      <c r="G374">
        <v>39</v>
      </c>
      <c r="H374" t="s">
        <v>11</v>
      </c>
      <c r="I374">
        <v>69401</v>
      </c>
      <c r="J374">
        <v>0</v>
      </c>
      <c r="K374">
        <v>1</v>
      </c>
      <c r="L374">
        <v>0</v>
      </c>
      <c r="M374">
        <v>1</v>
      </c>
      <c r="N374">
        <f t="shared" si="10"/>
        <v>0.80246713673794678</v>
      </c>
      <c r="O374">
        <f t="shared" si="11"/>
        <v>0.75342714181772241</v>
      </c>
    </row>
    <row r="375" spans="1:15">
      <c r="A375">
        <v>1928</v>
      </c>
      <c r="B375">
        <v>35</v>
      </c>
      <c r="C375">
        <v>3</v>
      </c>
      <c r="D375">
        <v>20</v>
      </c>
      <c r="E375">
        <v>4</v>
      </c>
      <c r="F375">
        <v>1</v>
      </c>
      <c r="G375">
        <v>20</v>
      </c>
      <c r="H375" t="s">
        <v>11</v>
      </c>
      <c r="I375">
        <v>31814</v>
      </c>
      <c r="J375">
        <v>1</v>
      </c>
      <c r="K375">
        <v>0</v>
      </c>
      <c r="L375">
        <v>0</v>
      </c>
      <c r="M375">
        <v>1</v>
      </c>
      <c r="N375">
        <f t="shared" si="10"/>
        <v>-0.9365971739793888</v>
      </c>
      <c r="O375">
        <f t="shared" si="11"/>
        <v>-0.12678785872119436</v>
      </c>
    </row>
    <row r="376" spans="1:15">
      <c r="A376">
        <v>1940</v>
      </c>
      <c r="B376">
        <v>1</v>
      </c>
      <c r="C376">
        <v>3</v>
      </c>
      <c r="D376">
        <v>4</v>
      </c>
      <c r="E376">
        <v>2</v>
      </c>
      <c r="F376">
        <v>2</v>
      </c>
      <c r="G376">
        <v>6</v>
      </c>
      <c r="H376" t="s">
        <v>11</v>
      </c>
      <c r="I376">
        <v>25252</v>
      </c>
      <c r="J376">
        <v>1</v>
      </c>
      <c r="K376">
        <v>0</v>
      </c>
      <c r="L376">
        <v>0</v>
      </c>
      <c r="M376">
        <v>1</v>
      </c>
      <c r="N376">
        <f t="shared" si="10"/>
        <v>-1.2402058686591226</v>
      </c>
      <c r="O376">
        <f t="shared" si="11"/>
        <v>-0.24800082628149939</v>
      </c>
    </row>
    <row r="377" spans="1:15">
      <c r="A377">
        <v>1945</v>
      </c>
      <c r="B377">
        <v>711</v>
      </c>
      <c r="C377">
        <v>36</v>
      </c>
      <c r="D377">
        <v>217</v>
      </c>
      <c r="E377">
        <v>172</v>
      </c>
      <c r="F377">
        <v>96</v>
      </c>
      <c r="G377">
        <v>168</v>
      </c>
      <c r="H377" t="s">
        <v>11</v>
      </c>
      <c r="I377">
        <v>71434</v>
      </c>
      <c r="J377">
        <v>0</v>
      </c>
      <c r="K377">
        <v>1</v>
      </c>
      <c r="L377">
        <v>0</v>
      </c>
      <c r="M377">
        <v>1</v>
      </c>
      <c r="N377">
        <f t="shared" si="10"/>
        <v>0.89652938548587413</v>
      </c>
      <c r="O377">
        <f t="shared" si="11"/>
        <v>0.77815963054230086</v>
      </c>
    </row>
    <row r="378" spans="1:15">
      <c r="A378">
        <v>1951</v>
      </c>
      <c r="B378">
        <v>228</v>
      </c>
      <c r="C378">
        <v>122</v>
      </c>
      <c r="D378">
        <v>122</v>
      </c>
      <c r="E378">
        <v>208</v>
      </c>
      <c r="F378">
        <v>129</v>
      </c>
      <c r="G378">
        <v>30</v>
      </c>
      <c r="H378" t="s">
        <v>11</v>
      </c>
      <c r="I378">
        <v>34445</v>
      </c>
      <c r="J378">
        <v>0</v>
      </c>
      <c r="K378">
        <v>0</v>
      </c>
      <c r="L378">
        <v>0</v>
      </c>
      <c r="M378">
        <v>1</v>
      </c>
      <c r="N378">
        <f t="shared" si="10"/>
        <v>-0.81486683632282375</v>
      </c>
      <c r="O378">
        <f t="shared" si="11"/>
        <v>-8.857207373260309E-2</v>
      </c>
    </row>
    <row r="379" spans="1:15">
      <c r="A379">
        <v>1958</v>
      </c>
      <c r="B379">
        <v>582</v>
      </c>
      <c r="C379">
        <v>0</v>
      </c>
      <c r="D379">
        <v>65</v>
      </c>
      <c r="E379">
        <v>0</v>
      </c>
      <c r="F379">
        <v>0</v>
      </c>
      <c r="G379">
        <v>13</v>
      </c>
      <c r="H379" t="s">
        <v>11</v>
      </c>
      <c r="I379">
        <v>55012</v>
      </c>
      <c r="J379">
        <v>0</v>
      </c>
      <c r="K379">
        <v>1</v>
      </c>
      <c r="L379">
        <v>0</v>
      </c>
      <c r="M379">
        <v>1</v>
      </c>
      <c r="N379">
        <f t="shared" si="10"/>
        <v>0.13672109776405311</v>
      </c>
      <c r="O379">
        <f t="shared" si="11"/>
        <v>0.47421880335158639</v>
      </c>
    </row>
    <row r="380" spans="1:15">
      <c r="A380">
        <v>1964</v>
      </c>
      <c r="B380">
        <v>446</v>
      </c>
      <c r="C380">
        <v>107</v>
      </c>
      <c r="D380">
        <v>768</v>
      </c>
      <c r="E380">
        <v>33</v>
      </c>
      <c r="F380">
        <v>196</v>
      </c>
      <c r="G380">
        <v>53</v>
      </c>
      <c r="H380" t="s">
        <v>11</v>
      </c>
      <c r="I380">
        <v>86610</v>
      </c>
      <c r="J380">
        <v>0</v>
      </c>
      <c r="K380">
        <v>0</v>
      </c>
      <c r="L380">
        <v>0</v>
      </c>
      <c r="M380">
        <v>1</v>
      </c>
      <c r="N380">
        <f t="shared" si="10"/>
        <v>1.5986881100301655</v>
      </c>
      <c r="O380">
        <f t="shared" si="11"/>
        <v>0.99934903439944289</v>
      </c>
    </row>
    <row r="381" spans="1:15">
      <c r="A381">
        <v>1966</v>
      </c>
      <c r="B381">
        <v>684</v>
      </c>
      <c r="C381">
        <v>100</v>
      </c>
      <c r="D381">
        <v>801</v>
      </c>
      <c r="E381">
        <v>21</v>
      </c>
      <c r="F381">
        <v>66</v>
      </c>
      <c r="G381">
        <v>0</v>
      </c>
      <c r="H381" t="s">
        <v>11</v>
      </c>
      <c r="I381">
        <v>84618</v>
      </c>
      <c r="J381">
        <v>0</v>
      </c>
      <c r="K381">
        <v>0</v>
      </c>
      <c r="L381">
        <v>0</v>
      </c>
      <c r="M381">
        <v>1</v>
      </c>
      <c r="N381">
        <f t="shared" si="10"/>
        <v>1.5065228372776467</v>
      </c>
      <c r="O381">
        <f t="shared" si="11"/>
        <v>0.99995904288356896</v>
      </c>
    </row>
    <row r="382" spans="1:15">
      <c r="A382">
        <v>1968</v>
      </c>
      <c r="B382">
        <v>5</v>
      </c>
      <c r="C382">
        <v>1</v>
      </c>
      <c r="D382">
        <v>5</v>
      </c>
      <c r="E382">
        <v>10</v>
      </c>
      <c r="F382">
        <v>0</v>
      </c>
      <c r="G382">
        <v>7</v>
      </c>
      <c r="H382" t="s">
        <v>12</v>
      </c>
      <c r="I382">
        <v>45684</v>
      </c>
      <c r="J382">
        <v>1</v>
      </c>
      <c r="K382">
        <v>0</v>
      </c>
      <c r="L382">
        <v>1</v>
      </c>
      <c r="M382">
        <v>0</v>
      </c>
      <c r="N382">
        <f t="shared" si="10"/>
        <v>-0.29486407504493156</v>
      </c>
      <c r="O382">
        <f t="shared" si="11"/>
        <v>-0.169028224658372</v>
      </c>
    </row>
    <row r="383" spans="1:15">
      <c r="A383">
        <v>1970</v>
      </c>
      <c r="B383">
        <v>63</v>
      </c>
      <c r="C383">
        <v>0</v>
      </c>
      <c r="D383">
        <v>21</v>
      </c>
      <c r="E383">
        <v>7</v>
      </c>
      <c r="F383">
        <v>0</v>
      </c>
      <c r="G383">
        <v>12</v>
      </c>
      <c r="H383" t="s">
        <v>11</v>
      </c>
      <c r="I383">
        <v>34053</v>
      </c>
      <c r="J383">
        <v>0</v>
      </c>
      <c r="K383">
        <v>1</v>
      </c>
      <c r="L383">
        <v>0</v>
      </c>
      <c r="M383">
        <v>1</v>
      </c>
      <c r="N383">
        <f t="shared" si="10"/>
        <v>-0.83300377754721511</v>
      </c>
      <c r="O383">
        <f t="shared" si="11"/>
        <v>-7.8762964826545462E-2</v>
      </c>
    </row>
    <row r="384" spans="1:15">
      <c r="A384">
        <v>1987</v>
      </c>
      <c r="B384">
        <v>1</v>
      </c>
      <c r="C384">
        <v>10</v>
      </c>
      <c r="D384">
        <v>11</v>
      </c>
      <c r="E384">
        <v>19</v>
      </c>
      <c r="F384">
        <v>3</v>
      </c>
      <c r="G384">
        <v>15</v>
      </c>
      <c r="H384" t="s">
        <v>12</v>
      </c>
      <c r="I384">
        <v>21063</v>
      </c>
      <c r="J384">
        <v>1</v>
      </c>
      <c r="K384">
        <v>0</v>
      </c>
      <c r="L384">
        <v>1</v>
      </c>
      <c r="M384">
        <v>0</v>
      </c>
      <c r="N384">
        <f t="shared" si="10"/>
        <v>-1.4340212941412021</v>
      </c>
      <c r="O384">
        <f t="shared" si="11"/>
        <v>-0.58962671109488518</v>
      </c>
    </row>
    <row r="385" spans="1:15">
      <c r="A385">
        <v>1990</v>
      </c>
      <c r="B385">
        <v>965</v>
      </c>
      <c r="C385">
        <v>34</v>
      </c>
      <c r="D385">
        <v>586</v>
      </c>
      <c r="E385">
        <v>89</v>
      </c>
      <c r="F385">
        <v>86</v>
      </c>
      <c r="G385">
        <v>37</v>
      </c>
      <c r="H385" t="s">
        <v>12</v>
      </c>
      <c r="I385">
        <v>63159</v>
      </c>
      <c r="J385">
        <v>0</v>
      </c>
      <c r="K385">
        <v>0</v>
      </c>
      <c r="L385">
        <v>1</v>
      </c>
      <c r="M385">
        <v>0</v>
      </c>
      <c r="N385">
        <f t="shared" si="10"/>
        <v>0.51366410836383847</v>
      </c>
      <c r="O385">
        <f t="shared" si="11"/>
        <v>0.37837650775552456</v>
      </c>
    </row>
    <row r="386" spans="1:15">
      <c r="A386">
        <v>1991</v>
      </c>
      <c r="B386">
        <v>78</v>
      </c>
      <c r="C386">
        <v>0</v>
      </c>
      <c r="D386">
        <v>11</v>
      </c>
      <c r="E386">
        <v>0</v>
      </c>
      <c r="F386">
        <v>0</v>
      </c>
      <c r="G386">
        <v>7</v>
      </c>
      <c r="H386" t="s">
        <v>11</v>
      </c>
      <c r="I386">
        <v>44931</v>
      </c>
      <c r="J386">
        <v>0</v>
      </c>
      <c r="K386">
        <v>1</v>
      </c>
      <c r="L386">
        <v>0</v>
      </c>
      <c r="M386">
        <v>1</v>
      </c>
      <c r="N386">
        <f t="shared" si="10"/>
        <v>-0.32970365857035666</v>
      </c>
      <c r="O386">
        <f t="shared" si="11"/>
        <v>0.19799643156335617</v>
      </c>
    </row>
    <row r="387" spans="1:15">
      <c r="A387">
        <v>1992</v>
      </c>
      <c r="B387">
        <v>522</v>
      </c>
      <c r="C387">
        <v>0</v>
      </c>
      <c r="D387">
        <v>257</v>
      </c>
      <c r="E387">
        <v>32</v>
      </c>
      <c r="F387">
        <v>16</v>
      </c>
      <c r="G387">
        <v>66</v>
      </c>
      <c r="H387" t="s">
        <v>11</v>
      </c>
      <c r="I387">
        <v>60597</v>
      </c>
      <c r="J387">
        <v>0</v>
      </c>
      <c r="K387">
        <v>1</v>
      </c>
      <c r="L387">
        <v>0</v>
      </c>
      <c r="M387">
        <v>1</v>
      </c>
      <c r="N387">
        <f t="shared" ref="N387:N450" si="12">STANDARDIZE(I387,$Q$1,$R$1)</f>
        <v>0.39512624250442396</v>
      </c>
      <c r="O387">
        <f t="shared" ref="O387:O450" si="13">SUMPRODUCT(J387:N387,$Q$4:$U$4) / SQRT(SUMSQ(J387:N387) * SUMSQ($Q$4:$U$4))</f>
        <v>0.60458926187749007</v>
      </c>
    </row>
    <row r="388" spans="1:15">
      <c r="A388">
        <v>1993</v>
      </c>
      <c r="B388">
        <v>867</v>
      </c>
      <c r="C388">
        <v>0</v>
      </c>
      <c r="D388">
        <v>86</v>
      </c>
      <c r="E388">
        <v>0</v>
      </c>
      <c r="F388">
        <v>0</v>
      </c>
      <c r="G388">
        <v>19</v>
      </c>
      <c r="H388" t="s">
        <v>11</v>
      </c>
      <c r="I388">
        <v>58607</v>
      </c>
      <c r="J388">
        <v>0</v>
      </c>
      <c r="K388">
        <v>1</v>
      </c>
      <c r="L388">
        <v>0</v>
      </c>
      <c r="M388">
        <v>1</v>
      </c>
      <c r="N388">
        <f t="shared" si="12"/>
        <v>0.30305350516631513</v>
      </c>
      <c r="O388">
        <f t="shared" si="13"/>
        <v>0.56109055944394226</v>
      </c>
    </row>
    <row r="389" spans="1:15">
      <c r="A389">
        <v>2002</v>
      </c>
      <c r="B389">
        <v>587</v>
      </c>
      <c r="C389">
        <v>51</v>
      </c>
      <c r="D389">
        <v>932</v>
      </c>
      <c r="E389">
        <v>180</v>
      </c>
      <c r="F389">
        <v>34</v>
      </c>
      <c r="G389">
        <v>86</v>
      </c>
      <c r="H389" t="s">
        <v>12</v>
      </c>
      <c r="I389">
        <v>71964</v>
      </c>
      <c r="J389">
        <v>0</v>
      </c>
      <c r="K389">
        <v>0</v>
      </c>
      <c r="L389">
        <v>1</v>
      </c>
      <c r="M389">
        <v>0</v>
      </c>
      <c r="N389">
        <f t="shared" si="12"/>
        <v>0.92105127030456646</v>
      </c>
      <c r="O389">
        <f t="shared" si="13"/>
        <v>0.56103022661150159</v>
      </c>
    </row>
    <row r="390" spans="1:15">
      <c r="A390">
        <v>2004</v>
      </c>
      <c r="B390">
        <v>619</v>
      </c>
      <c r="C390">
        <v>54</v>
      </c>
      <c r="D390">
        <v>260</v>
      </c>
      <c r="E390">
        <v>127</v>
      </c>
      <c r="F390">
        <v>54</v>
      </c>
      <c r="G390">
        <v>54</v>
      </c>
      <c r="H390" t="s">
        <v>12</v>
      </c>
      <c r="I390">
        <v>72679</v>
      </c>
      <c r="J390">
        <v>0</v>
      </c>
      <c r="K390">
        <v>1</v>
      </c>
      <c r="L390">
        <v>1</v>
      </c>
      <c r="M390">
        <v>0</v>
      </c>
      <c r="N390">
        <f t="shared" si="12"/>
        <v>0.95413268095619852</v>
      </c>
      <c r="O390">
        <f t="shared" si="13"/>
        <v>0.4631563054176433</v>
      </c>
    </row>
    <row r="391" spans="1:15">
      <c r="A391">
        <v>2005</v>
      </c>
      <c r="B391">
        <v>22</v>
      </c>
      <c r="C391">
        <v>3</v>
      </c>
      <c r="D391">
        <v>30</v>
      </c>
      <c r="E391">
        <v>0</v>
      </c>
      <c r="F391">
        <v>5</v>
      </c>
      <c r="G391">
        <v>15</v>
      </c>
      <c r="H391" t="s">
        <v>11</v>
      </c>
      <c r="I391">
        <v>35765</v>
      </c>
      <c r="J391">
        <v>1</v>
      </c>
      <c r="K391">
        <v>0</v>
      </c>
      <c r="L391">
        <v>0</v>
      </c>
      <c r="M391">
        <v>1</v>
      </c>
      <c r="N391">
        <f t="shared" si="12"/>
        <v>-0.75379346281211834</v>
      </c>
      <c r="O391">
        <f t="shared" si="13"/>
        <v>-3.9735615389796877E-2</v>
      </c>
    </row>
    <row r="392" spans="1:15">
      <c r="A392">
        <v>2008</v>
      </c>
      <c r="B392">
        <v>372</v>
      </c>
      <c r="C392">
        <v>23</v>
      </c>
      <c r="D392">
        <v>384</v>
      </c>
      <c r="E392">
        <v>250</v>
      </c>
      <c r="F392">
        <v>12</v>
      </c>
      <c r="G392">
        <v>108</v>
      </c>
      <c r="H392" t="s">
        <v>11</v>
      </c>
      <c r="I392">
        <v>77583</v>
      </c>
      <c r="J392">
        <v>0</v>
      </c>
      <c r="K392">
        <v>0</v>
      </c>
      <c r="L392">
        <v>0</v>
      </c>
      <c r="M392">
        <v>1</v>
      </c>
      <c r="N392">
        <f t="shared" si="12"/>
        <v>1.1810295170899101</v>
      </c>
      <c r="O392">
        <f t="shared" si="13"/>
        <v>0.99422380588900228</v>
      </c>
    </row>
    <row r="393" spans="1:15">
      <c r="A393">
        <v>2021</v>
      </c>
      <c r="B393">
        <v>563</v>
      </c>
      <c r="C393">
        <v>76</v>
      </c>
      <c r="D393">
        <v>384</v>
      </c>
      <c r="E393">
        <v>84</v>
      </c>
      <c r="F393">
        <v>192</v>
      </c>
      <c r="G393">
        <v>89</v>
      </c>
      <c r="H393" t="s">
        <v>11</v>
      </c>
      <c r="I393">
        <v>61456</v>
      </c>
      <c r="J393">
        <v>0</v>
      </c>
      <c r="K393">
        <v>1</v>
      </c>
      <c r="L393">
        <v>0</v>
      </c>
      <c r="M393">
        <v>1</v>
      </c>
      <c r="N393">
        <f t="shared" si="12"/>
        <v>0.43487020299358758</v>
      </c>
      <c r="O393">
        <f t="shared" si="13"/>
        <v>0.62226162231181525</v>
      </c>
    </row>
    <row r="394" spans="1:15">
      <c r="A394">
        <v>2036</v>
      </c>
      <c r="B394">
        <v>243</v>
      </c>
      <c r="C394">
        <v>11</v>
      </c>
      <c r="D394">
        <v>119</v>
      </c>
      <c r="E394">
        <v>10</v>
      </c>
      <c r="F394">
        <v>3</v>
      </c>
      <c r="G394">
        <v>15</v>
      </c>
      <c r="H394" t="s">
        <v>11</v>
      </c>
      <c r="I394">
        <v>57906</v>
      </c>
      <c r="J394">
        <v>0</v>
      </c>
      <c r="K394">
        <v>1</v>
      </c>
      <c r="L394">
        <v>0</v>
      </c>
      <c r="M394">
        <v>1</v>
      </c>
      <c r="N394">
        <f t="shared" si="12"/>
        <v>0.27061984241555415</v>
      </c>
      <c r="O394">
        <f t="shared" si="13"/>
        <v>0.54494901800974849</v>
      </c>
    </row>
    <row r="395" spans="1:15">
      <c r="A395">
        <v>2061</v>
      </c>
      <c r="B395">
        <v>78</v>
      </c>
      <c r="C395">
        <v>0</v>
      </c>
      <c r="D395">
        <v>11</v>
      </c>
      <c r="E395">
        <v>0</v>
      </c>
      <c r="F395">
        <v>0</v>
      </c>
      <c r="G395">
        <v>10</v>
      </c>
      <c r="H395" t="s">
        <v>11</v>
      </c>
      <c r="I395">
        <v>50737</v>
      </c>
      <c r="J395">
        <v>0</v>
      </c>
      <c r="K395">
        <v>1</v>
      </c>
      <c r="L395">
        <v>0</v>
      </c>
      <c r="M395">
        <v>1</v>
      </c>
      <c r="N395">
        <f t="shared" si="12"/>
        <v>-6.1073350537663156E-2</v>
      </c>
      <c r="O395">
        <f t="shared" si="13"/>
        <v>0.36027172173734201</v>
      </c>
    </row>
    <row r="396" spans="1:15">
      <c r="A396">
        <v>2066</v>
      </c>
      <c r="B396">
        <v>70</v>
      </c>
      <c r="C396">
        <v>0</v>
      </c>
      <c r="D396">
        <v>11</v>
      </c>
      <c r="E396">
        <v>2</v>
      </c>
      <c r="F396">
        <v>8</v>
      </c>
      <c r="G396">
        <v>23</v>
      </c>
      <c r="H396" t="s">
        <v>11</v>
      </c>
      <c r="I396">
        <v>38823</v>
      </c>
      <c r="J396">
        <v>0</v>
      </c>
      <c r="K396">
        <v>1</v>
      </c>
      <c r="L396">
        <v>0</v>
      </c>
      <c r="M396">
        <v>1</v>
      </c>
      <c r="N396">
        <f t="shared" si="12"/>
        <v>-0.61230681417898425</v>
      </c>
      <c r="O396">
        <f t="shared" si="13"/>
        <v>3.470885094962322E-2</v>
      </c>
    </row>
    <row r="397" spans="1:15">
      <c r="A397">
        <v>2072</v>
      </c>
      <c r="B397">
        <v>896</v>
      </c>
      <c r="C397">
        <v>10</v>
      </c>
      <c r="D397">
        <v>101</v>
      </c>
      <c r="E397">
        <v>13</v>
      </c>
      <c r="F397">
        <v>10</v>
      </c>
      <c r="G397">
        <v>34</v>
      </c>
      <c r="H397" t="s">
        <v>11</v>
      </c>
      <c r="I397">
        <v>53374</v>
      </c>
      <c r="J397">
        <v>0</v>
      </c>
      <c r="K397">
        <v>1</v>
      </c>
      <c r="L397">
        <v>0</v>
      </c>
      <c r="M397">
        <v>1</v>
      </c>
      <c r="N397">
        <f t="shared" si="12"/>
        <v>6.0934593362132361E-2</v>
      </c>
      <c r="O397">
        <f t="shared" si="13"/>
        <v>0.43165105026826106</v>
      </c>
    </row>
    <row r="398" spans="1:15">
      <c r="A398">
        <v>2075</v>
      </c>
      <c r="B398">
        <v>377</v>
      </c>
      <c r="C398">
        <v>10</v>
      </c>
      <c r="D398">
        <v>540</v>
      </c>
      <c r="E398">
        <v>80</v>
      </c>
      <c r="F398">
        <v>30</v>
      </c>
      <c r="G398">
        <v>10</v>
      </c>
      <c r="H398" t="s">
        <v>11</v>
      </c>
      <c r="I398">
        <v>72460</v>
      </c>
      <c r="J398">
        <v>0</v>
      </c>
      <c r="K398">
        <v>0</v>
      </c>
      <c r="L398">
        <v>0</v>
      </c>
      <c r="M398">
        <v>1</v>
      </c>
      <c r="N398">
        <f t="shared" si="12"/>
        <v>0.94400005307828605</v>
      </c>
      <c r="O398">
        <f t="shared" si="13"/>
        <v>0.97608379349657448</v>
      </c>
    </row>
    <row r="399" spans="1:15">
      <c r="A399">
        <v>2079</v>
      </c>
      <c r="B399">
        <v>450</v>
      </c>
      <c r="C399">
        <v>26</v>
      </c>
      <c r="D399">
        <v>535</v>
      </c>
      <c r="E399">
        <v>73</v>
      </c>
      <c r="F399">
        <v>98</v>
      </c>
      <c r="G399">
        <v>26</v>
      </c>
      <c r="H399" t="s">
        <v>11</v>
      </c>
      <c r="I399">
        <v>81044</v>
      </c>
      <c r="J399">
        <v>0</v>
      </c>
      <c r="K399">
        <v>0</v>
      </c>
      <c r="L399">
        <v>0</v>
      </c>
      <c r="M399">
        <v>1</v>
      </c>
      <c r="N399">
        <f t="shared" si="12"/>
        <v>1.3411620517266913</v>
      </c>
      <c r="O399">
        <f t="shared" si="13"/>
        <v>0.99895862825016213</v>
      </c>
    </row>
    <row r="400" spans="1:15">
      <c r="A400">
        <v>2088</v>
      </c>
      <c r="B400">
        <v>997</v>
      </c>
      <c r="C400">
        <v>15</v>
      </c>
      <c r="D400">
        <v>414</v>
      </c>
      <c r="E400">
        <v>99</v>
      </c>
      <c r="F400">
        <v>30</v>
      </c>
      <c r="G400">
        <v>76</v>
      </c>
      <c r="H400" t="s">
        <v>11</v>
      </c>
      <c r="I400">
        <v>84906</v>
      </c>
      <c r="J400">
        <v>0</v>
      </c>
      <c r="K400">
        <v>0</v>
      </c>
      <c r="L400">
        <v>0</v>
      </c>
      <c r="M400">
        <v>1</v>
      </c>
      <c r="N400">
        <f t="shared" si="12"/>
        <v>1.5198479369527096</v>
      </c>
      <c r="O400">
        <f t="shared" si="13"/>
        <v>0.99991418016276123</v>
      </c>
    </row>
    <row r="401" spans="1:15">
      <c r="A401">
        <v>2098</v>
      </c>
      <c r="B401">
        <v>11</v>
      </c>
      <c r="C401">
        <v>0</v>
      </c>
      <c r="D401">
        <v>5</v>
      </c>
      <c r="E401">
        <v>0</v>
      </c>
      <c r="F401">
        <v>0</v>
      </c>
      <c r="G401">
        <v>1</v>
      </c>
      <c r="H401" t="s">
        <v>11</v>
      </c>
      <c r="I401">
        <v>33581</v>
      </c>
      <c r="J401">
        <v>2</v>
      </c>
      <c r="K401">
        <v>0</v>
      </c>
      <c r="L401">
        <v>0</v>
      </c>
      <c r="M401">
        <v>1</v>
      </c>
      <c r="N401">
        <f t="shared" si="12"/>
        <v>-0.85484213534801279</v>
      </c>
      <c r="O401">
        <f t="shared" si="13"/>
        <v>-6.155610307113716E-2</v>
      </c>
    </row>
    <row r="402" spans="1:15">
      <c r="A402">
        <v>2106</v>
      </c>
      <c r="B402">
        <v>0</v>
      </c>
      <c r="C402">
        <v>6</v>
      </c>
      <c r="D402">
        <v>3</v>
      </c>
      <c r="E402">
        <v>7</v>
      </c>
      <c r="F402">
        <v>6</v>
      </c>
      <c r="G402">
        <v>12</v>
      </c>
      <c r="H402" t="s">
        <v>11</v>
      </c>
      <c r="I402">
        <v>20130</v>
      </c>
      <c r="J402">
        <v>0</v>
      </c>
      <c r="K402">
        <v>0</v>
      </c>
      <c r="L402">
        <v>0</v>
      </c>
      <c r="M402">
        <v>1</v>
      </c>
      <c r="N402">
        <f t="shared" si="12"/>
        <v>-1.4771890649635415</v>
      </c>
      <c r="O402">
        <f t="shared" si="13"/>
        <v>-0.37152228679296984</v>
      </c>
    </row>
    <row r="403" spans="1:15">
      <c r="A403">
        <v>2109</v>
      </c>
      <c r="B403">
        <v>448</v>
      </c>
      <c r="C403">
        <v>71</v>
      </c>
      <c r="D403">
        <v>951</v>
      </c>
      <c r="E403">
        <v>40</v>
      </c>
      <c r="F403">
        <v>17</v>
      </c>
      <c r="G403">
        <v>17</v>
      </c>
      <c r="H403" t="s">
        <v>12</v>
      </c>
      <c r="I403">
        <v>96843</v>
      </c>
      <c r="J403">
        <v>0</v>
      </c>
      <c r="K403">
        <v>0</v>
      </c>
      <c r="L403">
        <v>1</v>
      </c>
      <c r="M403">
        <v>0</v>
      </c>
      <c r="N403">
        <f t="shared" si="12"/>
        <v>2.0721455578597476</v>
      </c>
      <c r="O403">
        <f t="shared" si="13"/>
        <v>0.74581286247271017</v>
      </c>
    </row>
    <row r="404" spans="1:15">
      <c r="A404">
        <v>2114</v>
      </c>
      <c r="B404">
        <v>1006</v>
      </c>
      <c r="C404">
        <v>22</v>
      </c>
      <c r="D404">
        <v>115</v>
      </c>
      <c r="E404">
        <v>59</v>
      </c>
      <c r="F404">
        <v>68</v>
      </c>
      <c r="G404">
        <v>45</v>
      </c>
      <c r="H404" t="s">
        <v>12</v>
      </c>
      <c r="I404">
        <v>82800</v>
      </c>
      <c r="J404">
        <v>0</v>
      </c>
      <c r="K404">
        <v>0</v>
      </c>
      <c r="L404">
        <v>1</v>
      </c>
      <c r="M404">
        <v>0</v>
      </c>
      <c r="N404">
        <f t="shared" si="12"/>
        <v>1.4224081455788116</v>
      </c>
      <c r="O404">
        <f t="shared" si="13"/>
        <v>0.67745494006351958</v>
      </c>
    </row>
    <row r="405" spans="1:15">
      <c r="A405">
        <v>2115</v>
      </c>
      <c r="B405">
        <v>54</v>
      </c>
      <c r="C405">
        <v>0</v>
      </c>
      <c r="D405">
        <v>10</v>
      </c>
      <c r="E405">
        <v>0</v>
      </c>
      <c r="F405">
        <v>0</v>
      </c>
      <c r="G405">
        <v>2</v>
      </c>
      <c r="H405" t="s">
        <v>11</v>
      </c>
      <c r="I405">
        <v>50116</v>
      </c>
      <c r="J405">
        <v>1</v>
      </c>
      <c r="K405">
        <v>1</v>
      </c>
      <c r="L405">
        <v>0</v>
      </c>
      <c r="M405">
        <v>1</v>
      </c>
      <c r="N405">
        <f t="shared" si="12"/>
        <v>-8.9805596712017724E-2</v>
      </c>
      <c r="O405">
        <f t="shared" si="13"/>
        <v>0.28032094211840031</v>
      </c>
    </row>
    <row r="406" spans="1:15">
      <c r="A406">
        <v>2118</v>
      </c>
      <c r="B406">
        <v>166</v>
      </c>
      <c r="C406">
        <v>75</v>
      </c>
      <c r="D406">
        <v>96</v>
      </c>
      <c r="E406">
        <v>119</v>
      </c>
      <c r="F406">
        <v>107</v>
      </c>
      <c r="G406">
        <v>59</v>
      </c>
      <c r="H406" t="s">
        <v>11</v>
      </c>
      <c r="I406">
        <v>62905</v>
      </c>
      <c r="J406">
        <v>0</v>
      </c>
      <c r="K406">
        <v>1</v>
      </c>
      <c r="L406">
        <v>0</v>
      </c>
      <c r="M406">
        <v>1</v>
      </c>
      <c r="N406">
        <f t="shared" si="12"/>
        <v>0.5019121107337482</v>
      </c>
      <c r="O406">
        <f t="shared" si="13"/>
        <v>0.65051985138503443</v>
      </c>
    </row>
    <row r="407" spans="1:15">
      <c r="A407">
        <v>2125</v>
      </c>
      <c r="B407">
        <v>194</v>
      </c>
      <c r="C407">
        <v>61</v>
      </c>
      <c r="D407">
        <v>480</v>
      </c>
      <c r="E407">
        <v>225</v>
      </c>
      <c r="F407">
        <v>112</v>
      </c>
      <c r="G407">
        <v>30</v>
      </c>
      <c r="H407" t="s">
        <v>12</v>
      </c>
      <c r="I407">
        <v>63033</v>
      </c>
      <c r="J407">
        <v>0</v>
      </c>
      <c r="K407">
        <v>0</v>
      </c>
      <c r="L407">
        <v>1</v>
      </c>
      <c r="M407">
        <v>0</v>
      </c>
      <c r="N407">
        <f t="shared" si="12"/>
        <v>0.50783437725599845</v>
      </c>
      <c r="O407">
        <f t="shared" si="13"/>
        <v>0.37496663126110952</v>
      </c>
    </row>
    <row r="408" spans="1:15">
      <c r="A408">
        <v>2130</v>
      </c>
      <c r="B408">
        <v>35</v>
      </c>
      <c r="C408">
        <v>3</v>
      </c>
      <c r="D408">
        <v>67</v>
      </c>
      <c r="E408">
        <v>10</v>
      </c>
      <c r="F408">
        <v>8</v>
      </c>
      <c r="G408">
        <v>24</v>
      </c>
      <c r="H408" t="s">
        <v>11</v>
      </c>
      <c r="I408">
        <v>45203</v>
      </c>
      <c r="J408">
        <v>2</v>
      </c>
      <c r="K408">
        <v>0</v>
      </c>
      <c r="L408">
        <v>0</v>
      </c>
      <c r="M408">
        <v>1</v>
      </c>
      <c r="N408">
        <f t="shared" si="12"/>
        <v>-0.31711884221057496</v>
      </c>
      <c r="O408">
        <f t="shared" si="13"/>
        <v>0.13192268486865649</v>
      </c>
    </row>
    <row r="409" spans="1:15">
      <c r="A409">
        <v>2131</v>
      </c>
      <c r="B409">
        <v>1063</v>
      </c>
      <c r="C409">
        <v>89</v>
      </c>
      <c r="D409">
        <v>102</v>
      </c>
      <c r="E409">
        <v>16</v>
      </c>
      <c r="F409">
        <v>12</v>
      </c>
      <c r="G409">
        <v>25</v>
      </c>
      <c r="H409" t="s">
        <v>12</v>
      </c>
      <c r="I409">
        <v>62859</v>
      </c>
      <c r="J409">
        <v>0</v>
      </c>
      <c r="K409">
        <v>1</v>
      </c>
      <c r="L409">
        <v>1</v>
      </c>
      <c r="M409">
        <v>0</v>
      </c>
      <c r="N409">
        <f t="shared" si="12"/>
        <v>0.49978379620231456</v>
      </c>
      <c r="O409">
        <f t="shared" si="13"/>
        <v>0.27593362404560962</v>
      </c>
    </row>
    <row r="410" spans="1:15">
      <c r="A410">
        <v>2134</v>
      </c>
      <c r="B410">
        <v>263</v>
      </c>
      <c r="C410">
        <v>5</v>
      </c>
      <c r="D410">
        <v>233</v>
      </c>
      <c r="E410">
        <v>69</v>
      </c>
      <c r="F410">
        <v>41</v>
      </c>
      <c r="G410">
        <v>83</v>
      </c>
      <c r="H410" t="s">
        <v>12</v>
      </c>
      <c r="I410">
        <v>53700</v>
      </c>
      <c r="J410">
        <v>0</v>
      </c>
      <c r="K410">
        <v>1</v>
      </c>
      <c r="L410">
        <v>1</v>
      </c>
      <c r="M410">
        <v>0</v>
      </c>
      <c r="N410">
        <f t="shared" si="12"/>
        <v>7.6017865910988386E-2</v>
      </c>
      <c r="O410">
        <f t="shared" si="13"/>
        <v>4.4449513723727956E-2</v>
      </c>
    </row>
    <row r="411" spans="1:15">
      <c r="A411">
        <v>2139</v>
      </c>
      <c r="B411">
        <v>3</v>
      </c>
      <c r="C411">
        <v>1</v>
      </c>
      <c r="D411">
        <v>10</v>
      </c>
      <c r="E411">
        <v>3</v>
      </c>
      <c r="F411">
        <v>2</v>
      </c>
      <c r="G411">
        <v>12</v>
      </c>
      <c r="H411" t="s">
        <v>11</v>
      </c>
      <c r="I411">
        <v>7500</v>
      </c>
      <c r="J411">
        <v>1</v>
      </c>
      <c r="K411">
        <v>0</v>
      </c>
      <c r="L411">
        <v>0</v>
      </c>
      <c r="M411">
        <v>1</v>
      </c>
      <c r="N411">
        <f t="shared" si="12"/>
        <v>-2.0615502069636999</v>
      </c>
      <c r="O411">
        <f t="shared" si="13"/>
        <v>-0.45866329104289905</v>
      </c>
    </row>
    <row r="412" spans="1:15">
      <c r="A412">
        <v>2147</v>
      </c>
      <c r="B412">
        <v>736</v>
      </c>
      <c r="C412">
        <v>63</v>
      </c>
      <c r="D412">
        <v>946</v>
      </c>
      <c r="E412">
        <v>219</v>
      </c>
      <c r="F412">
        <v>189</v>
      </c>
      <c r="G412">
        <v>126</v>
      </c>
      <c r="H412" t="s">
        <v>11</v>
      </c>
      <c r="I412">
        <v>76653</v>
      </c>
      <c r="J412">
        <v>0</v>
      </c>
      <c r="K412">
        <v>0</v>
      </c>
      <c r="L412">
        <v>0</v>
      </c>
      <c r="M412">
        <v>1</v>
      </c>
      <c r="N412">
        <f t="shared" si="12"/>
        <v>1.1380005493891858</v>
      </c>
      <c r="O412">
        <f t="shared" si="13"/>
        <v>0.99208647056082166</v>
      </c>
    </row>
    <row r="413" spans="1:15">
      <c r="A413">
        <v>2150</v>
      </c>
      <c r="B413">
        <v>860</v>
      </c>
      <c r="C413">
        <v>28</v>
      </c>
      <c r="D413">
        <v>409</v>
      </c>
      <c r="E413">
        <v>73</v>
      </c>
      <c r="F413">
        <v>56</v>
      </c>
      <c r="G413">
        <v>56</v>
      </c>
      <c r="H413" t="s">
        <v>12</v>
      </c>
      <c r="I413">
        <v>80995</v>
      </c>
      <c r="J413">
        <v>0</v>
      </c>
      <c r="K413">
        <v>1</v>
      </c>
      <c r="L413">
        <v>1</v>
      </c>
      <c r="M413">
        <v>0</v>
      </c>
      <c r="N413">
        <f t="shared" si="12"/>
        <v>1.3388949340736425</v>
      </c>
      <c r="O413">
        <f t="shared" si="13"/>
        <v>0.5693358853010726</v>
      </c>
    </row>
    <row r="414" spans="1:15">
      <c r="A414">
        <v>2154</v>
      </c>
      <c r="B414">
        <v>15</v>
      </c>
      <c r="C414">
        <v>0</v>
      </c>
      <c r="D414">
        <v>12</v>
      </c>
      <c r="E414">
        <v>7</v>
      </c>
      <c r="F414">
        <v>3</v>
      </c>
      <c r="G414">
        <v>7</v>
      </c>
      <c r="H414" t="s">
        <v>12</v>
      </c>
      <c r="I414">
        <v>30372</v>
      </c>
      <c r="J414">
        <v>1</v>
      </c>
      <c r="K414">
        <v>1</v>
      </c>
      <c r="L414">
        <v>1</v>
      </c>
      <c r="M414">
        <v>0</v>
      </c>
      <c r="N414">
        <f t="shared" si="12"/>
        <v>-1.0033152077691139</v>
      </c>
      <c r="O414">
        <f t="shared" si="13"/>
        <v>-0.41508783708509572</v>
      </c>
    </row>
    <row r="415" spans="1:15">
      <c r="A415">
        <v>2156</v>
      </c>
      <c r="B415">
        <v>27</v>
      </c>
      <c r="C415">
        <v>0</v>
      </c>
      <c r="D415">
        <v>10</v>
      </c>
      <c r="E415">
        <v>0</v>
      </c>
      <c r="F415">
        <v>0</v>
      </c>
      <c r="G415">
        <v>4</v>
      </c>
      <c r="H415" t="s">
        <v>11</v>
      </c>
      <c r="I415">
        <v>22554</v>
      </c>
      <c r="J415">
        <v>1</v>
      </c>
      <c r="K415">
        <v>1</v>
      </c>
      <c r="L415">
        <v>0</v>
      </c>
      <c r="M415">
        <v>1</v>
      </c>
      <c r="N415">
        <f t="shared" si="12"/>
        <v>-1.3650361426984281</v>
      </c>
      <c r="O415">
        <f t="shared" si="13"/>
        <v>-0.25840566269608667</v>
      </c>
    </row>
    <row r="416" spans="1:15">
      <c r="A416">
        <v>2157</v>
      </c>
      <c r="B416">
        <v>15</v>
      </c>
      <c r="C416">
        <v>8</v>
      </c>
      <c r="D416">
        <v>16</v>
      </c>
      <c r="E416">
        <v>11</v>
      </c>
      <c r="F416">
        <v>5</v>
      </c>
      <c r="G416">
        <v>22</v>
      </c>
      <c r="H416" t="s">
        <v>11</v>
      </c>
      <c r="I416">
        <v>26290</v>
      </c>
      <c r="J416">
        <v>1</v>
      </c>
      <c r="K416">
        <v>1</v>
      </c>
      <c r="L416">
        <v>0</v>
      </c>
      <c r="M416">
        <v>1</v>
      </c>
      <c r="N416">
        <f t="shared" si="12"/>
        <v>-1.1921799885802498</v>
      </c>
      <c r="O416">
        <f t="shared" si="13"/>
        <v>-0.20293798082003225</v>
      </c>
    </row>
    <row r="417" spans="1:15">
      <c r="A417">
        <v>2162</v>
      </c>
      <c r="B417">
        <v>256</v>
      </c>
      <c r="C417">
        <v>34</v>
      </c>
      <c r="D417">
        <v>103</v>
      </c>
      <c r="E417">
        <v>90</v>
      </c>
      <c r="F417">
        <v>29</v>
      </c>
      <c r="G417">
        <v>49</v>
      </c>
      <c r="H417" t="s">
        <v>11</v>
      </c>
      <c r="I417">
        <v>56939</v>
      </c>
      <c r="J417">
        <v>0</v>
      </c>
      <c r="K417">
        <v>1</v>
      </c>
      <c r="L417">
        <v>0</v>
      </c>
      <c r="M417">
        <v>1</v>
      </c>
      <c r="N417">
        <f t="shared" si="12"/>
        <v>0.22587896954824196</v>
      </c>
      <c r="O417">
        <f t="shared" si="13"/>
        <v>0.5220211923406699</v>
      </c>
    </row>
    <row r="418" spans="1:15">
      <c r="A418">
        <v>2166</v>
      </c>
      <c r="B418">
        <v>12</v>
      </c>
      <c r="C418">
        <v>1</v>
      </c>
      <c r="D418">
        <v>3</v>
      </c>
      <c r="E418">
        <v>0</v>
      </c>
      <c r="F418">
        <v>0</v>
      </c>
      <c r="G418">
        <v>7</v>
      </c>
      <c r="H418" t="s">
        <v>12</v>
      </c>
      <c r="I418">
        <v>46779</v>
      </c>
      <c r="J418">
        <v>1</v>
      </c>
      <c r="K418">
        <v>1</v>
      </c>
      <c r="L418">
        <v>1</v>
      </c>
      <c r="M418">
        <v>0</v>
      </c>
      <c r="N418">
        <f t="shared" si="12"/>
        <v>-0.24420093565536913</v>
      </c>
      <c r="O418">
        <f t="shared" si="13"/>
        <v>-0.11561266911394526</v>
      </c>
    </row>
    <row r="419" spans="1:15">
      <c r="A419">
        <v>2173</v>
      </c>
      <c r="B419">
        <v>13</v>
      </c>
      <c r="C419">
        <v>6</v>
      </c>
      <c r="D419">
        <v>7</v>
      </c>
      <c r="E419">
        <v>0</v>
      </c>
      <c r="F419">
        <v>3</v>
      </c>
      <c r="G419">
        <v>3</v>
      </c>
      <c r="H419" t="s">
        <v>12</v>
      </c>
      <c r="I419">
        <v>40049</v>
      </c>
      <c r="J419">
        <v>0</v>
      </c>
      <c r="K419">
        <v>1</v>
      </c>
      <c r="L419">
        <v>1</v>
      </c>
      <c r="M419">
        <v>0</v>
      </c>
      <c r="N419">
        <f t="shared" si="12"/>
        <v>-0.55558260514555635</v>
      </c>
      <c r="O419">
        <f t="shared" si="13"/>
        <v>-0.30280313639460532</v>
      </c>
    </row>
    <row r="420" spans="1:15">
      <c r="A420">
        <v>2174</v>
      </c>
      <c r="B420">
        <v>11</v>
      </c>
      <c r="C420">
        <v>1</v>
      </c>
      <c r="D420">
        <v>6</v>
      </c>
      <c r="E420">
        <v>2</v>
      </c>
      <c r="F420">
        <v>1</v>
      </c>
      <c r="G420">
        <v>6</v>
      </c>
      <c r="H420" t="s">
        <v>12</v>
      </c>
      <c r="I420">
        <v>46344</v>
      </c>
      <c r="J420">
        <v>1</v>
      </c>
      <c r="K420">
        <v>1</v>
      </c>
      <c r="L420">
        <v>1</v>
      </c>
      <c r="M420">
        <v>0</v>
      </c>
      <c r="N420">
        <f t="shared" si="12"/>
        <v>-0.26432738828957886</v>
      </c>
      <c r="O420">
        <f t="shared" si="13"/>
        <v>-0.12493240363836879</v>
      </c>
    </row>
    <row r="421" spans="1:15">
      <c r="A421">
        <v>2176</v>
      </c>
      <c r="B421">
        <v>1218</v>
      </c>
      <c r="C421">
        <v>16</v>
      </c>
      <c r="D421">
        <v>272</v>
      </c>
      <c r="E421">
        <v>104</v>
      </c>
      <c r="F421">
        <v>0</v>
      </c>
      <c r="G421">
        <v>80</v>
      </c>
      <c r="H421" t="s">
        <v>11</v>
      </c>
      <c r="I421">
        <v>80134</v>
      </c>
      <c r="J421">
        <v>1</v>
      </c>
      <c r="K421">
        <v>0</v>
      </c>
      <c r="L421">
        <v>0</v>
      </c>
      <c r="M421">
        <v>1</v>
      </c>
      <c r="N421">
        <f t="shared" si="12"/>
        <v>1.2990584381700687</v>
      </c>
      <c r="O421">
        <f t="shared" si="13"/>
        <v>0.85212056112162315</v>
      </c>
    </row>
    <row r="422" spans="1:15">
      <c r="A422">
        <v>2181</v>
      </c>
      <c r="B422">
        <v>353</v>
      </c>
      <c r="C422">
        <v>61</v>
      </c>
      <c r="D422">
        <v>753</v>
      </c>
      <c r="E422">
        <v>40</v>
      </c>
      <c r="F422">
        <v>46</v>
      </c>
      <c r="G422">
        <v>27</v>
      </c>
      <c r="H422" t="s">
        <v>11</v>
      </c>
      <c r="I422">
        <v>70617</v>
      </c>
      <c r="J422">
        <v>0</v>
      </c>
      <c r="K422">
        <v>0</v>
      </c>
      <c r="L422">
        <v>0</v>
      </c>
      <c r="M422">
        <v>1</v>
      </c>
      <c r="N422">
        <f t="shared" si="12"/>
        <v>0.85872866869932385</v>
      </c>
      <c r="O422">
        <f t="shared" si="13"/>
        <v>0.96477637997965893</v>
      </c>
    </row>
    <row r="423" spans="1:15">
      <c r="A423">
        <v>2186</v>
      </c>
      <c r="B423">
        <v>938</v>
      </c>
      <c r="C423">
        <v>142</v>
      </c>
      <c r="D423">
        <v>754</v>
      </c>
      <c r="E423">
        <v>159</v>
      </c>
      <c r="F423">
        <v>81</v>
      </c>
      <c r="G423">
        <v>183</v>
      </c>
      <c r="H423" t="s">
        <v>11</v>
      </c>
      <c r="I423">
        <v>82326</v>
      </c>
      <c r="J423">
        <v>0</v>
      </c>
      <c r="K423">
        <v>0</v>
      </c>
      <c r="L423">
        <v>0</v>
      </c>
      <c r="M423">
        <v>1</v>
      </c>
      <c r="N423">
        <f t="shared" si="12"/>
        <v>1.4004772523636035</v>
      </c>
      <c r="O423">
        <f t="shared" si="13"/>
        <v>0.99968661557372662</v>
      </c>
    </row>
    <row r="424" spans="1:15">
      <c r="A424">
        <v>2202</v>
      </c>
      <c r="B424">
        <v>44</v>
      </c>
      <c r="C424">
        <v>2</v>
      </c>
      <c r="D424">
        <v>11</v>
      </c>
      <c r="E424">
        <v>2</v>
      </c>
      <c r="F424">
        <v>3</v>
      </c>
      <c r="G424">
        <v>7</v>
      </c>
      <c r="H424" t="s">
        <v>11</v>
      </c>
      <c r="I424">
        <v>41154</v>
      </c>
      <c r="J424">
        <v>0</v>
      </c>
      <c r="K424">
        <v>1</v>
      </c>
      <c r="L424">
        <v>0</v>
      </c>
      <c r="M424">
        <v>1</v>
      </c>
      <c r="N424">
        <f t="shared" si="12"/>
        <v>-0.50445678868394317</v>
      </c>
      <c r="O424">
        <f t="shared" si="13"/>
        <v>9.510656908484004E-2</v>
      </c>
    </row>
    <row r="425" spans="1:15">
      <c r="A425">
        <v>2217</v>
      </c>
      <c r="B425">
        <v>11</v>
      </c>
      <c r="C425">
        <v>1</v>
      </c>
      <c r="D425">
        <v>2</v>
      </c>
      <c r="E425">
        <v>2</v>
      </c>
      <c r="F425">
        <v>1</v>
      </c>
      <c r="G425">
        <v>6</v>
      </c>
      <c r="H425" t="s">
        <v>11</v>
      </c>
      <c r="I425">
        <v>37284</v>
      </c>
      <c r="J425">
        <v>1</v>
      </c>
      <c r="K425">
        <v>1</v>
      </c>
      <c r="L425">
        <v>0</v>
      </c>
      <c r="M425">
        <v>1</v>
      </c>
      <c r="N425">
        <f t="shared" si="12"/>
        <v>-0.68351281556760213</v>
      </c>
      <c r="O425">
        <f t="shared" si="13"/>
        <v>-2.941951955565496E-3</v>
      </c>
    </row>
    <row r="426" spans="1:15">
      <c r="A426">
        <v>2223</v>
      </c>
      <c r="B426">
        <v>1215</v>
      </c>
      <c r="C426">
        <v>33</v>
      </c>
      <c r="D426">
        <v>249</v>
      </c>
      <c r="E426">
        <v>64</v>
      </c>
      <c r="F426">
        <v>116</v>
      </c>
      <c r="G426">
        <v>149</v>
      </c>
      <c r="H426" t="s">
        <v>12</v>
      </c>
      <c r="I426">
        <v>64176</v>
      </c>
      <c r="J426">
        <v>0</v>
      </c>
      <c r="K426">
        <v>1</v>
      </c>
      <c r="L426">
        <v>1</v>
      </c>
      <c r="M426">
        <v>0</v>
      </c>
      <c r="N426">
        <f t="shared" si="12"/>
        <v>0.56071836659140473</v>
      </c>
      <c r="O426">
        <f t="shared" si="13"/>
        <v>0.30522348337823757</v>
      </c>
    </row>
    <row r="427" spans="1:15">
      <c r="A427">
        <v>2225</v>
      </c>
      <c r="B427">
        <v>510</v>
      </c>
      <c r="C427">
        <v>120</v>
      </c>
      <c r="D427">
        <v>550</v>
      </c>
      <c r="E427">
        <v>156</v>
      </c>
      <c r="F427">
        <v>40</v>
      </c>
      <c r="G427">
        <v>241</v>
      </c>
      <c r="H427" t="s">
        <v>12</v>
      </c>
      <c r="I427">
        <v>82582</v>
      </c>
      <c r="J427">
        <v>0</v>
      </c>
      <c r="K427">
        <v>0</v>
      </c>
      <c r="L427">
        <v>1</v>
      </c>
      <c r="M427">
        <v>0</v>
      </c>
      <c r="N427">
        <f t="shared" si="12"/>
        <v>1.412321785408104</v>
      </c>
      <c r="O427">
        <f t="shared" si="13"/>
        <v>0.67585459031208794</v>
      </c>
    </row>
    <row r="428" spans="1:15">
      <c r="A428">
        <v>2230</v>
      </c>
      <c r="B428">
        <v>27</v>
      </c>
      <c r="C428">
        <v>2</v>
      </c>
      <c r="D428">
        <v>14</v>
      </c>
      <c r="E428">
        <v>0</v>
      </c>
      <c r="F428">
        <v>0</v>
      </c>
      <c r="G428">
        <v>0</v>
      </c>
      <c r="H428" t="s">
        <v>11</v>
      </c>
      <c r="I428">
        <v>23626</v>
      </c>
      <c r="J428">
        <v>1</v>
      </c>
      <c r="K428">
        <v>0</v>
      </c>
      <c r="L428">
        <v>0</v>
      </c>
      <c r="M428">
        <v>1</v>
      </c>
      <c r="N428">
        <f t="shared" si="12"/>
        <v>-1.3154371605745825</v>
      </c>
      <c r="O428">
        <f t="shared" si="13"/>
        <v>-0.27378161974902987</v>
      </c>
    </row>
    <row r="429" spans="1:15">
      <c r="A429">
        <v>2245</v>
      </c>
      <c r="B429">
        <v>57</v>
      </c>
      <c r="C429">
        <v>2</v>
      </c>
      <c r="D429">
        <v>51</v>
      </c>
      <c r="E429">
        <v>4</v>
      </c>
      <c r="F429">
        <v>2</v>
      </c>
      <c r="G429">
        <v>23</v>
      </c>
      <c r="H429" t="s">
        <v>11</v>
      </c>
      <c r="I429">
        <v>43641</v>
      </c>
      <c r="J429">
        <v>1</v>
      </c>
      <c r="K429">
        <v>1</v>
      </c>
      <c r="L429">
        <v>0</v>
      </c>
      <c r="M429">
        <v>1</v>
      </c>
      <c r="N429">
        <f t="shared" si="12"/>
        <v>-0.38938900086490963</v>
      </c>
      <c r="O429">
        <f t="shared" si="13"/>
        <v>0.13411482595366125</v>
      </c>
    </row>
    <row r="430" spans="1:15">
      <c r="A430">
        <v>2254</v>
      </c>
      <c r="B430">
        <v>627</v>
      </c>
      <c r="C430">
        <v>120</v>
      </c>
      <c r="D430">
        <v>414</v>
      </c>
      <c r="E430">
        <v>121</v>
      </c>
      <c r="F430">
        <v>80</v>
      </c>
      <c r="G430">
        <v>93</v>
      </c>
      <c r="H430" t="s">
        <v>11</v>
      </c>
      <c r="I430">
        <v>69520</v>
      </c>
      <c r="J430">
        <v>0</v>
      </c>
      <c r="K430">
        <v>0</v>
      </c>
      <c r="L430">
        <v>0</v>
      </c>
      <c r="M430">
        <v>1</v>
      </c>
      <c r="N430">
        <f t="shared" si="12"/>
        <v>0.80797299389535127</v>
      </c>
      <c r="O430">
        <f t="shared" si="13"/>
        <v>0.95646412574957618</v>
      </c>
    </row>
    <row r="431" spans="1:15">
      <c r="A431">
        <v>2256</v>
      </c>
      <c r="B431">
        <v>17</v>
      </c>
      <c r="C431">
        <v>0</v>
      </c>
      <c r="D431">
        <v>3</v>
      </c>
      <c r="E431">
        <v>0</v>
      </c>
      <c r="F431">
        <v>0</v>
      </c>
      <c r="G431">
        <v>1</v>
      </c>
      <c r="H431" t="s">
        <v>11</v>
      </c>
      <c r="I431">
        <v>27159</v>
      </c>
      <c r="J431">
        <v>1</v>
      </c>
      <c r="K431">
        <v>1</v>
      </c>
      <c r="L431">
        <v>0</v>
      </c>
      <c r="M431">
        <v>1</v>
      </c>
      <c r="N431">
        <f t="shared" si="12"/>
        <v>-1.1519733510190355</v>
      </c>
      <c r="O431">
        <f t="shared" si="13"/>
        <v>-0.18912979621686304</v>
      </c>
    </row>
    <row r="432" spans="1:15">
      <c r="A432">
        <v>2258</v>
      </c>
      <c r="B432">
        <v>8</v>
      </c>
      <c r="C432">
        <v>4</v>
      </c>
      <c r="D432">
        <v>15</v>
      </c>
      <c r="E432">
        <v>7</v>
      </c>
      <c r="F432">
        <v>6</v>
      </c>
      <c r="G432">
        <v>2</v>
      </c>
      <c r="H432" t="s">
        <v>11</v>
      </c>
      <c r="I432">
        <v>32880</v>
      </c>
      <c r="J432">
        <v>1</v>
      </c>
      <c r="K432">
        <v>0</v>
      </c>
      <c r="L432">
        <v>0</v>
      </c>
      <c r="M432">
        <v>1</v>
      </c>
      <c r="N432">
        <f t="shared" si="12"/>
        <v>-0.88727579809877366</v>
      </c>
      <c r="O432">
        <f t="shared" si="13"/>
        <v>-0.10435291307749947</v>
      </c>
    </row>
    <row r="433" spans="1:15">
      <c r="A433">
        <v>2261</v>
      </c>
      <c r="B433">
        <v>4</v>
      </c>
      <c r="C433">
        <v>1</v>
      </c>
      <c r="D433">
        <v>5</v>
      </c>
      <c r="E433">
        <v>2</v>
      </c>
      <c r="F433">
        <v>0</v>
      </c>
      <c r="G433">
        <v>4</v>
      </c>
      <c r="H433" t="s">
        <v>11</v>
      </c>
      <c r="I433">
        <v>26304</v>
      </c>
      <c r="J433">
        <v>1</v>
      </c>
      <c r="K433">
        <v>0</v>
      </c>
      <c r="L433">
        <v>0</v>
      </c>
      <c r="M433">
        <v>1</v>
      </c>
      <c r="N433">
        <f t="shared" si="12"/>
        <v>-1.1915322406793787</v>
      </c>
      <c r="O433">
        <f t="shared" si="13"/>
        <v>-0.23045948386662193</v>
      </c>
    </row>
    <row r="434" spans="1:15">
      <c r="A434">
        <v>2262</v>
      </c>
      <c r="B434">
        <v>202</v>
      </c>
      <c r="C434">
        <v>5</v>
      </c>
      <c r="D434">
        <v>74</v>
      </c>
      <c r="E434">
        <v>11</v>
      </c>
      <c r="F434">
        <v>5</v>
      </c>
      <c r="G434">
        <v>14</v>
      </c>
      <c r="H434" t="s">
        <v>11</v>
      </c>
      <c r="I434">
        <v>45143</v>
      </c>
      <c r="J434">
        <v>0</v>
      </c>
      <c r="K434">
        <v>1</v>
      </c>
      <c r="L434">
        <v>0</v>
      </c>
      <c r="M434">
        <v>1</v>
      </c>
      <c r="N434">
        <f t="shared" si="12"/>
        <v>-0.31989490464287973</v>
      </c>
      <c r="O434">
        <f t="shared" si="13"/>
        <v>0.20389841431728592</v>
      </c>
    </row>
    <row r="435" spans="1:15">
      <c r="A435">
        <v>2276</v>
      </c>
      <c r="B435">
        <v>430</v>
      </c>
      <c r="C435">
        <v>16</v>
      </c>
      <c r="D435">
        <v>322</v>
      </c>
      <c r="E435">
        <v>43</v>
      </c>
      <c r="F435">
        <v>24</v>
      </c>
      <c r="G435">
        <v>33</v>
      </c>
      <c r="H435" t="s">
        <v>12</v>
      </c>
      <c r="I435">
        <v>57959</v>
      </c>
      <c r="J435">
        <v>0</v>
      </c>
      <c r="K435">
        <v>1</v>
      </c>
      <c r="L435">
        <v>1</v>
      </c>
      <c r="M435">
        <v>0</v>
      </c>
      <c r="N435">
        <f t="shared" si="12"/>
        <v>0.27307203089742338</v>
      </c>
      <c r="O435">
        <f t="shared" si="13"/>
        <v>0.15700236634359202</v>
      </c>
    </row>
    <row r="436" spans="1:15">
      <c r="A436">
        <v>2278</v>
      </c>
      <c r="B436">
        <v>4</v>
      </c>
      <c r="C436">
        <v>17</v>
      </c>
      <c r="D436">
        <v>19</v>
      </c>
      <c r="E436">
        <v>30</v>
      </c>
      <c r="F436">
        <v>24</v>
      </c>
      <c r="G436">
        <v>39</v>
      </c>
      <c r="H436" t="s">
        <v>12</v>
      </c>
      <c r="I436">
        <v>33812</v>
      </c>
      <c r="J436">
        <v>1</v>
      </c>
      <c r="K436">
        <v>0</v>
      </c>
      <c r="L436">
        <v>1</v>
      </c>
      <c r="M436">
        <v>0</v>
      </c>
      <c r="N436">
        <f t="shared" si="12"/>
        <v>-0.84415429498363925</v>
      </c>
      <c r="O436">
        <f t="shared" si="13"/>
        <v>-0.42444565117734012</v>
      </c>
    </row>
    <row r="437" spans="1:15">
      <c r="A437">
        <v>2281</v>
      </c>
      <c r="B437">
        <v>4</v>
      </c>
      <c r="C437">
        <v>3</v>
      </c>
      <c r="D437">
        <v>7</v>
      </c>
      <c r="E437">
        <v>0</v>
      </c>
      <c r="F437">
        <v>3</v>
      </c>
      <c r="G437">
        <v>11</v>
      </c>
      <c r="H437" t="s">
        <v>12</v>
      </c>
      <c r="I437">
        <v>33697</v>
      </c>
      <c r="J437">
        <v>1</v>
      </c>
      <c r="K437">
        <v>0</v>
      </c>
      <c r="L437">
        <v>1</v>
      </c>
      <c r="M437">
        <v>0</v>
      </c>
      <c r="N437">
        <f t="shared" si="12"/>
        <v>-0.84947508131222349</v>
      </c>
      <c r="O437">
        <f t="shared" si="13"/>
        <v>-0.42641327278337826</v>
      </c>
    </row>
    <row r="438" spans="1:15">
      <c r="A438">
        <v>2285</v>
      </c>
      <c r="B438">
        <v>213</v>
      </c>
      <c r="C438">
        <v>9</v>
      </c>
      <c r="D438">
        <v>76</v>
      </c>
      <c r="E438">
        <v>4</v>
      </c>
      <c r="F438">
        <v>3</v>
      </c>
      <c r="G438">
        <v>30</v>
      </c>
      <c r="H438" t="s">
        <v>11</v>
      </c>
      <c r="I438">
        <v>36634</v>
      </c>
      <c r="J438">
        <v>0</v>
      </c>
      <c r="K438">
        <v>1</v>
      </c>
      <c r="L438">
        <v>0</v>
      </c>
      <c r="M438">
        <v>1</v>
      </c>
      <c r="N438">
        <f t="shared" si="12"/>
        <v>-0.713586825250904</v>
      </c>
      <c r="O438">
        <f t="shared" si="13"/>
        <v>-1.9180546221609352E-2</v>
      </c>
    </row>
    <row r="439" spans="1:15">
      <c r="A439">
        <v>2286</v>
      </c>
      <c r="B439">
        <v>64</v>
      </c>
      <c r="C439">
        <v>1</v>
      </c>
      <c r="D439">
        <v>21</v>
      </c>
      <c r="E439">
        <v>0</v>
      </c>
      <c r="F439">
        <v>1</v>
      </c>
      <c r="G439">
        <v>27</v>
      </c>
      <c r="H439" t="s">
        <v>12</v>
      </c>
      <c r="I439">
        <v>50785</v>
      </c>
      <c r="J439">
        <v>1</v>
      </c>
      <c r="K439">
        <v>1</v>
      </c>
      <c r="L439">
        <v>1</v>
      </c>
      <c r="M439">
        <v>0</v>
      </c>
      <c r="N439">
        <f t="shared" si="12"/>
        <v>-5.8852500591819325E-2</v>
      </c>
      <c r="O439">
        <f t="shared" si="13"/>
        <v>-2.8122024537795724E-2</v>
      </c>
    </row>
    <row r="440" spans="1:15">
      <c r="A440">
        <v>2292</v>
      </c>
      <c r="B440">
        <v>5</v>
      </c>
      <c r="C440">
        <v>4</v>
      </c>
      <c r="D440">
        <v>8</v>
      </c>
      <c r="E440">
        <v>2</v>
      </c>
      <c r="F440">
        <v>0</v>
      </c>
      <c r="G440">
        <v>5</v>
      </c>
      <c r="H440" t="s">
        <v>12</v>
      </c>
      <c r="I440">
        <v>22327</v>
      </c>
      <c r="J440">
        <v>1</v>
      </c>
      <c r="K440">
        <v>0</v>
      </c>
      <c r="L440">
        <v>1</v>
      </c>
      <c r="M440">
        <v>0</v>
      </c>
      <c r="N440">
        <f t="shared" si="12"/>
        <v>-1.3755389122339812</v>
      </c>
      <c r="O440">
        <f t="shared" si="13"/>
        <v>-0.57739541171498754</v>
      </c>
    </row>
    <row r="441" spans="1:15">
      <c r="A441">
        <v>2295</v>
      </c>
      <c r="B441">
        <v>539</v>
      </c>
      <c r="C441">
        <v>30</v>
      </c>
      <c r="D441">
        <v>92</v>
      </c>
      <c r="E441">
        <v>80</v>
      </c>
      <c r="F441">
        <v>46</v>
      </c>
      <c r="G441">
        <v>38</v>
      </c>
      <c r="H441" t="s">
        <v>11</v>
      </c>
      <c r="I441">
        <v>62670</v>
      </c>
      <c r="J441">
        <v>0</v>
      </c>
      <c r="K441">
        <v>1</v>
      </c>
      <c r="L441">
        <v>0</v>
      </c>
      <c r="M441">
        <v>1</v>
      </c>
      <c r="N441">
        <f t="shared" si="12"/>
        <v>0.49103919954055447</v>
      </c>
      <c r="O441">
        <f t="shared" si="13"/>
        <v>0.64607026967563597</v>
      </c>
    </row>
    <row r="442" spans="1:15">
      <c r="A442">
        <v>2296</v>
      </c>
      <c r="B442">
        <v>3</v>
      </c>
      <c r="C442">
        <v>2</v>
      </c>
      <c r="D442">
        <v>11</v>
      </c>
      <c r="E442">
        <v>2</v>
      </c>
      <c r="F442">
        <v>2</v>
      </c>
      <c r="G442">
        <v>10</v>
      </c>
      <c r="H442" t="s">
        <v>11</v>
      </c>
      <c r="I442">
        <v>37368</v>
      </c>
      <c r="J442">
        <v>1</v>
      </c>
      <c r="K442">
        <v>0</v>
      </c>
      <c r="L442">
        <v>0</v>
      </c>
      <c r="M442">
        <v>1</v>
      </c>
      <c r="N442">
        <f t="shared" si="12"/>
        <v>-0.67962632816237545</v>
      </c>
      <c r="O442">
        <f t="shared" si="13"/>
        <v>-1.4400859091395913E-3</v>
      </c>
    </row>
    <row r="443" spans="1:15">
      <c r="A443">
        <v>2304</v>
      </c>
      <c r="B443">
        <v>625</v>
      </c>
      <c r="C443">
        <v>7</v>
      </c>
      <c r="D443">
        <v>99</v>
      </c>
      <c r="E443">
        <v>10</v>
      </c>
      <c r="F443">
        <v>22</v>
      </c>
      <c r="G443">
        <v>7</v>
      </c>
      <c r="H443" t="s">
        <v>11</v>
      </c>
      <c r="I443">
        <v>66313</v>
      </c>
      <c r="J443">
        <v>0</v>
      </c>
      <c r="K443">
        <v>1</v>
      </c>
      <c r="L443">
        <v>0</v>
      </c>
      <c r="M443">
        <v>1</v>
      </c>
      <c r="N443">
        <f t="shared" si="12"/>
        <v>0.65959245688866031</v>
      </c>
      <c r="O443">
        <f t="shared" si="13"/>
        <v>0.70925697198602988</v>
      </c>
    </row>
    <row r="444" spans="1:15">
      <c r="A444">
        <v>2308</v>
      </c>
      <c r="B444">
        <v>110</v>
      </c>
      <c r="C444">
        <v>5</v>
      </c>
      <c r="D444">
        <v>137</v>
      </c>
      <c r="E444">
        <v>26</v>
      </c>
      <c r="F444">
        <v>23</v>
      </c>
      <c r="G444">
        <v>29</v>
      </c>
      <c r="H444" t="s">
        <v>11</v>
      </c>
      <c r="I444">
        <v>46734</v>
      </c>
      <c r="J444">
        <v>0</v>
      </c>
      <c r="K444">
        <v>1</v>
      </c>
      <c r="L444">
        <v>0</v>
      </c>
      <c r="M444">
        <v>1</v>
      </c>
      <c r="N444">
        <f t="shared" si="12"/>
        <v>-0.24628298247959771</v>
      </c>
      <c r="O444">
        <f t="shared" si="13"/>
        <v>0.24841575370223526</v>
      </c>
    </row>
    <row r="445" spans="1:15">
      <c r="A445">
        <v>2315</v>
      </c>
      <c r="B445">
        <v>10</v>
      </c>
      <c r="C445">
        <v>0</v>
      </c>
      <c r="D445">
        <v>11</v>
      </c>
      <c r="E445">
        <v>17</v>
      </c>
      <c r="F445">
        <v>29</v>
      </c>
      <c r="G445">
        <v>29</v>
      </c>
      <c r="H445" t="s">
        <v>12</v>
      </c>
      <c r="I445">
        <v>58401</v>
      </c>
      <c r="J445">
        <v>0</v>
      </c>
      <c r="K445">
        <v>1</v>
      </c>
      <c r="L445">
        <v>1</v>
      </c>
      <c r="M445">
        <v>0</v>
      </c>
      <c r="N445">
        <f t="shared" si="12"/>
        <v>0.29352235748206867</v>
      </c>
      <c r="O445">
        <f t="shared" si="13"/>
        <v>0.16829093043908785</v>
      </c>
    </row>
    <row r="446" spans="1:15">
      <c r="A446">
        <v>2320</v>
      </c>
      <c r="B446">
        <v>508</v>
      </c>
      <c r="C446">
        <v>11</v>
      </c>
      <c r="D446">
        <v>59</v>
      </c>
      <c r="E446">
        <v>23</v>
      </c>
      <c r="F446">
        <v>5</v>
      </c>
      <c r="G446">
        <v>29</v>
      </c>
      <c r="H446" t="s">
        <v>11</v>
      </c>
      <c r="I446">
        <v>47025</v>
      </c>
      <c r="J446">
        <v>0</v>
      </c>
      <c r="K446">
        <v>1</v>
      </c>
      <c r="L446">
        <v>0</v>
      </c>
      <c r="M446">
        <v>1</v>
      </c>
      <c r="N446">
        <f t="shared" si="12"/>
        <v>-0.23281907968291948</v>
      </c>
      <c r="O446">
        <f t="shared" si="13"/>
        <v>0.25658480946535217</v>
      </c>
    </row>
    <row r="447" spans="1:15">
      <c r="A447">
        <v>2324</v>
      </c>
      <c r="B447">
        <v>625</v>
      </c>
      <c r="C447">
        <v>38</v>
      </c>
      <c r="D447">
        <v>242</v>
      </c>
      <c r="E447">
        <v>50</v>
      </c>
      <c r="F447">
        <v>34</v>
      </c>
      <c r="G447">
        <v>76</v>
      </c>
      <c r="H447" t="s">
        <v>11</v>
      </c>
      <c r="I447">
        <v>77044</v>
      </c>
      <c r="J447">
        <v>0</v>
      </c>
      <c r="K447">
        <v>1</v>
      </c>
      <c r="L447">
        <v>0</v>
      </c>
      <c r="M447">
        <v>1</v>
      </c>
      <c r="N447">
        <f t="shared" si="12"/>
        <v>1.156091222906372</v>
      </c>
      <c r="O447">
        <f t="shared" si="13"/>
        <v>0.83100587466237741</v>
      </c>
    </row>
    <row r="448" spans="1:15">
      <c r="A448">
        <v>2337</v>
      </c>
      <c r="B448">
        <v>9</v>
      </c>
      <c r="C448">
        <v>1</v>
      </c>
      <c r="D448">
        <v>24</v>
      </c>
      <c r="E448">
        <v>2</v>
      </c>
      <c r="F448">
        <v>1</v>
      </c>
      <c r="G448">
        <v>2</v>
      </c>
      <c r="H448" t="s">
        <v>12</v>
      </c>
      <c r="I448">
        <v>29819</v>
      </c>
      <c r="J448">
        <v>1</v>
      </c>
      <c r="K448">
        <v>0</v>
      </c>
      <c r="L448">
        <v>1</v>
      </c>
      <c r="M448">
        <v>0</v>
      </c>
      <c r="N448">
        <f t="shared" si="12"/>
        <v>-1.028901249853523</v>
      </c>
      <c r="O448">
        <f t="shared" si="13"/>
        <v>-0.48719466117072413</v>
      </c>
    </row>
    <row r="449" spans="1:15">
      <c r="A449">
        <v>2350</v>
      </c>
      <c r="B449">
        <v>623</v>
      </c>
      <c r="C449">
        <v>53</v>
      </c>
      <c r="D449">
        <v>178</v>
      </c>
      <c r="E449">
        <v>23</v>
      </c>
      <c r="F449">
        <v>17</v>
      </c>
      <c r="G449">
        <v>133</v>
      </c>
      <c r="H449" t="s">
        <v>11</v>
      </c>
      <c r="I449">
        <v>59666</v>
      </c>
      <c r="J449">
        <v>1</v>
      </c>
      <c r="K449">
        <v>1</v>
      </c>
      <c r="L449">
        <v>0</v>
      </c>
      <c r="M449">
        <v>1</v>
      </c>
      <c r="N449">
        <f t="shared" si="12"/>
        <v>0.35205100709649467</v>
      </c>
      <c r="O449">
        <f t="shared" si="13"/>
        <v>0.48209794257625832</v>
      </c>
    </row>
    <row r="450" spans="1:15">
      <c r="A450">
        <v>2371</v>
      </c>
      <c r="B450">
        <v>39</v>
      </c>
      <c r="C450">
        <v>1</v>
      </c>
      <c r="D450">
        <v>22</v>
      </c>
      <c r="E450">
        <v>3</v>
      </c>
      <c r="F450">
        <v>4</v>
      </c>
      <c r="G450">
        <v>12</v>
      </c>
      <c r="H450" t="s">
        <v>11</v>
      </c>
      <c r="I450">
        <v>33622</v>
      </c>
      <c r="J450">
        <v>1</v>
      </c>
      <c r="K450">
        <v>1</v>
      </c>
      <c r="L450">
        <v>0</v>
      </c>
      <c r="M450">
        <v>1</v>
      </c>
      <c r="N450">
        <f t="shared" si="12"/>
        <v>-0.85294515935260451</v>
      </c>
      <c r="O450">
        <f t="shared" si="13"/>
        <v>-7.5511424714825165E-2</v>
      </c>
    </row>
    <row r="451" spans="1:15">
      <c r="A451">
        <v>2375</v>
      </c>
      <c r="B451">
        <v>8</v>
      </c>
      <c r="C451">
        <v>0</v>
      </c>
      <c r="D451">
        <v>5</v>
      </c>
      <c r="E451">
        <v>0</v>
      </c>
      <c r="F451">
        <v>3</v>
      </c>
      <c r="G451">
        <v>6</v>
      </c>
      <c r="H451" t="s">
        <v>11</v>
      </c>
      <c r="I451">
        <v>30261</v>
      </c>
      <c r="J451">
        <v>1</v>
      </c>
      <c r="K451">
        <v>2</v>
      </c>
      <c r="L451">
        <v>0</v>
      </c>
      <c r="M451">
        <v>1</v>
      </c>
      <c r="N451">
        <f t="shared" ref="N451:N514" si="14">STANDARDIZE(I451,$Q$1,$R$1)</f>
        <v>-1.0084509232688779</v>
      </c>
      <c r="O451">
        <f t="shared" ref="O451:O514" si="15">SUMPRODUCT(J451:N451,$Q$4:$U$4) / SQRT(SUMSQ(J451:N451) * SUMSQ($Q$4:$U$4))</f>
        <v>-0.10365042229062987</v>
      </c>
    </row>
    <row r="452" spans="1:15">
      <c r="A452">
        <v>2379</v>
      </c>
      <c r="B452">
        <v>778</v>
      </c>
      <c r="C452">
        <v>44</v>
      </c>
      <c r="D452">
        <v>499</v>
      </c>
      <c r="E452">
        <v>95</v>
      </c>
      <c r="F452">
        <v>73</v>
      </c>
      <c r="G452">
        <v>146</v>
      </c>
      <c r="H452" t="s">
        <v>12</v>
      </c>
      <c r="I452">
        <v>69267</v>
      </c>
      <c r="J452">
        <v>0</v>
      </c>
      <c r="K452">
        <v>0</v>
      </c>
      <c r="L452">
        <v>1</v>
      </c>
      <c r="M452">
        <v>0</v>
      </c>
      <c r="N452">
        <f t="shared" si="14"/>
        <v>0.79626726397246617</v>
      </c>
      <c r="O452">
        <f t="shared" si="15"/>
        <v>0.51584611386134283</v>
      </c>
    </row>
    <row r="453" spans="1:15">
      <c r="A453">
        <v>2387</v>
      </c>
      <c r="B453">
        <v>177</v>
      </c>
      <c r="C453">
        <v>2</v>
      </c>
      <c r="D453">
        <v>71</v>
      </c>
      <c r="E453">
        <v>3</v>
      </c>
      <c r="F453">
        <v>2</v>
      </c>
      <c r="G453">
        <v>20</v>
      </c>
      <c r="H453" t="s">
        <v>11</v>
      </c>
      <c r="I453">
        <v>43776</v>
      </c>
      <c r="J453">
        <v>1</v>
      </c>
      <c r="K453">
        <v>1</v>
      </c>
      <c r="L453">
        <v>0</v>
      </c>
      <c r="M453">
        <v>1</v>
      </c>
      <c r="N453">
        <f t="shared" si="14"/>
        <v>-0.38314286039222384</v>
      </c>
      <c r="O453">
        <f t="shared" si="15"/>
        <v>0.13713349655717316</v>
      </c>
    </row>
    <row r="454" spans="1:15">
      <c r="A454">
        <v>2404</v>
      </c>
      <c r="B454">
        <v>173</v>
      </c>
      <c r="C454">
        <v>4</v>
      </c>
      <c r="D454">
        <v>30</v>
      </c>
      <c r="E454">
        <v>3</v>
      </c>
      <c r="F454">
        <v>6</v>
      </c>
      <c r="G454">
        <v>41</v>
      </c>
      <c r="H454" t="s">
        <v>11</v>
      </c>
      <c r="I454">
        <v>53359</v>
      </c>
      <c r="J454">
        <v>1</v>
      </c>
      <c r="K454">
        <v>1</v>
      </c>
      <c r="L454">
        <v>0</v>
      </c>
      <c r="M454">
        <v>1</v>
      </c>
      <c r="N454">
        <f t="shared" si="14"/>
        <v>6.0240577754056161E-2</v>
      </c>
      <c r="O454">
        <f t="shared" si="15"/>
        <v>0.35222382387865153</v>
      </c>
    </row>
    <row r="455" spans="1:15">
      <c r="A455">
        <v>2406</v>
      </c>
      <c r="B455">
        <v>376</v>
      </c>
      <c r="C455">
        <v>4</v>
      </c>
      <c r="D455">
        <v>94</v>
      </c>
      <c r="E455">
        <v>12</v>
      </c>
      <c r="F455">
        <v>9</v>
      </c>
      <c r="G455">
        <v>24</v>
      </c>
      <c r="H455" t="s">
        <v>11</v>
      </c>
      <c r="I455">
        <v>54591</v>
      </c>
      <c r="J455">
        <v>0</v>
      </c>
      <c r="K455">
        <v>1</v>
      </c>
      <c r="L455">
        <v>0</v>
      </c>
      <c r="M455">
        <v>1</v>
      </c>
      <c r="N455">
        <f t="shared" si="14"/>
        <v>0.11724239303071451</v>
      </c>
      <c r="O455">
        <f t="shared" si="15"/>
        <v>0.46343379451879257</v>
      </c>
    </row>
    <row r="456" spans="1:15">
      <c r="A456">
        <v>2407</v>
      </c>
      <c r="B456">
        <v>823</v>
      </c>
      <c r="C456">
        <v>25</v>
      </c>
      <c r="D456">
        <v>459</v>
      </c>
      <c r="E456">
        <v>124</v>
      </c>
      <c r="F456">
        <v>29</v>
      </c>
      <c r="G456">
        <v>95</v>
      </c>
      <c r="H456" t="s">
        <v>11</v>
      </c>
      <c r="I456">
        <v>69109</v>
      </c>
      <c r="J456">
        <v>0</v>
      </c>
      <c r="K456">
        <v>0</v>
      </c>
      <c r="L456">
        <v>0</v>
      </c>
      <c r="M456">
        <v>1</v>
      </c>
      <c r="N456">
        <f t="shared" si="14"/>
        <v>0.78895696623406353</v>
      </c>
      <c r="O456">
        <f t="shared" si="15"/>
        <v>0.95301056581761612</v>
      </c>
    </row>
    <row r="457" spans="1:15">
      <c r="A457">
        <v>2408</v>
      </c>
      <c r="B457">
        <v>490</v>
      </c>
      <c r="C457">
        <v>0</v>
      </c>
      <c r="D457">
        <v>184</v>
      </c>
      <c r="E457">
        <v>10</v>
      </c>
      <c r="F457">
        <v>28</v>
      </c>
      <c r="G457">
        <v>21</v>
      </c>
      <c r="H457" t="s">
        <v>11</v>
      </c>
      <c r="I457">
        <v>58597</v>
      </c>
      <c r="J457">
        <v>1</v>
      </c>
      <c r="K457">
        <v>1</v>
      </c>
      <c r="L457">
        <v>0</v>
      </c>
      <c r="M457">
        <v>1</v>
      </c>
      <c r="N457">
        <f t="shared" si="14"/>
        <v>0.3025908280942643</v>
      </c>
      <c r="O457">
        <f t="shared" si="15"/>
        <v>0.46132110026960166</v>
      </c>
    </row>
    <row r="458" spans="1:15">
      <c r="A458">
        <v>2410</v>
      </c>
      <c r="B458">
        <v>364</v>
      </c>
      <c r="C458">
        <v>40</v>
      </c>
      <c r="D458">
        <v>425</v>
      </c>
      <c r="E458">
        <v>158</v>
      </c>
      <c r="F458">
        <v>60</v>
      </c>
      <c r="G458">
        <v>50</v>
      </c>
      <c r="H458" t="s">
        <v>12</v>
      </c>
      <c r="I458">
        <v>81657</v>
      </c>
      <c r="J458">
        <v>0</v>
      </c>
      <c r="K458">
        <v>0</v>
      </c>
      <c r="L458">
        <v>1</v>
      </c>
      <c r="M458">
        <v>0</v>
      </c>
      <c r="N458">
        <f t="shared" si="14"/>
        <v>1.3695241562434053</v>
      </c>
      <c r="O458">
        <f t="shared" si="15"/>
        <v>0.66880356649837314</v>
      </c>
    </row>
    <row r="459" spans="1:15">
      <c r="A459">
        <v>2415</v>
      </c>
      <c r="B459">
        <v>362</v>
      </c>
      <c r="C459">
        <v>17</v>
      </c>
      <c r="D459">
        <v>398</v>
      </c>
      <c r="E459">
        <v>80</v>
      </c>
      <c r="F459">
        <v>35</v>
      </c>
      <c r="G459">
        <v>61</v>
      </c>
      <c r="H459" t="s">
        <v>11</v>
      </c>
      <c r="I459">
        <v>62568</v>
      </c>
      <c r="J459">
        <v>0</v>
      </c>
      <c r="K459">
        <v>1</v>
      </c>
      <c r="L459">
        <v>0</v>
      </c>
      <c r="M459">
        <v>1</v>
      </c>
      <c r="N459">
        <f t="shared" si="14"/>
        <v>0.48631989340563631</v>
      </c>
      <c r="O459">
        <f t="shared" si="15"/>
        <v>0.64412285801490399</v>
      </c>
    </row>
    <row r="460" spans="1:15">
      <c r="A460">
        <v>2416</v>
      </c>
      <c r="B460">
        <v>789</v>
      </c>
      <c r="C460">
        <v>25</v>
      </c>
      <c r="D460">
        <v>420</v>
      </c>
      <c r="E460">
        <v>16</v>
      </c>
      <c r="F460">
        <v>38</v>
      </c>
      <c r="G460">
        <v>0</v>
      </c>
      <c r="H460" t="s">
        <v>12</v>
      </c>
      <c r="I460">
        <v>66582</v>
      </c>
      <c r="J460">
        <v>0</v>
      </c>
      <c r="K460">
        <v>0</v>
      </c>
      <c r="L460">
        <v>1</v>
      </c>
      <c r="M460">
        <v>0</v>
      </c>
      <c r="N460">
        <f t="shared" si="14"/>
        <v>0.67203847012682683</v>
      </c>
      <c r="O460">
        <f t="shared" si="15"/>
        <v>0.46191085007315863</v>
      </c>
    </row>
    <row r="461" spans="1:15">
      <c r="A461">
        <v>2426</v>
      </c>
      <c r="B461">
        <v>483</v>
      </c>
      <c r="C461">
        <v>74</v>
      </c>
      <c r="D461">
        <v>114</v>
      </c>
      <c r="E461">
        <v>169</v>
      </c>
      <c r="F461">
        <v>37</v>
      </c>
      <c r="G461">
        <v>18</v>
      </c>
      <c r="H461" t="s">
        <v>12</v>
      </c>
      <c r="I461">
        <v>78825</v>
      </c>
      <c r="J461">
        <v>0</v>
      </c>
      <c r="K461">
        <v>0</v>
      </c>
      <c r="L461">
        <v>1</v>
      </c>
      <c r="M461">
        <v>0</v>
      </c>
      <c r="N461">
        <f t="shared" si="14"/>
        <v>1.2384940094386192</v>
      </c>
      <c r="O461">
        <f t="shared" si="15"/>
        <v>0.64430991924748415</v>
      </c>
    </row>
    <row r="462" spans="1:15">
      <c r="A462">
        <v>2428</v>
      </c>
      <c r="B462">
        <v>3</v>
      </c>
      <c r="C462">
        <v>18</v>
      </c>
      <c r="D462">
        <v>26</v>
      </c>
      <c r="E462">
        <v>11</v>
      </c>
      <c r="F462">
        <v>8</v>
      </c>
      <c r="G462">
        <v>12</v>
      </c>
      <c r="H462" t="s">
        <v>11</v>
      </c>
      <c r="I462">
        <v>28164</v>
      </c>
      <c r="J462">
        <v>1</v>
      </c>
      <c r="K462">
        <v>0</v>
      </c>
      <c r="L462">
        <v>0</v>
      </c>
      <c r="M462">
        <v>1</v>
      </c>
      <c r="N462">
        <f t="shared" si="14"/>
        <v>-1.1054743052779301</v>
      </c>
      <c r="O462">
        <f t="shared" si="15"/>
        <v>-0.19772132041851034</v>
      </c>
    </row>
    <row r="463" spans="1:15">
      <c r="A463">
        <v>2429</v>
      </c>
      <c r="B463">
        <v>531</v>
      </c>
      <c r="C463">
        <v>69</v>
      </c>
      <c r="D463">
        <v>300</v>
      </c>
      <c r="E463">
        <v>150</v>
      </c>
      <c r="F463">
        <v>138</v>
      </c>
      <c r="G463">
        <v>150</v>
      </c>
      <c r="H463" t="s">
        <v>12</v>
      </c>
      <c r="I463">
        <v>72071</v>
      </c>
      <c r="J463">
        <v>0</v>
      </c>
      <c r="K463">
        <v>1</v>
      </c>
      <c r="L463">
        <v>1</v>
      </c>
      <c r="M463">
        <v>0</v>
      </c>
      <c r="N463">
        <f t="shared" si="14"/>
        <v>0.92600191497550999</v>
      </c>
      <c r="O463">
        <f t="shared" si="15"/>
        <v>0.45364190940962401</v>
      </c>
    </row>
    <row r="464" spans="1:15">
      <c r="A464">
        <v>2431</v>
      </c>
      <c r="B464">
        <v>12</v>
      </c>
      <c r="C464">
        <v>4</v>
      </c>
      <c r="D464">
        <v>19</v>
      </c>
      <c r="E464">
        <v>12</v>
      </c>
      <c r="F464">
        <v>6</v>
      </c>
      <c r="G464">
        <v>14</v>
      </c>
      <c r="H464" t="s">
        <v>11</v>
      </c>
      <c r="I464">
        <v>18222</v>
      </c>
      <c r="J464">
        <v>0</v>
      </c>
      <c r="K464">
        <v>0</v>
      </c>
      <c r="L464">
        <v>0</v>
      </c>
      <c r="M464">
        <v>1</v>
      </c>
      <c r="N464">
        <f t="shared" si="14"/>
        <v>-1.5654678503108339</v>
      </c>
      <c r="O464">
        <f t="shared" si="15"/>
        <v>-0.3961243862191911</v>
      </c>
    </row>
    <row r="465" spans="1:15">
      <c r="A465">
        <v>2445</v>
      </c>
      <c r="B465">
        <v>38</v>
      </c>
      <c r="C465">
        <v>1</v>
      </c>
      <c r="D465">
        <v>24</v>
      </c>
      <c r="E465">
        <v>0</v>
      </c>
      <c r="F465">
        <v>0</v>
      </c>
      <c r="G465">
        <v>0</v>
      </c>
      <c r="H465" t="s">
        <v>11</v>
      </c>
      <c r="I465">
        <v>28440</v>
      </c>
      <c r="J465">
        <v>1</v>
      </c>
      <c r="K465">
        <v>0</v>
      </c>
      <c r="L465">
        <v>0</v>
      </c>
      <c r="M465">
        <v>1</v>
      </c>
      <c r="N465">
        <f t="shared" si="14"/>
        <v>-1.0927044180893282</v>
      </c>
      <c r="O465">
        <f t="shared" si="15"/>
        <v>-0.19267111112864474</v>
      </c>
    </row>
    <row r="466" spans="1:15">
      <c r="A466">
        <v>2447</v>
      </c>
      <c r="B466">
        <v>4</v>
      </c>
      <c r="C466">
        <v>12</v>
      </c>
      <c r="D466">
        <v>15</v>
      </c>
      <c r="E466">
        <v>19</v>
      </c>
      <c r="F466">
        <v>7</v>
      </c>
      <c r="G466">
        <v>12</v>
      </c>
      <c r="H466" t="s">
        <v>11</v>
      </c>
      <c r="I466">
        <v>30545</v>
      </c>
      <c r="J466">
        <v>1</v>
      </c>
      <c r="K466">
        <v>0</v>
      </c>
      <c r="L466">
        <v>0</v>
      </c>
      <c r="M466">
        <v>1</v>
      </c>
      <c r="N466">
        <f t="shared" si="14"/>
        <v>-0.9953108944226351</v>
      </c>
      <c r="O466">
        <f t="shared" si="15"/>
        <v>-0.15247598240346835</v>
      </c>
    </row>
    <row r="467" spans="1:15">
      <c r="A467">
        <v>2452</v>
      </c>
      <c r="B467">
        <v>199</v>
      </c>
      <c r="C467">
        <v>33</v>
      </c>
      <c r="D467">
        <v>60</v>
      </c>
      <c r="E467">
        <v>8</v>
      </c>
      <c r="F467">
        <v>3</v>
      </c>
      <c r="G467">
        <v>15</v>
      </c>
      <c r="H467" t="s">
        <v>11</v>
      </c>
      <c r="I467">
        <v>34600</v>
      </c>
      <c r="J467">
        <v>1</v>
      </c>
      <c r="K467">
        <v>1</v>
      </c>
      <c r="L467">
        <v>0</v>
      </c>
      <c r="M467">
        <v>1</v>
      </c>
      <c r="N467">
        <f t="shared" si="14"/>
        <v>-0.80769534170603641</v>
      </c>
      <c r="O467">
        <f t="shared" si="15"/>
        <v>-5.6676754990612824E-2</v>
      </c>
    </row>
    <row r="468" spans="1:15">
      <c r="A468">
        <v>2453</v>
      </c>
      <c r="B468">
        <v>526</v>
      </c>
      <c r="C468">
        <v>28</v>
      </c>
      <c r="D468">
        <v>135</v>
      </c>
      <c r="E468">
        <v>10</v>
      </c>
      <c r="F468">
        <v>21</v>
      </c>
      <c r="G468">
        <v>99</v>
      </c>
      <c r="H468" t="s">
        <v>11</v>
      </c>
      <c r="I468">
        <v>62807</v>
      </c>
      <c r="J468">
        <v>0</v>
      </c>
      <c r="K468">
        <v>1</v>
      </c>
      <c r="L468">
        <v>0</v>
      </c>
      <c r="M468">
        <v>1</v>
      </c>
      <c r="N468">
        <f t="shared" si="14"/>
        <v>0.49737787542765044</v>
      </c>
      <c r="O468">
        <f t="shared" si="15"/>
        <v>0.64867057265590489</v>
      </c>
    </row>
    <row r="469" spans="1:15">
      <c r="A469">
        <v>2456</v>
      </c>
      <c r="B469">
        <v>80</v>
      </c>
      <c r="C469">
        <v>4</v>
      </c>
      <c r="D469">
        <v>46</v>
      </c>
      <c r="E469">
        <v>0</v>
      </c>
      <c r="F469">
        <v>17</v>
      </c>
      <c r="G469">
        <v>2</v>
      </c>
      <c r="H469" t="s">
        <v>11</v>
      </c>
      <c r="I469">
        <v>40233</v>
      </c>
      <c r="J469">
        <v>0</v>
      </c>
      <c r="K469">
        <v>1</v>
      </c>
      <c r="L469">
        <v>0</v>
      </c>
      <c r="M469">
        <v>1</v>
      </c>
      <c r="N469">
        <f t="shared" si="14"/>
        <v>-0.54706934701982168</v>
      </c>
      <c r="O469">
        <f t="shared" si="15"/>
        <v>7.0903276992932071E-2</v>
      </c>
    </row>
    <row r="470" spans="1:15">
      <c r="A470">
        <v>2457</v>
      </c>
      <c r="B470">
        <v>8</v>
      </c>
      <c r="C470">
        <v>4</v>
      </c>
      <c r="D470">
        <v>5</v>
      </c>
      <c r="E470">
        <v>15</v>
      </c>
      <c r="F470">
        <v>2</v>
      </c>
      <c r="G470">
        <v>11</v>
      </c>
      <c r="H470" t="s">
        <v>11</v>
      </c>
      <c r="I470">
        <v>30801</v>
      </c>
      <c r="J470">
        <v>0</v>
      </c>
      <c r="K470">
        <v>1</v>
      </c>
      <c r="L470">
        <v>0</v>
      </c>
      <c r="M470">
        <v>1</v>
      </c>
      <c r="N470">
        <f t="shared" si="14"/>
        <v>-0.9834663613781347</v>
      </c>
      <c r="O470">
        <f t="shared" si="15"/>
        <v>-0.14738273954987538</v>
      </c>
    </row>
    <row r="471" spans="1:15">
      <c r="A471">
        <v>2461</v>
      </c>
      <c r="B471">
        <v>26</v>
      </c>
      <c r="C471">
        <v>1</v>
      </c>
      <c r="D471">
        <v>11</v>
      </c>
      <c r="E471">
        <v>0</v>
      </c>
      <c r="F471">
        <v>1</v>
      </c>
      <c r="G471">
        <v>4</v>
      </c>
      <c r="H471" t="s">
        <v>12</v>
      </c>
      <c r="I471">
        <v>51124</v>
      </c>
      <c r="J471">
        <v>1</v>
      </c>
      <c r="K471">
        <v>1</v>
      </c>
      <c r="L471">
        <v>1</v>
      </c>
      <c r="M471">
        <v>0</v>
      </c>
      <c r="N471">
        <f t="shared" si="14"/>
        <v>-4.3167747849297257E-2</v>
      </c>
      <c r="O471">
        <f t="shared" si="15"/>
        <v>-2.0632733778069207E-2</v>
      </c>
    </row>
    <row r="472" spans="1:15">
      <c r="A472">
        <v>2471</v>
      </c>
      <c r="B472">
        <v>48</v>
      </c>
      <c r="C472">
        <v>58</v>
      </c>
      <c r="D472">
        <v>68</v>
      </c>
      <c r="E472">
        <v>16</v>
      </c>
      <c r="F472">
        <v>66</v>
      </c>
      <c r="G472">
        <v>43</v>
      </c>
      <c r="H472" t="s">
        <v>11</v>
      </c>
      <c r="I472">
        <v>61482</v>
      </c>
      <c r="J472">
        <v>0</v>
      </c>
      <c r="K472">
        <v>0</v>
      </c>
      <c r="L472">
        <v>0</v>
      </c>
      <c r="M472">
        <v>1</v>
      </c>
      <c r="N472">
        <f t="shared" si="14"/>
        <v>0.43607316338091962</v>
      </c>
      <c r="O472">
        <f t="shared" si="15"/>
        <v>0.84483916972260031</v>
      </c>
    </row>
    <row r="473" spans="1:15">
      <c r="A473">
        <v>2478</v>
      </c>
      <c r="B473">
        <v>2</v>
      </c>
      <c r="C473">
        <v>2</v>
      </c>
      <c r="D473">
        <v>4</v>
      </c>
      <c r="E473">
        <v>13</v>
      </c>
      <c r="F473">
        <v>13</v>
      </c>
      <c r="G473">
        <v>4</v>
      </c>
      <c r="H473" t="s">
        <v>11</v>
      </c>
      <c r="I473">
        <v>25410</v>
      </c>
      <c r="J473">
        <v>1</v>
      </c>
      <c r="K473">
        <v>0</v>
      </c>
      <c r="L473">
        <v>0</v>
      </c>
      <c r="M473">
        <v>1</v>
      </c>
      <c r="N473">
        <f t="shared" si="14"/>
        <v>-1.2328955709207201</v>
      </c>
      <c r="O473">
        <f t="shared" si="15"/>
        <v>-0.2454102140359711</v>
      </c>
    </row>
    <row r="474" spans="1:15">
      <c r="A474">
        <v>2488</v>
      </c>
      <c r="B474">
        <v>23</v>
      </c>
      <c r="C474">
        <v>1</v>
      </c>
      <c r="D474">
        <v>25</v>
      </c>
      <c r="E474">
        <v>0</v>
      </c>
      <c r="F474">
        <v>8</v>
      </c>
      <c r="G474">
        <v>7</v>
      </c>
      <c r="H474" t="s">
        <v>12</v>
      </c>
      <c r="I474">
        <v>31395</v>
      </c>
      <c r="J474">
        <v>1</v>
      </c>
      <c r="K474">
        <v>1</v>
      </c>
      <c r="L474">
        <v>1</v>
      </c>
      <c r="M474">
        <v>0</v>
      </c>
      <c r="N474">
        <f t="shared" si="14"/>
        <v>-0.95598334329831725</v>
      </c>
      <c r="O474">
        <f t="shared" si="15"/>
        <v>-0.40016406167091689</v>
      </c>
    </row>
    <row r="475" spans="1:15">
      <c r="A475">
        <v>2493</v>
      </c>
      <c r="B475">
        <v>356</v>
      </c>
      <c r="C475">
        <v>0</v>
      </c>
      <c r="D475">
        <v>107</v>
      </c>
      <c r="E475">
        <v>19</v>
      </c>
      <c r="F475">
        <v>9</v>
      </c>
      <c r="G475">
        <v>117</v>
      </c>
      <c r="H475" t="s">
        <v>11</v>
      </c>
      <c r="I475">
        <v>61286</v>
      </c>
      <c r="J475">
        <v>0</v>
      </c>
      <c r="K475">
        <v>1</v>
      </c>
      <c r="L475">
        <v>0</v>
      </c>
      <c r="M475">
        <v>1</v>
      </c>
      <c r="N475">
        <f t="shared" si="14"/>
        <v>0.42700469276872399</v>
      </c>
      <c r="O475">
        <f t="shared" si="15"/>
        <v>0.61881815917488259</v>
      </c>
    </row>
    <row r="476" spans="1:15">
      <c r="A476">
        <v>2495</v>
      </c>
      <c r="B476">
        <v>217</v>
      </c>
      <c r="C476">
        <v>38</v>
      </c>
      <c r="D476">
        <v>350</v>
      </c>
      <c r="E476">
        <v>111</v>
      </c>
      <c r="F476">
        <v>85</v>
      </c>
      <c r="G476">
        <v>15</v>
      </c>
      <c r="H476" t="s">
        <v>11</v>
      </c>
      <c r="I476">
        <v>83891</v>
      </c>
      <c r="J476">
        <v>0</v>
      </c>
      <c r="K476">
        <v>1</v>
      </c>
      <c r="L476">
        <v>0</v>
      </c>
      <c r="M476">
        <v>1</v>
      </c>
      <c r="N476">
        <f t="shared" si="14"/>
        <v>1.4728862141395536</v>
      </c>
      <c r="O476">
        <f t="shared" si="15"/>
        <v>0.87186896567469008</v>
      </c>
    </row>
    <row r="477" spans="1:15">
      <c r="A477">
        <v>2499</v>
      </c>
      <c r="B477">
        <v>204</v>
      </c>
      <c r="C477">
        <v>97</v>
      </c>
      <c r="D477">
        <v>97</v>
      </c>
      <c r="E477">
        <v>21</v>
      </c>
      <c r="F477">
        <v>118</v>
      </c>
      <c r="G477">
        <v>26</v>
      </c>
      <c r="H477" t="s">
        <v>12</v>
      </c>
      <c r="I477">
        <v>75342</v>
      </c>
      <c r="J477">
        <v>0</v>
      </c>
      <c r="K477">
        <v>1</v>
      </c>
      <c r="L477">
        <v>1</v>
      </c>
      <c r="M477">
        <v>0</v>
      </c>
      <c r="N477">
        <f t="shared" si="14"/>
        <v>1.0773435852433262</v>
      </c>
      <c r="O477">
        <f t="shared" si="15"/>
        <v>0.50183108347058791</v>
      </c>
    </row>
    <row r="478" spans="1:15">
      <c r="A478">
        <v>2516</v>
      </c>
      <c r="B478">
        <v>22</v>
      </c>
      <c r="C478">
        <v>2</v>
      </c>
      <c r="D478">
        <v>10</v>
      </c>
      <c r="E478">
        <v>6</v>
      </c>
      <c r="F478">
        <v>4</v>
      </c>
      <c r="G478">
        <v>34</v>
      </c>
      <c r="H478" t="s">
        <v>11</v>
      </c>
      <c r="I478">
        <v>46831</v>
      </c>
      <c r="J478">
        <v>1</v>
      </c>
      <c r="K478">
        <v>1</v>
      </c>
      <c r="L478">
        <v>0</v>
      </c>
      <c r="M478">
        <v>1</v>
      </c>
      <c r="N478">
        <f t="shared" si="14"/>
        <v>-0.24179501488070498</v>
      </c>
      <c r="O478">
        <f t="shared" si="15"/>
        <v>0.20603118386186328</v>
      </c>
    </row>
    <row r="479" spans="1:15">
      <c r="A479">
        <v>2518</v>
      </c>
      <c r="B479">
        <v>5</v>
      </c>
      <c r="C479">
        <v>4</v>
      </c>
      <c r="D479">
        <v>5</v>
      </c>
      <c r="E479">
        <v>4</v>
      </c>
      <c r="F479">
        <v>2</v>
      </c>
      <c r="G479">
        <v>10</v>
      </c>
      <c r="H479" t="s">
        <v>11</v>
      </c>
      <c r="I479">
        <v>20491</v>
      </c>
      <c r="J479">
        <v>0</v>
      </c>
      <c r="K479">
        <v>0</v>
      </c>
      <c r="L479">
        <v>0</v>
      </c>
      <c r="M479">
        <v>1</v>
      </c>
      <c r="N479">
        <f t="shared" si="14"/>
        <v>-1.4604864226625078</v>
      </c>
      <c r="O479">
        <f t="shared" si="15"/>
        <v>-0.36660581791781216</v>
      </c>
    </row>
    <row r="480" spans="1:15">
      <c r="A480">
        <v>2521</v>
      </c>
      <c r="B480">
        <v>23</v>
      </c>
      <c r="C480">
        <v>1</v>
      </c>
      <c r="D480">
        <v>13</v>
      </c>
      <c r="E480">
        <v>2</v>
      </c>
      <c r="F480">
        <v>2</v>
      </c>
      <c r="G480">
        <v>18</v>
      </c>
      <c r="H480" t="s">
        <v>11</v>
      </c>
      <c r="I480">
        <v>35178</v>
      </c>
      <c r="J480">
        <v>1</v>
      </c>
      <c r="K480">
        <v>0</v>
      </c>
      <c r="L480">
        <v>0</v>
      </c>
      <c r="M480">
        <v>1</v>
      </c>
      <c r="N480">
        <f t="shared" si="14"/>
        <v>-0.78095260694150026</v>
      </c>
      <c r="O480">
        <f t="shared" si="15"/>
        <v>-5.3338916583245993E-2</v>
      </c>
    </row>
    <row r="481" spans="1:15">
      <c r="A481">
        <v>2525</v>
      </c>
      <c r="B481">
        <v>153</v>
      </c>
      <c r="C481">
        <v>64</v>
      </c>
      <c r="D481">
        <v>123</v>
      </c>
      <c r="E481">
        <v>116</v>
      </c>
      <c r="F481">
        <v>64</v>
      </c>
      <c r="G481">
        <v>14</v>
      </c>
      <c r="H481" t="s">
        <v>11</v>
      </c>
      <c r="I481">
        <v>38410</v>
      </c>
      <c r="J481">
        <v>0</v>
      </c>
      <c r="K481">
        <v>0</v>
      </c>
      <c r="L481">
        <v>0</v>
      </c>
      <c r="M481">
        <v>1</v>
      </c>
      <c r="N481">
        <f t="shared" si="14"/>
        <v>-0.63141537725468222</v>
      </c>
      <c r="O481">
        <f t="shared" si="15"/>
        <v>3.1847571917122112E-2</v>
      </c>
    </row>
    <row r="482" spans="1:15">
      <c r="A482">
        <v>2532</v>
      </c>
      <c r="B482">
        <v>982</v>
      </c>
      <c r="C482">
        <v>73</v>
      </c>
      <c r="D482">
        <v>351</v>
      </c>
      <c r="E482">
        <v>56</v>
      </c>
      <c r="F482">
        <v>14</v>
      </c>
      <c r="G482">
        <v>175</v>
      </c>
      <c r="H482" t="s">
        <v>12</v>
      </c>
      <c r="I482">
        <v>73454</v>
      </c>
      <c r="J482">
        <v>0</v>
      </c>
      <c r="K482">
        <v>0</v>
      </c>
      <c r="L482">
        <v>1</v>
      </c>
      <c r="M482">
        <v>0</v>
      </c>
      <c r="N482">
        <f t="shared" si="14"/>
        <v>0.98999015404013535</v>
      </c>
      <c r="O482">
        <f t="shared" si="15"/>
        <v>0.5826158582522849</v>
      </c>
    </row>
    <row r="483" spans="1:15">
      <c r="A483">
        <v>2534</v>
      </c>
      <c r="B483">
        <v>97</v>
      </c>
      <c r="C483">
        <v>1</v>
      </c>
      <c r="D483">
        <v>41</v>
      </c>
      <c r="E483">
        <v>6</v>
      </c>
      <c r="F483">
        <v>2</v>
      </c>
      <c r="G483">
        <v>41</v>
      </c>
      <c r="H483" t="s">
        <v>11</v>
      </c>
      <c r="I483">
        <v>37716</v>
      </c>
      <c r="J483">
        <v>0</v>
      </c>
      <c r="K483">
        <v>1</v>
      </c>
      <c r="L483">
        <v>0</v>
      </c>
      <c r="M483">
        <v>1</v>
      </c>
      <c r="N483">
        <f t="shared" si="14"/>
        <v>-0.66352516605500766</v>
      </c>
      <c r="O483">
        <f t="shared" si="15"/>
        <v>7.0890971262289907E-3</v>
      </c>
    </row>
    <row r="484" spans="1:15">
      <c r="A484">
        <v>2535</v>
      </c>
      <c r="B484">
        <v>163</v>
      </c>
      <c r="C484">
        <v>0</v>
      </c>
      <c r="D484">
        <v>480</v>
      </c>
      <c r="E484">
        <v>0</v>
      </c>
      <c r="F484">
        <v>126</v>
      </c>
      <c r="G484">
        <v>75</v>
      </c>
      <c r="H484" t="s">
        <v>11</v>
      </c>
      <c r="I484">
        <v>88097</v>
      </c>
      <c r="J484">
        <v>1</v>
      </c>
      <c r="K484">
        <v>0</v>
      </c>
      <c r="L484">
        <v>0</v>
      </c>
      <c r="M484">
        <v>1</v>
      </c>
      <c r="N484">
        <f t="shared" si="14"/>
        <v>1.6674881906441195</v>
      </c>
      <c r="O484">
        <f t="shared" si="15"/>
        <v>0.88794187663390312</v>
      </c>
    </row>
    <row r="485" spans="1:15">
      <c r="A485">
        <v>2541</v>
      </c>
      <c r="B485">
        <v>14</v>
      </c>
      <c r="C485">
        <v>7</v>
      </c>
      <c r="D485">
        <v>11</v>
      </c>
      <c r="E485">
        <v>11</v>
      </c>
      <c r="F485">
        <v>0</v>
      </c>
      <c r="G485">
        <v>5</v>
      </c>
      <c r="H485" t="s">
        <v>11</v>
      </c>
      <c r="I485">
        <v>24027</v>
      </c>
      <c r="J485">
        <v>1</v>
      </c>
      <c r="K485">
        <v>0</v>
      </c>
      <c r="L485">
        <v>0</v>
      </c>
      <c r="M485">
        <v>1</v>
      </c>
      <c r="N485">
        <f t="shared" si="14"/>
        <v>-1.2968838099853455</v>
      </c>
      <c r="O485">
        <f t="shared" si="15"/>
        <v>-0.26757054503297245</v>
      </c>
    </row>
    <row r="486" spans="1:15">
      <c r="A486">
        <v>2544</v>
      </c>
      <c r="B486">
        <v>50</v>
      </c>
      <c r="C486">
        <v>1</v>
      </c>
      <c r="D486">
        <v>27</v>
      </c>
      <c r="E486">
        <v>6</v>
      </c>
      <c r="F486">
        <v>7</v>
      </c>
      <c r="G486">
        <v>1</v>
      </c>
      <c r="H486" t="s">
        <v>12</v>
      </c>
      <c r="I486">
        <v>57530</v>
      </c>
      <c r="J486">
        <v>0</v>
      </c>
      <c r="K486">
        <v>1</v>
      </c>
      <c r="L486">
        <v>1</v>
      </c>
      <c r="M486">
        <v>0</v>
      </c>
      <c r="N486">
        <f t="shared" si="14"/>
        <v>0.25322318450644415</v>
      </c>
      <c r="O486">
        <f t="shared" si="15"/>
        <v>0.14595824639544219</v>
      </c>
    </row>
    <row r="487" spans="1:15">
      <c r="A487">
        <v>2546</v>
      </c>
      <c r="B487">
        <v>23</v>
      </c>
      <c r="C487">
        <v>4</v>
      </c>
      <c r="D487">
        <v>5</v>
      </c>
      <c r="E487">
        <v>10</v>
      </c>
      <c r="F487">
        <v>5</v>
      </c>
      <c r="G487">
        <v>23</v>
      </c>
      <c r="H487" t="s">
        <v>12</v>
      </c>
      <c r="I487">
        <v>31878</v>
      </c>
      <c r="J487">
        <v>0</v>
      </c>
      <c r="K487">
        <v>1</v>
      </c>
      <c r="L487">
        <v>1</v>
      </c>
      <c r="M487">
        <v>0</v>
      </c>
      <c r="N487">
        <f t="shared" si="14"/>
        <v>-0.93363604071826367</v>
      </c>
      <c r="O487">
        <f t="shared" si="15"/>
        <v>-0.45624983427134191</v>
      </c>
    </row>
    <row r="488" spans="1:15">
      <c r="A488">
        <v>2549</v>
      </c>
      <c r="B488">
        <v>17</v>
      </c>
      <c r="C488">
        <v>0</v>
      </c>
      <c r="D488">
        <v>9</v>
      </c>
      <c r="E488">
        <v>0</v>
      </c>
      <c r="F488">
        <v>0</v>
      </c>
      <c r="G488">
        <v>1</v>
      </c>
      <c r="H488" t="s">
        <v>11</v>
      </c>
      <c r="I488">
        <v>21840</v>
      </c>
      <c r="J488">
        <v>1</v>
      </c>
      <c r="K488">
        <v>0</v>
      </c>
      <c r="L488">
        <v>0</v>
      </c>
      <c r="M488">
        <v>1</v>
      </c>
      <c r="N488">
        <f t="shared" si="14"/>
        <v>-1.398071285642855</v>
      </c>
      <c r="O488">
        <f t="shared" si="15"/>
        <v>-0.30031784865809641</v>
      </c>
    </row>
    <row r="489" spans="1:15">
      <c r="A489">
        <v>2552</v>
      </c>
      <c r="B489">
        <v>416</v>
      </c>
      <c r="C489">
        <v>0</v>
      </c>
      <c r="D489">
        <v>26</v>
      </c>
      <c r="E489">
        <v>0</v>
      </c>
      <c r="F489">
        <v>0</v>
      </c>
      <c r="G489">
        <v>4</v>
      </c>
      <c r="H489" t="s">
        <v>12</v>
      </c>
      <c r="I489">
        <v>55521</v>
      </c>
      <c r="J489">
        <v>1</v>
      </c>
      <c r="K489">
        <v>2</v>
      </c>
      <c r="L489">
        <v>1</v>
      </c>
      <c r="M489">
        <v>0</v>
      </c>
      <c r="N489">
        <f t="shared" si="14"/>
        <v>0.16027136073143877</v>
      </c>
      <c r="O489">
        <f t="shared" si="15"/>
        <v>5.4068645902610984E-2</v>
      </c>
    </row>
    <row r="490" spans="1:15">
      <c r="A490">
        <v>2557</v>
      </c>
      <c r="B490">
        <v>7</v>
      </c>
      <c r="C490">
        <v>1</v>
      </c>
      <c r="D490">
        <v>6</v>
      </c>
      <c r="E490">
        <v>3</v>
      </c>
      <c r="F490">
        <v>1</v>
      </c>
      <c r="G490">
        <v>11</v>
      </c>
      <c r="H490" t="s">
        <v>12</v>
      </c>
      <c r="I490">
        <v>29548</v>
      </c>
      <c r="J490">
        <v>1</v>
      </c>
      <c r="K490">
        <v>0</v>
      </c>
      <c r="L490">
        <v>1</v>
      </c>
      <c r="M490">
        <v>0</v>
      </c>
      <c r="N490">
        <f t="shared" si="14"/>
        <v>-1.0414397985060997</v>
      </c>
      <c r="O490">
        <f t="shared" si="15"/>
        <v>-0.49105237366848226</v>
      </c>
    </row>
    <row r="491" spans="1:15">
      <c r="A491">
        <v>2563</v>
      </c>
      <c r="B491">
        <v>1</v>
      </c>
      <c r="C491">
        <v>9</v>
      </c>
      <c r="D491">
        <v>7</v>
      </c>
      <c r="E491">
        <v>2</v>
      </c>
      <c r="F491">
        <v>14</v>
      </c>
      <c r="G491">
        <v>10</v>
      </c>
      <c r="H491" t="s">
        <v>11</v>
      </c>
      <c r="I491">
        <v>28249</v>
      </c>
      <c r="J491">
        <v>0</v>
      </c>
      <c r="K491">
        <v>0</v>
      </c>
      <c r="L491">
        <v>0</v>
      </c>
      <c r="M491">
        <v>1</v>
      </c>
      <c r="N491">
        <f t="shared" si="14"/>
        <v>-1.1015415501654984</v>
      </c>
      <c r="O491">
        <f t="shared" si="15"/>
        <v>-0.23636776778782886</v>
      </c>
    </row>
    <row r="492" spans="1:15">
      <c r="A492">
        <v>2564</v>
      </c>
      <c r="B492">
        <v>111</v>
      </c>
      <c r="C492">
        <v>3</v>
      </c>
      <c r="D492">
        <v>28</v>
      </c>
      <c r="E492">
        <v>2</v>
      </c>
      <c r="F492">
        <v>6</v>
      </c>
      <c r="G492">
        <v>15</v>
      </c>
      <c r="H492" t="s">
        <v>11</v>
      </c>
      <c r="I492">
        <v>61278</v>
      </c>
      <c r="J492">
        <v>0</v>
      </c>
      <c r="K492">
        <v>1</v>
      </c>
      <c r="L492">
        <v>0</v>
      </c>
      <c r="M492">
        <v>1</v>
      </c>
      <c r="N492">
        <f t="shared" si="14"/>
        <v>0.42663455111108334</v>
      </c>
      <c r="O492">
        <f t="shared" si="15"/>
        <v>0.61865545508119046</v>
      </c>
    </row>
    <row r="493" spans="1:15">
      <c r="A493">
        <v>2565</v>
      </c>
      <c r="B493">
        <v>1016</v>
      </c>
      <c r="C493">
        <v>12</v>
      </c>
      <c r="D493">
        <v>215</v>
      </c>
      <c r="E493">
        <v>16</v>
      </c>
      <c r="F493">
        <v>12</v>
      </c>
      <c r="G493">
        <v>63</v>
      </c>
      <c r="H493" t="s">
        <v>12</v>
      </c>
      <c r="I493">
        <v>70638</v>
      </c>
      <c r="J493">
        <v>0</v>
      </c>
      <c r="K493">
        <v>0</v>
      </c>
      <c r="L493">
        <v>1</v>
      </c>
      <c r="M493">
        <v>0</v>
      </c>
      <c r="N493">
        <f t="shared" si="14"/>
        <v>0.85970029055063057</v>
      </c>
      <c r="O493">
        <f t="shared" si="15"/>
        <v>0.53985803590400383</v>
      </c>
    </row>
    <row r="494" spans="1:15">
      <c r="A494">
        <v>2569</v>
      </c>
      <c r="B494">
        <v>3</v>
      </c>
      <c r="C494">
        <v>14</v>
      </c>
      <c r="D494">
        <v>17</v>
      </c>
      <c r="E494">
        <v>6</v>
      </c>
      <c r="F494">
        <v>1</v>
      </c>
      <c r="G494">
        <v>5</v>
      </c>
      <c r="H494" t="s">
        <v>11</v>
      </c>
      <c r="I494">
        <v>17323</v>
      </c>
      <c r="J494">
        <v>0</v>
      </c>
      <c r="K494">
        <v>0</v>
      </c>
      <c r="L494">
        <v>0</v>
      </c>
      <c r="M494">
        <v>1</v>
      </c>
      <c r="N494">
        <f t="shared" si="14"/>
        <v>-1.6070625190882006</v>
      </c>
      <c r="O494">
        <f t="shared" si="15"/>
        <v>-0.40695888053197987</v>
      </c>
    </row>
    <row r="495" spans="1:15">
      <c r="A495">
        <v>2570</v>
      </c>
      <c r="B495">
        <v>691</v>
      </c>
      <c r="C495">
        <v>7</v>
      </c>
      <c r="D495">
        <v>61</v>
      </c>
      <c r="E495">
        <v>10</v>
      </c>
      <c r="F495">
        <v>0</v>
      </c>
      <c r="G495">
        <v>46</v>
      </c>
      <c r="H495" t="s">
        <v>11</v>
      </c>
      <c r="I495">
        <v>56534</v>
      </c>
      <c r="J495">
        <v>0</v>
      </c>
      <c r="K495">
        <v>1</v>
      </c>
      <c r="L495">
        <v>0</v>
      </c>
      <c r="M495">
        <v>1</v>
      </c>
      <c r="N495">
        <f t="shared" si="14"/>
        <v>0.20714054813018462</v>
      </c>
      <c r="O495">
        <f t="shared" si="15"/>
        <v>0.51220006516541416</v>
      </c>
    </row>
    <row r="496" spans="1:15">
      <c r="A496">
        <v>2574</v>
      </c>
      <c r="B496">
        <v>1050</v>
      </c>
      <c r="C496">
        <v>12</v>
      </c>
      <c r="D496">
        <v>144</v>
      </c>
      <c r="E496">
        <v>0</v>
      </c>
      <c r="F496">
        <v>0</v>
      </c>
      <c r="G496">
        <v>24</v>
      </c>
      <c r="H496" t="s">
        <v>11</v>
      </c>
      <c r="I496">
        <v>61996</v>
      </c>
      <c r="J496">
        <v>0</v>
      </c>
      <c r="K496">
        <v>1</v>
      </c>
      <c r="L496">
        <v>0</v>
      </c>
      <c r="M496">
        <v>1</v>
      </c>
      <c r="N496">
        <f t="shared" si="14"/>
        <v>0.45985476488433069</v>
      </c>
      <c r="O496">
        <f t="shared" si="15"/>
        <v>0.63302172637942999</v>
      </c>
    </row>
    <row r="497" spans="1:15">
      <c r="A497">
        <v>2579</v>
      </c>
      <c r="B497">
        <v>495</v>
      </c>
      <c r="C497">
        <v>33</v>
      </c>
      <c r="D497">
        <v>255</v>
      </c>
      <c r="E497">
        <v>11</v>
      </c>
      <c r="F497">
        <v>33</v>
      </c>
      <c r="G497">
        <v>8</v>
      </c>
      <c r="H497" t="s">
        <v>11</v>
      </c>
      <c r="I497">
        <v>71113</v>
      </c>
      <c r="J497">
        <v>0</v>
      </c>
      <c r="K497">
        <v>1</v>
      </c>
      <c r="L497">
        <v>0</v>
      </c>
      <c r="M497">
        <v>1</v>
      </c>
      <c r="N497">
        <f t="shared" si="14"/>
        <v>0.88167745147304344</v>
      </c>
      <c r="O497">
        <f t="shared" si="15"/>
        <v>0.77447056411354032</v>
      </c>
    </row>
    <row r="498" spans="1:15">
      <c r="A498">
        <v>2587</v>
      </c>
      <c r="B498">
        <v>14</v>
      </c>
      <c r="C498">
        <v>0</v>
      </c>
      <c r="D498">
        <v>6</v>
      </c>
      <c r="E498">
        <v>0</v>
      </c>
      <c r="F498">
        <v>0</v>
      </c>
      <c r="G498">
        <v>0</v>
      </c>
      <c r="H498" t="s">
        <v>11</v>
      </c>
      <c r="I498">
        <v>29791</v>
      </c>
      <c r="J498">
        <v>1</v>
      </c>
      <c r="K498">
        <v>0</v>
      </c>
      <c r="L498">
        <v>0</v>
      </c>
      <c r="M498">
        <v>1</v>
      </c>
      <c r="N498">
        <f t="shared" si="14"/>
        <v>-1.0301967456552652</v>
      </c>
      <c r="O498">
        <f t="shared" si="15"/>
        <v>-0.16721755913793768</v>
      </c>
    </row>
    <row r="499" spans="1:15">
      <c r="A499">
        <v>2589</v>
      </c>
      <c r="B499">
        <v>25</v>
      </c>
      <c r="C499">
        <v>3</v>
      </c>
      <c r="D499">
        <v>16</v>
      </c>
      <c r="E499">
        <v>8</v>
      </c>
      <c r="F499">
        <v>5</v>
      </c>
      <c r="G499">
        <v>2</v>
      </c>
      <c r="H499" t="s">
        <v>12</v>
      </c>
      <c r="I499">
        <v>26759</v>
      </c>
      <c r="J499">
        <v>1</v>
      </c>
      <c r="K499">
        <v>0</v>
      </c>
      <c r="L499">
        <v>1</v>
      </c>
      <c r="M499">
        <v>0</v>
      </c>
      <c r="N499">
        <f t="shared" si="14"/>
        <v>-1.1704804339010673</v>
      </c>
      <c r="O499">
        <f t="shared" si="15"/>
        <v>-0.52800797585272075</v>
      </c>
    </row>
    <row r="500" spans="1:15">
      <c r="A500">
        <v>2591</v>
      </c>
      <c r="B500">
        <v>526</v>
      </c>
      <c r="C500">
        <v>35</v>
      </c>
      <c r="D500">
        <v>214</v>
      </c>
      <c r="E500">
        <v>69</v>
      </c>
      <c r="F500">
        <v>53</v>
      </c>
      <c r="G500">
        <v>35</v>
      </c>
      <c r="H500" t="s">
        <v>12</v>
      </c>
      <c r="I500">
        <v>76320</v>
      </c>
      <c r="J500">
        <v>0</v>
      </c>
      <c r="K500">
        <v>1</v>
      </c>
      <c r="L500">
        <v>1</v>
      </c>
      <c r="M500">
        <v>0</v>
      </c>
      <c r="N500">
        <f t="shared" si="14"/>
        <v>1.1225934028898941</v>
      </c>
      <c r="O500">
        <f t="shared" si="15"/>
        <v>0.51486355621170343</v>
      </c>
    </row>
    <row r="501" spans="1:15">
      <c r="A501">
        <v>2607</v>
      </c>
      <c r="B501">
        <v>424</v>
      </c>
      <c r="C501">
        <v>17</v>
      </c>
      <c r="D501">
        <v>118</v>
      </c>
      <c r="E501">
        <v>7</v>
      </c>
      <c r="F501">
        <v>23</v>
      </c>
      <c r="G501">
        <v>41</v>
      </c>
      <c r="H501" t="s">
        <v>12</v>
      </c>
      <c r="I501">
        <v>40464</v>
      </c>
      <c r="J501">
        <v>0</v>
      </c>
      <c r="K501">
        <v>1</v>
      </c>
      <c r="L501">
        <v>1</v>
      </c>
      <c r="M501">
        <v>0</v>
      </c>
      <c r="N501">
        <f t="shared" si="14"/>
        <v>-0.53638150665544826</v>
      </c>
      <c r="O501">
        <f t="shared" si="15"/>
        <v>-0.29367476092580119</v>
      </c>
    </row>
    <row r="502" spans="1:15">
      <c r="A502">
        <v>2611</v>
      </c>
      <c r="B502">
        <v>1206</v>
      </c>
      <c r="C502">
        <v>55</v>
      </c>
      <c r="D502">
        <v>445</v>
      </c>
      <c r="E502">
        <v>168</v>
      </c>
      <c r="F502">
        <v>18</v>
      </c>
      <c r="G502">
        <v>18</v>
      </c>
      <c r="H502" t="s">
        <v>11</v>
      </c>
      <c r="I502">
        <v>82576</v>
      </c>
      <c r="J502">
        <v>0</v>
      </c>
      <c r="K502">
        <v>0</v>
      </c>
      <c r="L502">
        <v>0</v>
      </c>
      <c r="M502">
        <v>1</v>
      </c>
      <c r="N502">
        <f t="shared" si="14"/>
        <v>1.4120441791648737</v>
      </c>
      <c r="O502">
        <f t="shared" si="15"/>
        <v>0.99977631972050718</v>
      </c>
    </row>
    <row r="503" spans="1:15">
      <c r="A503">
        <v>2612</v>
      </c>
      <c r="B503">
        <v>754</v>
      </c>
      <c r="C503">
        <v>160</v>
      </c>
      <c r="D503">
        <v>625</v>
      </c>
      <c r="E503">
        <v>63</v>
      </c>
      <c r="F503">
        <v>32</v>
      </c>
      <c r="G503">
        <v>48</v>
      </c>
      <c r="H503" t="s">
        <v>11</v>
      </c>
      <c r="I503">
        <v>75794</v>
      </c>
      <c r="J503">
        <v>0</v>
      </c>
      <c r="K503">
        <v>0</v>
      </c>
      <c r="L503">
        <v>0</v>
      </c>
      <c r="M503">
        <v>1</v>
      </c>
      <c r="N503">
        <f t="shared" si="14"/>
        <v>1.0982565889000222</v>
      </c>
      <c r="O503">
        <f t="shared" si="15"/>
        <v>0.98971404536897345</v>
      </c>
    </row>
    <row r="504" spans="1:15">
      <c r="A504">
        <v>2613</v>
      </c>
      <c r="B504">
        <v>162</v>
      </c>
      <c r="C504">
        <v>6</v>
      </c>
      <c r="D504">
        <v>37</v>
      </c>
      <c r="E504">
        <v>6</v>
      </c>
      <c r="F504">
        <v>13</v>
      </c>
      <c r="G504">
        <v>13</v>
      </c>
      <c r="H504" t="s">
        <v>11</v>
      </c>
      <c r="I504">
        <v>54197</v>
      </c>
      <c r="J504">
        <v>0</v>
      </c>
      <c r="K504">
        <v>1</v>
      </c>
      <c r="L504">
        <v>0</v>
      </c>
      <c r="M504">
        <v>1</v>
      </c>
      <c r="N504">
        <f t="shared" si="14"/>
        <v>9.9012916391913064E-2</v>
      </c>
      <c r="O504">
        <f t="shared" si="15"/>
        <v>0.45323953918241833</v>
      </c>
    </row>
    <row r="505" spans="1:15">
      <c r="A505">
        <v>2620</v>
      </c>
      <c r="B505">
        <v>14</v>
      </c>
      <c r="C505">
        <v>0</v>
      </c>
      <c r="D505">
        <v>2</v>
      </c>
      <c r="E505">
        <v>0</v>
      </c>
      <c r="F505">
        <v>0</v>
      </c>
      <c r="G505">
        <v>7</v>
      </c>
      <c r="H505" t="s">
        <v>11</v>
      </c>
      <c r="I505">
        <v>34596</v>
      </c>
      <c r="J505">
        <v>1</v>
      </c>
      <c r="K505">
        <v>0</v>
      </c>
      <c r="L505">
        <v>0</v>
      </c>
      <c r="M505">
        <v>1</v>
      </c>
      <c r="N505">
        <f t="shared" si="14"/>
        <v>-0.80788041253485676</v>
      </c>
      <c r="O505">
        <f t="shared" si="15"/>
        <v>-6.6598562749507456E-2</v>
      </c>
    </row>
    <row r="506" spans="1:15">
      <c r="A506">
        <v>2625</v>
      </c>
      <c r="B506">
        <v>156</v>
      </c>
      <c r="C506">
        <v>29</v>
      </c>
      <c r="D506">
        <v>56</v>
      </c>
      <c r="E506">
        <v>30</v>
      </c>
      <c r="F506">
        <v>32</v>
      </c>
      <c r="G506">
        <v>47</v>
      </c>
      <c r="H506" t="s">
        <v>12</v>
      </c>
      <c r="I506">
        <v>42607</v>
      </c>
      <c r="J506">
        <v>0</v>
      </c>
      <c r="K506">
        <v>1</v>
      </c>
      <c r="L506">
        <v>1</v>
      </c>
      <c r="M506">
        <v>0</v>
      </c>
      <c r="N506">
        <f t="shared" si="14"/>
        <v>-0.4372298101149622</v>
      </c>
      <c r="O506">
        <f t="shared" si="15"/>
        <v>-0.24460458141605551</v>
      </c>
    </row>
    <row r="507" spans="1:15">
      <c r="A507">
        <v>2631</v>
      </c>
      <c r="B507">
        <v>358</v>
      </c>
      <c r="C507">
        <v>108</v>
      </c>
      <c r="D507">
        <v>413</v>
      </c>
      <c r="E507">
        <v>141</v>
      </c>
      <c r="F507">
        <v>97</v>
      </c>
      <c r="G507">
        <v>32</v>
      </c>
      <c r="H507" t="s">
        <v>11</v>
      </c>
      <c r="I507">
        <v>71853</v>
      </c>
      <c r="J507">
        <v>0</v>
      </c>
      <c r="K507">
        <v>0</v>
      </c>
      <c r="L507">
        <v>0</v>
      </c>
      <c r="M507">
        <v>1</v>
      </c>
      <c r="N507">
        <f t="shared" si="14"/>
        <v>0.91591555480480258</v>
      </c>
      <c r="O507">
        <f t="shared" si="15"/>
        <v>0.97269912551897975</v>
      </c>
    </row>
    <row r="508" spans="1:15">
      <c r="A508">
        <v>2632</v>
      </c>
      <c r="B508">
        <v>297</v>
      </c>
      <c r="C508">
        <v>0</v>
      </c>
      <c r="D508">
        <v>38</v>
      </c>
      <c r="E508">
        <v>13</v>
      </c>
      <c r="F508">
        <v>0</v>
      </c>
      <c r="G508">
        <v>152</v>
      </c>
      <c r="H508" t="s">
        <v>11</v>
      </c>
      <c r="I508">
        <v>50501</v>
      </c>
      <c r="J508">
        <v>1</v>
      </c>
      <c r="K508">
        <v>1</v>
      </c>
      <c r="L508">
        <v>0</v>
      </c>
      <c r="M508">
        <v>1</v>
      </c>
      <c r="N508">
        <f t="shared" si="14"/>
        <v>-7.1992529438061989E-2</v>
      </c>
      <c r="O508">
        <f t="shared" si="15"/>
        <v>0.28896467522946628</v>
      </c>
    </row>
    <row r="509" spans="1:15">
      <c r="A509">
        <v>2634</v>
      </c>
      <c r="B509">
        <v>5</v>
      </c>
      <c r="C509">
        <v>7</v>
      </c>
      <c r="D509">
        <v>31</v>
      </c>
      <c r="E509">
        <v>15</v>
      </c>
      <c r="F509">
        <v>4</v>
      </c>
      <c r="G509">
        <v>7</v>
      </c>
      <c r="H509" t="s">
        <v>12</v>
      </c>
      <c r="I509">
        <v>16653</v>
      </c>
      <c r="J509">
        <v>1</v>
      </c>
      <c r="K509">
        <v>0</v>
      </c>
      <c r="L509">
        <v>1</v>
      </c>
      <c r="M509">
        <v>0</v>
      </c>
      <c r="N509">
        <f t="shared" si="14"/>
        <v>-1.6380618829156042</v>
      </c>
      <c r="O509">
        <f t="shared" si="15"/>
        <v>-0.62682980051348691</v>
      </c>
    </row>
    <row r="510" spans="1:15">
      <c r="A510">
        <v>2639</v>
      </c>
      <c r="B510">
        <v>19</v>
      </c>
      <c r="C510">
        <v>5</v>
      </c>
      <c r="D510">
        <v>12</v>
      </c>
      <c r="E510">
        <v>10</v>
      </c>
      <c r="F510">
        <v>3</v>
      </c>
      <c r="G510">
        <v>19</v>
      </c>
      <c r="H510" t="s">
        <v>12</v>
      </c>
      <c r="I510">
        <v>43602</v>
      </c>
      <c r="J510">
        <v>1</v>
      </c>
      <c r="K510">
        <v>1</v>
      </c>
      <c r="L510">
        <v>1</v>
      </c>
      <c r="M510">
        <v>0</v>
      </c>
      <c r="N510">
        <f t="shared" si="14"/>
        <v>-0.39119344144590773</v>
      </c>
      <c r="O510">
        <f t="shared" si="15"/>
        <v>-0.18244005929680271</v>
      </c>
    </row>
    <row r="511" spans="1:15">
      <c r="A511">
        <v>2656</v>
      </c>
      <c r="B511">
        <v>23</v>
      </c>
      <c r="C511">
        <v>1</v>
      </c>
      <c r="D511">
        <v>7</v>
      </c>
      <c r="E511">
        <v>0</v>
      </c>
      <c r="F511">
        <v>4</v>
      </c>
      <c r="G511">
        <v>24</v>
      </c>
      <c r="H511" t="s">
        <v>12</v>
      </c>
      <c r="I511">
        <v>40851</v>
      </c>
      <c r="J511">
        <v>1</v>
      </c>
      <c r="K511">
        <v>1</v>
      </c>
      <c r="L511">
        <v>1</v>
      </c>
      <c r="M511">
        <v>0</v>
      </c>
      <c r="N511">
        <f t="shared" si="14"/>
        <v>-0.51847590396708232</v>
      </c>
      <c r="O511">
        <f t="shared" si="15"/>
        <v>-0.23747948925149862</v>
      </c>
    </row>
    <row r="512" spans="1:15">
      <c r="A512">
        <v>2661</v>
      </c>
      <c r="B512">
        <v>12</v>
      </c>
      <c r="C512">
        <v>4</v>
      </c>
      <c r="D512">
        <v>2</v>
      </c>
      <c r="E512">
        <v>10</v>
      </c>
      <c r="F512">
        <v>6</v>
      </c>
      <c r="G512">
        <v>10</v>
      </c>
      <c r="H512" t="s">
        <v>12</v>
      </c>
      <c r="I512">
        <v>18701</v>
      </c>
      <c r="J512">
        <v>1</v>
      </c>
      <c r="K512">
        <v>1</v>
      </c>
      <c r="L512">
        <v>1</v>
      </c>
      <c r="M512">
        <v>0</v>
      </c>
      <c r="N512">
        <f t="shared" si="14"/>
        <v>-1.5433056185596006</v>
      </c>
      <c r="O512">
        <f t="shared" si="15"/>
        <v>-0.55091084740605689</v>
      </c>
    </row>
    <row r="513" spans="1:15">
      <c r="A513">
        <v>2666</v>
      </c>
      <c r="B513">
        <v>519</v>
      </c>
      <c r="C513">
        <v>50</v>
      </c>
      <c r="D513">
        <v>167</v>
      </c>
      <c r="E513">
        <v>130</v>
      </c>
      <c r="F513">
        <v>0</v>
      </c>
      <c r="G513">
        <v>41</v>
      </c>
      <c r="H513" t="s">
        <v>11</v>
      </c>
      <c r="I513">
        <v>76234</v>
      </c>
      <c r="J513">
        <v>0</v>
      </c>
      <c r="K513">
        <v>1</v>
      </c>
      <c r="L513">
        <v>0</v>
      </c>
      <c r="M513">
        <v>1</v>
      </c>
      <c r="N513">
        <f t="shared" si="14"/>
        <v>1.1186143800702573</v>
      </c>
      <c r="O513">
        <f t="shared" si="15"/>
        <v>0.8246179916596752</v>
      </c>
    </row>
    <row r="514" spans="1:15">
      <c r="A514">
        <v>2669</v>
      </c>
      <c r="B514">
        <v>375</v>
      </c>
      <c r="C514">
        <v>152</v>
      </c>
      <c r="D514">
        <v>335</v>
      </c>
      <c r="E514">
        <v>93</v>
      </c>
      <c r="F514">
        <v>91</v>
      </c>
      <c r="G514">
        <v>81</v>
      </c>
      <c r="H514" t="s">
        <v>12</v>
      </c>
      <c r="I514">
        <v>74293</v>
      </c>
      <c r="J514">
        <v>0</v>
      </c>
      <c r="K514">
        <v>0</v>
      </c>
      <c r="L514">
        <v>1</v>
      </c>
      <c r="M514">
        <v>0</v>
      </c>
      <c r="N514">
        <f t="shared" si="14"/>
        <v>1.0288087603851974</v>
      </c>
      <c r="O514">
        <f t="shared" si="15"/>
        <v>0.59382381393954309</v>
      </c>
    </row>
    <row r="515" spans="1:15">
      <c r="A515">
        <v>2674</v>
      </c>
      <c r="B515">
        <v>543</v>
      </c>
      <c r="C515">
        <v>10</v>
      </c>
      <c r="D515">
        <v>205</v>
      </c>
      <c r="E515">
        <v>160</v>
      </c>
      <c r="F515">
        <v>143</v>
      </c>
      <c r="G515">
        <v>82</v>
      </c>
      <c r="H515" t="s">
        <v>12</v>
      </c>
      <c r="I515">
        <v>75154</v>
      </c>
      <c r="J515">
        <v>0</v>
      </c>
      <c r="K515">
        <v>1</v>
      </c>
      <c r="L515">
        <v>1</v>
      </c>
      <c r="M515">
        <v>0</v>
      </c>
      <c r="N515">
        <f t="shared" ref="N515:N578" si="16">STANDARDIZE(I515,$Q$1,$R$1)</f>
        <v>1.0686452562887712</v>
      </c>
      <c r="O515">
        <f t="shared" ref="O515:O578" si="17">SUMPRODUCT(J515:N515,$Q$4:$U$4) / SQRT(SUMSQ(J515:N515) * SUMSQ($Q$4:$U$4))</f>
        <v>0.49925582035787136</v>
      </c>
    </row>
    <row r="516" spans="1:15">
      <c r="A516">
        <v>2677</v>
      </c>
      <c r="B516">
        <v>72</v>
      </c>
      <c r="C516">
        <v>24</v>
      </c>
      <c r="D516">
        <v>68</v>
      </c>
      <c r="E516">
        <v>65</v>
      </c>
      <c r="F516">
        <v>4</v>
      </c>
      <c r="G516">
        <v>8</v>
      </c>
      <c r="H516" t="s">
        <v>11</v>
      </c>
      <c r="I516">
        <v>46097</v>
      </c>
      <c r="J516">
        <v>0</v>
      </c>
      <c r="K516">
        <v>1</v>
      </c>
      <c r="L516">
        <v>0</v>
      </c>
      <c r="M516">
        <v>1</v>
      </c>
      <c r="N516">
        <f t="shared" si="16"/>
        <v>-0.27575551196923359</v>
      </c>
      <c r="O516">
        <f t="shared" si="17"/>
        <v>0.23055434577312761</v>
      </c>
    </row>
    <row r="517" spans="1:15">
      <c r="A517">
        <v>2678</v>
      </c>
      <c r="B517">
        <v>52</v>
      </c>
      <c r="C517">
        <v>12</v>
      </c>
      <c r="D517">
        <v>50</v>
      </c>
      <c r="E517">
        <v>4</v>
      </c>
      <c r="F517">
        <v>36</v>
      </c>
      <c r="G517">
        <v>55</v>
      </c>
      <c r="H517" t="s">
        <v>12</v>
      </c>
      <c r="I517">
        <v>34412</v>
      </c>
      <c r="J517">
        <v>1</v>
      </c>
      <c r="K517">
        <v>0</v>
      </c>
      <c r="L517">
        <v>1</v>
      </c>
      <c r="M517">
        <v>0</v>
      </c>
      <c r="N517">
        <f t="shared" si="16"/>
        <v>-0.81639367066059143</v>
      </c>
      <c r="O517">
        <f t="shared" si="17"/>
        <v>-0.41402045390115177</v>
      </c>
    </row>
    <row r="518" spans="1:15">
      <c r="A518">
        <v>2681</v>
      </c>
      <c r="B518">
        <v>71</v>
      </c>
      <c r="C518">
        <v>22</v>
      </c>
      <c r="D518">
        <v>112</v>
      </c>
      <c r="E518">
        <v>138</v>
      </c>
      <c r="F518">
        <v>89</v>
      </c>
      <c r="G518">
        <v>29</v>
      </c>
      <c r="H518" t="s">
        <v>11</v>
      </c>
      <c r="I518">
        <v>65370</v>
      </c>
      <c r="J518">
        <v>0</v>
      </c>
      <c r="K518">
        <v>0</v>
      </c>
      <c r="L518">
        <v>0</v>
      </c>
      <c r="M518">
        <v>1</v>
      </c>
      <c r="N518">
        <f t="shared" si="16"/>
        <v>0.61596200899427</v>
      </c>
      <c r="O518">
        <f t="shared" si="17"/>
        <v>0.91158616014893423</v>
      </c>
    </row>
    <row r="519" spans="1:15">
      <c r="A519">
        <v>2683</v>
      </c>
      <c r="B519">
        <v>295</v>
      </c>
      <c r="C519">
        <v>106</v>
      </c>
      <c r="D519">
        <v>271</v>
      </c>
      <c r="E519">
        <v>75</v>
      </c>
      <c r="F519">
        <v>98</v>
      </c>
      <c r="G519">
        <v>65</v>
      </c>
      <c r="H519" t="s">
        <v>11</v>
      </c>
      <c r="I519">
        <v>52413</v>
      </c>
      <c r="J519">
        <v>0</v>
      </c>
      <c r="K519">
        <v>2</v>
      </c>
      <c r="L519">
        <v>0</v>
      </c>
      <c r="M519">
        <v>1</v>
      </c>
      <c r="N519">
        <f t="shared" si="16"/>
        <v>1.6471326738050643E-2</v>
      </c>
      <c r="O519">
        <f t="shared" si="17"/>
        <v>0.25677962457624132</v>
      </c>
    </row>
    <row r="520" spans="1:15">
      <c r="A520">
        <v>2686</v>
      </c>
      <c r="B520">
        <v>0</v>
      </c>
      <c r="C520">
        <v>1</v>
      </c>
      <c r="D520">
        <v>4</v>
      </c>
      <c r="E520">
        <v>15</v>
      </c>
      <c r="F520">
        <v>1</v>
      </c>
      <c r="G520">
        <v>5</v>
      </c>
      <c r="H520" t="s">
        <v>11</v>
      </c>
      <c r="I520">
        <v>22390</v>
      </c>
      <c r="J520">
        <v>0</v>
      </c>
      <c r="K520">
        <v>0</v>
      </c>
      <c r="L520">
        <v>0</v>
      </c>
      <c r="M520">
        <v>1</v>
      </c>
      <c r="N520">
        <f t="shared" si="16"/>
        <v>-1.3726240466800612</v>
      </c>
      <c r="O520">
        <f t="shared" si="17"/>
        <v>-0.33925505679729623</v>
      </c>
    </row>
    <row r="521" spans="1:15">
      <c r="A521">
        <v>2694</v>
      </c>
      <c r="B521">
        <v>21</v>
      </c>
      <c r="C521">
        <v>0</v>
      </c>
      <c r="D521">
        <v>3</v>
      </c>
      <c r="E521">
        <v>0</v>
      </c>
      <c r="F521">
        <v>0</v>
      </c>
      <c r="G521">
        <v>0</v>
      </c>
      <c r="H521" t="s">
        <v>11</v>
      </c>
      <c r="I521">
        <v>42664</v>
      </c>
      <c r="J521">
        <v>0</v>
      </c>
      <c r="K521">
        <v>1</v>
      </c>
      <c r="L521">
        <v>0</v>
      </c>
      <c r="M521">
        <v>1</v>
      </c>
      <c r="N521">
        <f t="shared" si="16"/>
        <v>-0.43459255080427261</v>
      </c>
      <c r="O521">
        <f t="shared" si="17"/>
        <v>0.13562682722680891</v>
      </c>
    </row>
    <row r="522" spans="1:15">
      <c r="A522">
        <v>2698</v>
      </c>
      <c r="B522">
        <v>254</v>
      </c>
      <c r="C522">
        <v>7</v>
      </c>
      <c r="D522">
        <v>108</v>
      </c>
      <c r="E522">
        <v>20</v>
      </c>
      <c r="F522">
        <v>0</v>
      </c>
      <c r="G522">
        <v>26</v>
      </c>
      <c r="H522" t="s">
        <v>12</v>
      </c>
      <c r="I522">
        <v>47025</v>
      </c>
      <c r="J522">
        <v>0</v>
      </c>
      <c r="K522">
        <v>1</v>
      </c>
      <c r="L522">
        <v>1</v>
      </c>
      <c r="M522">
        <v>0</v>
      </c>
      <c r="N522">
        <f t="shared" si="16"/>
        <v>-0.23281907968291948</v>
      </c>
      <c r="O522">
        <f t="shared" si="17"/>
        <v>-0.13452083565992431</v>
      </c>
    </row>
    <row r="523" spans="1:15">
      <c r="A523">
        <v>2711</v>
      </c>
      <c r="B523">
        <v>9</v>
      </c>
      <c r="C523">
        <v>1</v>
      </c>
      <c r="D523">
        <v>5</v>
      </c>
      <c r="E523">
        <v>4</v>
      </c>
      <c r="F523">
        <v>5</v>
      </c>
      <c r="G523">
        <v>7</v>
      </c>
      <c r="H523" t="s">
        <v>11</v>
      </c>
      <c r="I523">
        <v>30560</v>
      </c>
      <c r="J523">
        <v>1</v>
      </c>
      <c r="K523">
        <v>0</v>
      </c>
      <c r="L523">
        <v>0</v>
      </c>
      <c r="M523">
        <v>1</v>
      </c>
      <c r="N523">
        <f t="shared" si="16"/>
        <v>-0.99461687881455896</v>
      </c>
      <c r="O523">
        <f t="shared" si="17"/>
        <v>-0.15217878576331426</v>
      </c>
    </row>
    <row r="524" spans="1:15">
      <c r="A524">
        <v>2712</v>
      </c>
      <c r="B524">
        <v>184</v>
      </c>
      <c r="C524">
        <v>178</v>
      </c>
      <c r="D524">
        <v>178</v>
      </c>
      <c r="E524">
        <v>103</v>
      </c>
      <c r="F524">
        <v>39</v>
      </c>
      <c r="G524">
        <v>33</v>
      </c>
      <c r="H524" t="s">
        <v>11</v>
      </c>
      <c r="I524">
        <v>71866</v>
      </c>
      <c r="J524">
        <v>0</v>
      </c>
      <c r="K524">
        <v>1</v>
      </c>
      <c r="L524">
        <v>0</v>
      </c>
      <c r="M524">
        <v>1</v>
      </c>
      <c r="N524">
        <f t="shared" si="16"/>
        <v>0.91651703499846859</v>
      </c>
      <c r="O524">
        <f t="shared" si="17"/>
        <v>0.78300091196167421</v>
      </c>
    </row>
    <row r="525" spans="1:15">
      <c r="A525">
        <v>2715</v>
      </c>
      <c r="B525">
        <v>70</v>
      </c>
      <c r="C525">
        <v>3</v>
      </c>
      <c r="D525">
        <v>37</v>
      </c>
      <c r="E525">
        <v>4</v>
      </c>
      <c r="F525">
        <v>2</v>
      </c>
      <c r="G525">
        <v>64</v>
      </c>
      <c r="H525" t="s">
        <v>12</v>
      </c>
      <c r="I525">
        <v>29435</v>
      </c>
      <c r="J525">
        <v>1</v>
      </c>
      <c r="K525">
        <v>1</v>
      </c>
      <c r="L525">
        <v>1</v>
      </c>
      <c r="M525">
        <v>0</v>
      </c>
      <c r="N525">
        <f t="shared" si="16"/>
        <v>-1.0466680494202738</v>
      </c>
      <c r="O525">
        <f t="shared" si="17"/>
        <v>-0.42829954156427336</v>
      </c>
    </row>
    <row r="526" spans="1:15">
      <c r="A526">
        <v>2724</v>
      </c>
      <c r="B526">
        <v>12</v>
      </c>
      <c r="C526">
        <v>0</v>
      </c>
      <c r="D526">
        <v>1</v>
      </c>
      <c r="E526">
        <v>0</v>
      </c>
      <c r="F526">
        <v>0</v>
      </c>
      <c r="G526">
        <v>6</v>
      </c>
      <c r="H526" t="s">
        <v>12</v>
      </c>
      <c r="I526">
        <v>36143</v>
      </c>
      <c r="J526">
        <v>1</v>
      </c>
      <c r="K526">
        <v>0</v>
      </c>
      <c r="L526">
        <v>1</v>
      </c>
      <c r="M526">
        <v>0</v>
      </c>
      <c r="N526">
        <f t="shared" si="16"/>
        <v>-0.73630426948859817</v>
      </c>
      <c r="O526">
        <f t="shared" si="17"/>
        <v>-0.38242836529749252</v>
      </c>
    </row>
    <row r="527" spans="1:15">
      <c r="A527">
        <v>2727</v>
      </c>
      <c r="B527">
        <v>181</v>
      </c>
      <c r="C527">
        <v>21</v>
      </c>
      <c r="D527">
        <v>69</v>
      </c>
      <c r="E527">
        <v>39</v>
      </c>
      <c r="F527">
        <v>3</v>
      </c>
      <c r="G527">
        <v>96</v>
      </c>
      <c r="H527" t="s">
        <v>11</v>
      </c>
      <c r="I527">
        <v>57100</v>
      </c>
      <c r="J527">
        <v>0</v>
      </c>
      <c r="K527">
        <v>0</v>
      </c>
      <c r="L527">
        <v>0</v>
      </c>
      <c r="M527">
        <v>1</v>
      </c>
      <c r="N527">
        <f t="shared" si="16"/>
        <v>0.23332807040825981</v>
      </c>
      <c r="O527">
        <f t="shared" si="17"/>
        <v>0.73405850434503073</v>
      </c>
    </row>
    <row r="528" spans="1:15">
      <c r="A528">
        <v>2730</v>
      </c>
      <c r="B528">
        <v>536</v>
      </c>
      <c r="C528">
        <v>11</v>
      </c>
      <c r="D528">
        <v>387</v>
      </c>
      <c r="E528">
        <v>149</v>
      </c>
      <c r="F528">
        <v>91</v>
      </c>
      <c r="G528">
        <v>57</v>
      </c>
      <c r="H528" t="s">
        <v>12</v>
      </c>
      <c r="I528">
        <v>80317</v>
      </c>
      <c r="J528">
        <v>0</v>
      </c>
      <c r="K528">
        <v>0</v>
      </c>
      <c r="L528">
        <v>1</v>
      </c>
      <c r="M528">
        <v>0</v>
      </c>
      <c r="N528">
        <f t="shared" si="16"/>
        <v>1.3075254285885982</v>
      </c>
      <c r="O528">
        <f t="shared" si="17"/>
        <v>0.65779198766578628</v>
      </c>
    </row>
    <row r="529" spans="1:15">
      <c r="A529">
        <v>2736</v>
      </c>
      <c r="B529">
        <v>366</v>
      </c>
      <c r="C529">
        <v>124</v>
      </c>
      <c r="D529">
        <v>156</v>
      </c>
      <c r="E529">
        <v>71</v>
      </c>
      <c r="F529">
        <v>78</v>
      </c>
      <c r="G529">
        <v>54</v>
      </c>
      <c r="H529" t="s">
        <v>11</v>
      </c>
      <c r="I529">
        <v>73807</v>
      </c>
      <c r="J529">
        <v>0</v>
      </c>
      <c r="K529">
        <v>1</v>
      </c>
      <c r="L529">
        <v>0</v>
      </c>
      <c r="M529">
        <v>1</v>
      </c>
      <c r="N529">
        <f t="shared" si="16"/>
        <v>1.0063226546835287</v>
      </c>
      <c r="O529">
        <f t="shared" si="17"/>
        <v>0.80307658686660965</v>
      </c>
    </row>
    <row r="530" spans="1:15">
      <c r="A530">
        <v>2740</v>
      </c>
      <c r="B530">
        <v>62</v>
      </c>
      <c r="C530">
        <v>1</v>
      </c>
      <c r="D530">
        <v>16</v>
      </c>
      <c r="E530">
        <v>3</v>
      </c>
      <c r="F530">
        <v>2</v>
      </c>
      <c r="G530">
        <v>6</v>
      </c>
      <c r="H530" t="s">
        <v>12</v>
      </c>
      <c r="I530">
        <v>33438</v>
      </c>
      <c r="J530">
        <v>1</v>
      </c>
      <c r="K530">
        <v>1</v>
      </c>
      <c r="L530">
        <v>1</v>
      </c>
      <c r="M530">
        <v>0</v>
      </c>
      <c r="N530">
        <f t="shared" si="16"/>
        <v>-0.86145841747833918</v>
      </c>
      <c r="O530">
        <f t="shared" si="17"/>
        <v>-0.36878127309096331</v>
      </c>
    </row>
    <row r="531" spans="1:15">
      <c r="A531">
        <v>2747</v>
      </c>
      <c r="B531">
        <v>864</v>
      </c>
      <c r="C531">
        <v>134</v>
      </c>
      <c r="D531">
        <v>768</v>
      </c>
      <c r="E531">
        <v>150</v>
      </c>
      <c r="F531">
        <v>38</v>
      </c>
      <c r="G531">
        <v>172</v>
      </c>
      <c r="H531" t="s">
        <v>11</v>
      </c>
      <c r="I531">
        <v>67546</v>
      </c>
      <c r="J531">
        <v>0</v>
      </c>
      <c r="K531">
        <v>0</v>
      </c>
      <c r="L531">
        <v>0</v>
      </c>
      <c r="M531">
        <v>1</v>
      </c>
      <c r="N531">
        <f t="shared" si="16"/>
        <v>0.71664053987252374</v>
      </c>
      <c r="O531">
        <f t="shared" si="17"/>
        <v>0.93801544136364967</v>
      </c>
    </row>
    <row r="532" spans="1:15">
      <c r="A532">
        <v>2781</v>
      </c>
      <c r="B532">
        <v>1003</v>
      </c>
      <c r="C532">
        <v>34</v>
      </c>
      <c r="D532">
        <v>536</v>
      </c>
      <c r="E532">
        <v>134</v>
      </c>
      <c r="F532">
        <v>51</v>
      </c>
      <c r="G532">
        <v>34</v>
      </c>
      <c r="H532" t="s">
        <v>12</v>
      </c>
      <c r="I532">
        <v>72066</v>
      </c>
      <c r="J532">
        <v>0</v>
      </c>
      <c r="K532">
        <v>0</v>
      </c>
      <c r="L532">
        <v>1</v>
      </c>
      <c r="M532">
        <v>0</v>
      </c>
      <c r="N532">
        <f t="shared" si="16"/>
        <v>0.92577057643948457</v>
      </c>
      <c r="O532">
        <f t="shared" si="17"/>
        <v>0.56258000111097517</v>
      </c>
    </row>
    <row r="533" spans="1:15">
      <c r="A533">
        <v>2782</v>
      </c>
      <c r="B533">
        <v>352</v>
      </c>
      <c r="C533">
        <v>0</v>
      </c>
      <c r="D533">
        <v>27</v>
      </c>
      <c r="E533">
        <v>10</v>
      </c>
      <c r="F533">
        <v>0</v>
      </c>
      <c r="G533">
        <v>15</v>
      </c>
      <c r="H533" t="s">
        <v>11</v>
      </c>
      <c r="I533">
        <v>54456</v>
      </c>
      <c r="J533">
        <v>0</v>
      </c>
      <c r="K533">
        <v>1</v>
      </c>
      <c r="L533">
        <v>0</v>
      </c>
      <c r="M533">
        <v>1</v>
      </c>
      <c r="N533">
        <f t="shared" si="16"/>
        <v>0.11099625255802874</v>
      </c>
      <c r="O533">
        <f t="shared" si="17"/>
        <v>0.45995159253826773</v>
      </c>
    </row>
    <row r="534" spans="1:15">
      <c r="A534">
        <v>2795</v>
      </c>
      <c r="B534">
        <v>5</v>
      </c>
      <c r="C534">
        <v>0</v>
      </c>
      <c r="D534">
        <v>3</v>
      </c>
      <c r="E534">
        <v>0</v>
      </c>
      <c r="F534">
        <v>0</v>
      </c>
      <c r="G534">
        <v>5</v>
      </c>
      <c r="H534" t="s">
        <v>12</v>
      </c>
      <c r="I534">
        <v>30523</v>
      </c>
      <c r="J534">
        <v>2</v>
      </c>
      <c r="K534">
        <v>1</v>
      </c>
      <c r="L534">
        <v>1</v>
      </c>
      <c r="M534">
        <v>0</v>
      </c>
      <c r="N534">
        <f t="shared" si="16"/>
        <v>-0.99632878398114688</v>
      </c>
      <c r="O534">
        <f t="shared" si="17"/>
        <v>-0.31201392609922052</v>
      </c>
    </row>
    <row r="535" spans="1:15">
      <c r="A535">
        <v>2797</v>
      </c>
      <c r="B535">
        <v>707</v>
      </c>
      <c r="C535">
        <v>20</v>
      </c>
      <c r="D535">
        <v>171</v>
      </c>
      <c r="E535">
        <v>65</v>
      </c>
      <c r="F535">
        <v>60</v>
      </c>
      <c r="G535">
        <v>50</v>
      </c>
      <c r="H535" t="s">
        <v>11</v>
      </c>
      <c r="I535">
        <v>72117</v>
      </c>
      <c r="J535">
        <v>0</v>
      </c>
      <c r="K535">
        <v>1</v>
      </c>
      <c r="L535">
        <v>0</v>
      </c>
      <c r="M535">
        <v>1</v>
      </c>
      <c r="N535">
        <f t="shared" si="16"/>
        <v>0.92813022950694368</v>
      </c>
      <c r="O535">
        <f t="shared" si="17"/>
        <v>0.7857497112743993</v>
      </c>
    </row>
    <row r="536" spans="1:15">
      <c r="A536">
        <v>2798</v>
      </c>
      <c r="B536">
        <v>763</v>
      </c>
      <c r="C536">
        <v>29</v>
      </c>
      <c r="D536">
        <v>138</v>
      </c>
      <c r="E536">
        <v>76</v>
      </c>
      <c r="F536">
        <v>176</v>
      </c>
      <c r="G536">
        <v>58</v>
      </c>
      <c r="H536" t="s">
        <v>11</v>
      </c>
      <c r="I536">
        <v>102160</v>
      </c>
      <c r="J536">
        <v>0</v>
      </c>
      <c r="K536">
        <v>0</v>
      </c>
      <c r="L536">
        <v>0</v>
      </c>
      <c r="M536">
        <v>1</v>
      </c>
      <c r="N536">
        <f t="shared" si="16"/>
        <v>2.318150957069157</v>
      </c>
      <c r="O536">
        <f t="shared" si="17"/>
        <v>0.98241891749665833</v>
      </c>
    </row>
    <row r="537" spans="1:15">
      <c r="A537">
        <v>2802</v>
      </c>
      <c r="B537">
        <v>196</v>
      </c>
      <c r="C537">
        <v>25</v>
      </c>
      <c r="D537">
        <v>607</v>
      </c>
      <c r="E537">
        <v>67</v>
      </c>
      <c r="F537">
        <v>17</v>
      </c>
      <c r="G537">
        <v>49</v>
      </c>
      <c r="H537" t="s">
        <v>11</v>
      </c>
      <c r="I537">
        <v>87000</v>
      </c>
      <c r="J537">
        <v>0</v>
      </c>
      <c r="K537">
        <v>0</v>
      </c>
      <c r="L537">
        <v>0</v>
      </c>
      <c r="M537">
        <v>1</v>
      </c>
      <c r="N537">
        <f t="shared" si="16"/>
        <v>1.6167325158401469</v>
      </c>
      <c r="O537">
        <f t="shared" si="17"/>
        <v>0.99915477430045785</v>
      </c>
    </row>
    <row r="538" spans="1:15">
      <c r="A538">
        <v>2811</v>
      </c>
      <c r="B538">
        <v>52</v>
      </c>
      <c r="C538">
        <v>0</v>
      </c>
      <c r="D538">
        <v>9</v>
      </c>
      <c r="E538">
        <v>0</v>
      </c>
      <c r="F538">
        <v>0</v>
      </c>
      <c r="G538">
        <v>1</v>
      </c>
      <c r="H538" t="s">
        <v>12</v>
      </c>
      <c r="I538">
        <v>48918</v>
      </c>
      <c r="J538">
        <v>1</v>
      </c>
      <c r="K538">
        <v>1</v>
      </c>
      <c r="L538">
        <v>1</v>
      </c>
      <c r="M538">
        <v>0</v>
      </c>
      <c r="N538">
        <f t="shared" si="16"/>
        <v>-0.14523430994370337</v>
      </c>
      <c r="O538">
        <f t="shared" si="17"/>
        <v>-6.9195846741648484E-2</v>
      </c>
    </row>
    <row r="539" spans="1:15">
      <c r="A539">
        <v>2815</v>
      </c>
      <c r="B539">
        <v>7</v>
      </c>
      <c r="C539">
        <v>5</v>
      </c>
      <c r="D539">
        <v>39</v>
      </c>
      <c r="E539">
        <v>17</v>
      </c>
      <c r="F539">
        <v>15</v>
      </c>
      <c r="G539">
        <v>37</v>
      </c>
      <c r="H539" t="s">
        <v>11</v>
      </c>
      <c r="I539">
        <v>33183</v>
      </c>
      <c r="J539">
        <v>1</v>
      </c>
      <c r="K539">
        <v>0</v>
      </c>
      <c r="L539">
        <v>0</v>
      </c>
      <c r="M539">
        <v>1</v>
      </c>
      <c r="N539">
        <f t="shared" si="16"/>
        <v>-0.87325668281563451</v>
      </c>
      <c r="O539">
        <f t="shared" si="17"/>
        <v>-9.7833189124012301E-2</v>
      </c>
    </row>
    <row r="540" spans="1:15">
      <c r="A540">
        <v>2826</v>
      </c>
      <c r="B540">
        <v>25</v>
      </c>
      <c r="C540">
        <v>0</v>
      </c>
      <c r="D540">
        <v>8</v>
      </c>
      <c r="E540">
        <v>2</v>
      </c>
      <c r="F540">
        <v>0</v>
      </c>
      <c r="G540">
        <v>2</v>
      </c>
      <c r="H540" t="s">
        <v>11</v>
      </c>
      <c r="I540">
        <v>22574</v>
      </c>
      <c r="J540">
        <v>2</v>
      </c>
      <c r="K540">
        <v>1</v>
      </c>
      <c r="L540">
        <v>0</v>
      </c>
      <c r="M540">
        <v>1</v>
      </c>
      <c r="N540">
        <f t="shared" si="16"/>
        <v>-1.3641107885543264</v>
      </c>
      <c r="O540">
        <f t="shared" si="17"/>
        <v>-0.20297889825397047</v>
      </c>
    </row>
    <row r="541" spans="1:15">
      <c r="A541">
        <v>2829</v>
      </c>
      <c r="B541">
        <v>626</v>
      </c>
      <c r="C541">
        <v>0</v>
      </c>
      <c r="D541">
        <v>70</v>
      </c>
      <c r="E541">
        <v>0</v>
      </c>
      <c r="F541">
        <v>7</v>
      </c>
      <c r="G541">
        <v>28</v>
      </c>
      <c r="H541" t="s">
        <v>11</v>
      </c>
      <c r="I541">
        <v>65210</v>
      </c>
      <c r="J541">
        <v>0</v>
      </c>
      <c r="K541">
        <v>1</v>
      </c>
      <c r="L541">
        <v>0</v>
      </c>
      <c r="M541">
        <v>1</v>
      </c>
      <c r="N541">
        <f t="shared" si="16"/>
        <v>0.60855917584145724</v>
      </c>
      <c r="O541">
        <f t="shared" si="17"/>
        <v>0.69142436301083254</v>
      </c>
    </row>
    <row r="542" spans="1:15">
      <c r="A542">
        <v>2831</v>
      </c>
      <c r="B542">
        <v>453</v>
      </c>
      <c r="C542">
        <v>38</v>
      </c>
      <c r="D542">
        <v>279</v>
      </c>
      <c r="E542">
        <v>188</v>
      </c>
      <c r="F542">
        <v>38</v>
      </c>
      <c r="G542">
        <v>183</v>
      </c>
      <c r="H542" t="s">
        <v>11</v>
      </c>
      <c r="I542">
        <v>78416</v>
      </c>
      <c r="J542">
        <v>0</v>
      </c>
      <c r="K542">
        <v>1</v>
      </c>
      <c r="L542">
        <v>0</v>
      </c>
      <c r="M542">
        <v>1</v>
      </c>
      <c r="N542">
        <f t="shared" si="16"/>
        <v>1.2195705171917415</v>
      </c>
      <c r="O542">
        <f t="shared" si="17"/>
        <v>0.84098941839190888</v>
      </c>
    </row>
    <row r="543" spans="1:15">
      <c r="A543">
        <v>2836</v>
      </c>
      <c r="B543">
        <v>10</v>
      </c>
      <c r="C543">
        <v>1</v>
      </c>
      <c r="D543">
        <v>7</v>
      </c>
      <c r="E543">
        <v>0</v>
      </c>
      <c r="F543">
        <v>0</v>
      </c>
      <c r="G543">
        <v>1</v>
      </c>
      <c r="H543" t="s">
        <v>11</v>
      </c>
      <c r="I543">
        <v>43269</v>
      </c>
      <c r="J543">
        <v>1</v>
      </c>
      <c r="K543">
        <v>0</v>
      </c>
      <c r="L543">
        <v>0</v>
      </c>
      <c r="M543">
        <v>1</v>
      </c>
      <c r="N543">
        <f t="shared" si="16"/>
        <v>-0.40660058794519932</v>
      </c>
      <c r="O543">
        <f t="shared" si="17"/>
        <v>0.1521153186856172</v>
      </c>
    </row>
    <row r="544" spans="1:15">
      <c r="A544">
        <v>2853</v>
      </c>
      <c r="B544">
        <v>60</v>
      </c>
      <c r="C544">
        <v>51</v>
      </c>
      <c r="D544">
        <v>87</v>
      </c>
      <c r="E544">
        <v>6</v>
      </c>
      <c r="F544">
        <v>20</v>
      </c>
      <c r="G544">
        <v>51</v>
      </c>
      <c r="H544" t="s">
        <v>12</v>
      </c>
      <c r="I544">
        <v>51766</v>
      </c>
      <c r="J544">
        <v>1</v>
      </c>
      <c r="K544">
        <v>0</v>
      </c>
      <c r="L544">
        <v>1</v>
      </c>
      <c r="M544">
        <v>0</v>
      </c>
      <c r="N544">
        <f t="shared" si="16"/>
        <v>-1.3463879823636008E-2</v>
      </c>
      <c r="O544">
        <f t="shared" si="17"/>
        <v>-7.8836692917109742E-3</v>
      </c>
    </row>
    <row r="545" spans="1:15">
      <c r="A545">
        <v>2861</v>
      </c>
      <c r="B545">
        <v>9</v>
      </c>
      <c r="C545">
        <v>1</v>
      </c>
      <c r="D545">
        <v>6</v>
      </c>
      <c r="E545">
        <v>3</v>
      </c>
      <c r="F545">
        <v>0</v>
      </c>
      <c r="G545">
        <v>4</v>
      </c>
      <c r="H545" t="s">
        <v>12</v>
      </c>
      <c r="I545">
        <v>24072</v>
      </c>
      <c r="J545">
        <v>1</v>
      </c>
      <c r="K545">
        <v>0</v>
      </c>
      <c r="L545">
        <v>1</v>
      </c>
      <c r="M545">
        <v>0</v>
      </c>
      <c r="N545">
        <f t="shared" si="16"/>
        <v>-1.2948017631611168</v>
      </c>
      <c r="O545">
        <f t="shared" si="17"/>
        <v>-0.55921416244379918</v>
      </c>
    </row>
    <row r="546" spans="1:15">
      <c r="A546">
        <v>2868</v>
      </c>
      <c r="B546">
        <v>20</v>
      </c>
      <c r="C546">
        <v>1</v>
      </c>
      <c r="D546">
        <v>28</v>
      </c>
      <c r="E546">
        <v>3</v>
      </c>
      <c r="F546">
        <v>3</v>
      </c>
      <c r="G546">
        <v>2</v>
      </c>
      <c r="H546" t="s">
        <v>12</v>
      </c>
      <c r="I546">
        <v>26518</v>
      </c>
      <c r="J546">
        <v>1</v>
      </c>
      <c r="K546">
        <v>1</v>
      </c>
      <c r="L546">
        <v>1</v>
      </c>
      <c r="M546">
        <v>0</v>
      </c>
      <c r="N546">
        <f t="shared" si="16"/>
        <v>-1.1816309513374916</v>
      </c>
      <c r="O546">
        <f t="shared" si="17"/>
        <v>-0.4666953067974573</v>
      </c>
    </row>
    <row r="547" spans="1:15">
      <c r="A547">
        <v>2870</v>
      </c>
      <c r="B547">
        <v>376</v>
      </c>
      <c r="C547">
        <v>0</v>
      </c>
      <c r="D547">
        <v>38</v>
      </c>
      <c r="E547">
        <v>11</v>
      </c>
      <c r="F547">
        <v>8</v>
      </c>
      <c r="G547">
        <v>69</v>
      </c>
      <c r="H547" t="s">
        <v>11</v>
      </c>
      <c r="I547">
        <v>49094</v>
      </c>
      <c r="J547">
        <v>0</v>
      </c>
      <c r="K547">
        <v>1</v>
      </c>
      <c r="L547">
        <v>0</v>
      </c>
      <c r="M547">
        <v>1</v>
      </c>
      <c r="N547">
        <f t="shared" si="16"/>
        <v>-0.13709119347560933</v>
      </c>
      <c r="O547">
        <f t="shared" si="17"/>
        <v>0.3146190644874855</v>
      </c>
    </row>
    <row r="548" spans="1:15">
      <c r="A548">
        <v>2874</v>
      </c>
      <c r="B548">
        <v>6</v>
      </c>
      <c r="C548">
        <v>4</v>
      </c>
      <c r="D548">
        <v>7</v>
      </c>
      <c r="E548">
        <v>4</v>
      </c>
      <c r="F548">
        <v>3</v>
      </c>
      <c r="G548">
        <v>8</v>
      </c>
      <c r="H548" t="s">
        <v>12</v>
      </c>
      <c r="I548">
        <v>35388</v>
      </c>
      <c r="J548">
        <v>1</v>
      </c>
      <c r="K548">
        <v>0</v>
      </c>
      <c r="L548">
        <v>1</v>
      </c>
      <c r="M548">
        <v>0</v>
      </c>
      <c r="N548">
        <f t="shared" si="16"/>
        <v>-0.77123638842843345</v>
      </c>
      <c r="O548">
        <f t="shared" si="17"/>
        <v>-0.39648608674181124</v>
      </c>
    </row>
    <row r="549" spans="1:15">
      <c r="A549">
        <v>2875</v>
      </c>
      <c r="B549">
        <v>444</v>
      </c>
      <c r="C549">
        <v>44</v>
      </c>
      <c r="D549">
        <v>382</v>
      </c>
      <c r="E549">
        <v>11</v>
      </c>
      <c r="F549">
        <v>8</v>
      </c>
      <c r="G549">
        <v>17</v>
      </c>
      <c r="H549" t="s">
        <v>11</v>
      </c>
      <c r="I549">
        <v>67023</v>
      </c>
      <c r="J549">
        <v>0</v>
      </c>
      <c r="K549">
        <v>0</v>
      </c>
      <c r="L549">
        <v>0</v>
      </c>
      <c r="M549">
        <v>1</v>
      </c>
      <c r="N549">
        <f t="shared" si="16"/>
        <v>0.69244252900426695</v>
      </c>
      <c r="O549">
        <f t="shared" si="17"/>
        <v>0.93228820005508983</v>
      </c>
    </row>
    <row r="550" spans="1:15">
      <c r="A550">
        <v>2877</v>
      </c>
      <c r="B550">
        <v>410</v>
      </c>
      <c r="C550">
        <v>0</v>
      </c>
      <c r="D550">
        <v>59</v>
      </c>
      <c r="E550">
        <v>19</v>
      </c>
      <c r="F550">
        <v>9</v>
      </c>
      <c r="G550">
        <v>44</v>
      </c>
      <c r="H550" t="s">
        <v>11</v>
      </c>
      <c r="I550">
        <v>46014</v>
      </c>
      <c r="J550">
        <v>1</v>
      </c>
      <c r="K550">
        <v>1</v>
      </c>
      <c r="L550">
        <v>0</v>
      </c>
      <c r="M550">
        <v>1</v>
      </c>
      <c r="N550">
        <f t="shared" si="16"/>
        <v>-0.27959573166725521</v>
      </c>
      <c r="O550">
        <f t="shared" si="17"/>
        <v>0.18752842164684141</v>
      </c>
    </row>
    <row r="551" spans="1:15">
      <c r="A551">
        <v>2878</v>
      </c>
      <c r="B551">
        <v>162</v>
      </c>
      <c r="C551">
        <v>31</v>
      </c>
      <c r="D551">
        <v>127</v>
      </c>
      <c r="E551">
        <v>8</v>
      </c>
      <c r="F551">
        <v>17</v>
      </c>
      <c r="G551">
        <v>69</v>
      </c>
      <c r="H551" t="s">
        <v>11</v>
      </c>
      <c r="I551">
        <v>67472</v>
      </c>
      <c r="J551">
        <v>0</v>
      </c>
      <c r="K551">
        <v>1</v>
      </c>
      <c r="L551">
        <v>0</v>
      </c>
      <c r="M551">
        <v>1</v>
      </c>
      <c r="N551">
        <f t="shared" si="16"/>
        <v>0.71321672953934778</v>
      </c>
      <c r="O551">
        <f t="shared" si="17"/>
        <v>0.72681011053840772</v>
      </c>
    </row>
    <row r="552" spans="1:15">
      <c r="A552">
        <v>2882</v>
      </c>
      <c r="B552">
        <v>711</v>
      </c>
      <c r="C552">
        <v>28</v>
      </c>
      <c r="D552">
        <v>142</v>
      </c>
      <c r="E552">
        <v>49</v>
      </c>
      <c r="F552">
        <v>18</v>
      </c>
      <c r="G552">
        <v>47</v>
      </c>
      <c r="H552" t="s">
        <v>12</v>
      </c>
      <c r="I552">
        <v>67893</v>
      </c>
      <c r="J552">
        <v>0</v>
      </c>
      <c r="K552">
        <v>1</v>
      </c>
      <c r="L552">
        <v>1</v>
      </c>
      <c r="M552">
        <v>0</v>
      </c>
      <c r="N552">
        <f t="shared" si="16"/>
        <v>0.73269543427268646</v>
      </c>
      <c r="O552">
        <f t="shared" si="17"/>
        <v>0.38095140049289095</v>
      </c>
    </row>
    <row r="553" spans="1:15">
      <c r="A553">
        <v>2886</v>
      </c>
      <c r="B553">
        <v>1121</v>
      </c>
      <c r="C553">
        <v>0</v>
      </c>
      <c r="D553">
        <v>72</v>
      </c>
      <c r="E553">
        <v>0</v>
      </c>
      <c r="F553">
        <v>12</v>
      </c>
      <c r="G553">
        <v>12</v>
      </c>
      <c r="H553" t="s">
        <v>12</v>
      </c>
      <c r="I553">
        <v>74290</v>
      </c>
      <c r="J553">
        <v>0</v>
      </c>
      <c r="K553">
        <v>1</v>
      </c>
      <c r="L553">
        <v>1</v>
      </c>
      <c r="M553">
        <v>0</v>
      </c>
      <c r="N553">
        <f t="shared" si="16"/>
        <v>1.028669957263582</v>
      </c>
      <c r="O553">
        <f t="shared" si="17"/>
        <v>0.4871230397095429</v>
      </c>
    </row>
    <row r="554" spans="1:15">
      <c r="A554">
        <v>2891</v>
      </c>
      <c r="B554">
        <v>595</v>
      </c>
      <c r="C554">
        <v>23</v>
      </c>
      <c r="D554">
        <v>123</v>
      </c>
      <c r="E554">
        <v>10</v>
      </c>
      <c r="F554">
        <v>23</v>
      </c>
      <c r="G554">
        <v>154</v>
      </c>
      <c r="H554" t="s">
        <v>12</v>
      </c>
      <c r="I554">
        <v>68118</v>
      </c>
      <c r="J554">
        <v>0</v>
      </c>
      <c r="K554">
        <v>1</v>
      </c>
      <c r="L554">
        <v>1</v>
      </c>
      <c r="M554">
        <v>0</v>
      </c>
      <c r="N554">
        <f t="shared" si="16"/>
        <v>0.74310566839382941</v>
      </c>
      <c r="O554">
        <f t="shared" si="17"/>
        <v>0.38519936160381674</v>
      </c>
    </row>
    <row r="555" spans="1:15">
      <c r="A555">
        <v>2894</v>
      </c>
      <c r="B555">
        <v>1067</v>
      </c>
      <c r="C555">
        <v>138</v>
      </c>
      <c r="D555">
        <v>750</v>
      </c>
      <c r="E555">
        <v>0</v>
      </c>
      <c r="F555">
        <v>19</v>
      </c>
      <c r="G555">
        <v>39</v>
      </c>
      <c r="H555" t="s">
        <v>12</v>
      </c>
      <c r="I555">
        <v>72903</v>
      </c>
      <c r="J555">
        <v>0</v>
      </c>
      <c r="K555">
        <v>0</v>
      </c>
      <c r="L555">
        <v>1</v>
      </c>
      <c r="M555">
        <v>0</v>
      </c>
      <c r="N555">
        <f t="shared" si="16"/>
        <v>0.96449664737013641</v>
      </c>
      <c r="O555">
        <f t="shared" si="17"/>
        <v>0.57489213398635386</v>
      </c>
    </row>
    <row r="556" spans="1:15">
      <c r="A556">
        <v>2895</v>
      </c>
      <c r="B556">
        <v>104</v>
      </c>
      <c r="C556">
        <v>1</v>
      </c>
      <c r="D556">
        <v>54</v>
      </c>
      <c r="E556">
        <v>13</v>
      </c>
      <c r="F556">
        <v>9</v>
      </c>
      <c r="G556">
        <v>14</v>
      </c>
      <c r="H556" t="s">
        <v>12</v>
      </c>
      <c r="I556">
        <v>49980</v>
      </c>
      <c r="J556">
        <v>0</v>
      </c>
      <c r="K556">
        <v>1</v>
      </c>
      <c r="L556">
        <v>1</v>
      </c>
      <c r="M556">
        <v>0</v>
      </c>
      <c r="N556">
        <f t="shared" si="16"/>
        <v>-9.6098004891908589E-2</v>
      </c>
      <c r="O556">
        <f t="shared" si="17"/>
        <v>-5.6142516179894471E-2</v>
      </c>
    </row>
    <row r="557" spans="1:15">
      <c r="A557">
        <v>2909</v>
      </c>
      <c r="B557">
        <v>934</v>
      </c>
      <c r="C557">
        <v>24</v>
      </c>
      <c r="D557">
        <v>230</v>
      </c>
      <c r="E557">
        <v>16</v>
      </c>
      <c r="F557">
        <v>24</v>
      </c>
      <c r="G557">
        <v>36</v>
      </c>
      <c r="H557" t="s">
        <v>11</v>
      </c>
      <c r="I557">
        <v>78128</v>
      </c>
      <c r="J557">
        <v>0</v>
      </c>
      <c r="K557">
        <v>1</v>
      </c>
      <c r="L557">
        <v>0</v>
      </c>
      <c r="M557">
        <v>1</v>
      </c>
      <c r="N557">
        <f t="shared" si="16"/>
        <v>1.2062454175166786</v>
      </c>
      <c r="O557">
        <f t="shared" si="17"/>
        <v>0.83897768973963005</v>
      </c>
    </row>
    <row r="558" spans="1:15">
      <c r="A558">
        <v>2918</v>
      </c>
      <c r="B558">
        <v>44</v>
      </c>
      <c r="C558">
        <v>5</v>
      </c>
      <c r="D558">
        <v>19</v>
      </c>
      <c r="E558">
        <v>0</v>
      </c>
      <c r="F558">
        <v>4</v>
      </c>
      <c r="G558">
        <v>19</v>
      </c>
      <c r="H558" t="s">
        <v>12</v>
      </c>
      <c r="I558">
        <v>28510</v>
      </c>
      <c r="J558">
        <v>1</v>
      </c>
      <c r="K558">
        <v>1</v>
      </c>
      <c r="L558">
        <v>1</v>
      </c>
      <c r="M558">
        <v>0</v>
      </c>
      <c r="N558">
        <f t="shared" si="16"/>
        <v>-1.0894656785849726</v>
      </c>
      <c r="O558">
        <f t="shared" si="17"/>
        <v>-0.44091844785631173</v>
      </c>
    </row>
    <row r="559" spans="1:15">
      <c r="A559">
        <v>2920</v>
      </c>
      <c r="B559">
        <v>789</v>
      </c>
      <c r="C559">
        <v>0</v>
      </c>
      <c r="D559">
        <v>142</v>
      </c>
      <c r="E559">
        <v>12</v>
      </c>
      <c r="F559">
        <v>9</v>
      </c>
      <c r="G559">
        <v>38</v>
      </c>
      <c r="H559" t="s">
        <v>12</v>
      </c>
      <c r="I559">
        <v>52614</v>
      </c>
      <c r="J559">
        <v>0</v>
      </c>
      <c r="K559">
        <v>1</v>
      </c>
      <c r="L559">
        <v>1</v>
      </c>
      <c r="M559">
        <v>0</v>
      </c>
      <c r="N559">
        <f t="shared" si="16"/>
        <v>2.5771135886271689E-2</v>
      </c>
      <c r="O559">
        <f t="shared" si="17"/>
        <v>1.5088265443557701E-2</v>
      </c>
    </row>
    <row r="560" spans="1:15">
      <c r="A560">
        <v>2926</v>
      </c>
      <c r="B560">
        <v>1241</v>
      </c>
      <c r="C560">
        <v>0</v>
      </c>
      <c r="D560">
        <v>80</v>
      </c>
      <c r="E560">
        <v>0</v>
      </c>
      <c r="F560">
        <v>13</v>
      </c>
      <c r="G560">
        <v>40</v>
      </c>
      <c r="H560" t="s">
        <v>11</v>
      </c>
      <c r="I560">
        <v>55951</v>
      </c>
      <c r="J560">
        <v>0</v>
      </c>
      <c r="K560">
        <v>1</v>
      </c>
      <c r="L560">
        <v>0</v>
      </c>
      <c r="M560">
        <v>1</v>
      </c>
      <c r="N560">
        <f t="shared" si="16"/>
        <v>0.18016647482962309</v>
      </c>
      <c r="O560">
        <f t="shared" si="17"/>
        <v>0.49784624818495771</v>
      </c>
    </row>
    <row r="561" spans="1:15">
      <c r="A561">
        <v>2929</v>
      </c>
      <c r="B561">
        <v>18</v>
      </c>
      <c r="C561">
        <v>42</v>
      </c>
      <c r="D561">
        <v>24</v>
      </c>
      <c r="E561">
        <v>15</v>
      </c>
      <c r="F561">
        <v>20</v>
      </c>
      <c r="G561">
        <v>18</v>
      </c>
      <c r="H561" t="s">
        <v>12</v>
      </c>
      <c r="I561">
        <v>20180</v>
      </c>
      <c r="J561">
        <v>0</v>
      </c>
      <c r="K561">
        <v>0</v>
      </c>
      <c r="L561">
        <v>1</v>
      </c>
      <c r="M561">
        <v>0</v>
      </c>
      <c r="N561">
        <f t="shared" si="16"/>
        <v>-1.4748756796032876</v>
      </c>
      <c r="O561">
        <f t="shared" si="17"/>
        <v>-0.68542309943602664</v>
      </c>
    </row>
    <row r="562" spans="1:15">
      <c r="A562">
        <v>2930</v>
      </c>
      <c r="B562">
        <v>852</v>
      </c>
      <c r="C562">
        <v>60</v>
      </c>
      <c r="D562">
        <v>207</v>
      </c>
      <c r="E562">
        <v>78</v>
      </c>
      <c r="F562">
        <v>36</v>
      </c>
      <c r="G562">
        <v>48</v>
      </c>
      <c r="H562" t="s">
        <v>12</v>
      </c>
      <c r="I562">
        <v>68092</v>
      </c>
      <c r="J562">
        <v>0</v>
      </c>
      <c r="K562">
        <v>0</v>
      </c>
      <c r="L562">
        <v>1</v>
      </c>
      <c r="M562">
        <v>0</v>
      </c>
      <c r="N562">
        <f t="shared" si="16"/>
        <v>0.74190270800649727</v>
      </c>
      <c r="O562">
        <f t="shared" si="17"/>
        <v>0.49341821465108049</v>
      </c>
    </row>
    <row r="563" spans="1:15">
      <c r="A563">
        <v>2931</v>
      </c>
      <c r="B563">
        <v>737</v>
      </c>
      <c r="C563">
        <v>21</v>
      </c>
      <c r="D563">
        <v>106</v>
      </c>
      <c r="E563">
        <v>55</v>
      </c>
      <c r="F563">
        <v>63</v>
      </c>
      <c r="G563">
        <v>210</v>
      </c>
      <c r="H563" t="s">
        <v>12</v>
      </c>
      <c r="I563">
        <v>71847</v>
      </c>
      <c r="J563">
        <v>0</v>
      </c>
      <c r="K563">
        <v>0</v>
      </c>
      <c r="L563">
        <v>1</v>
      </c>
      <c r="M563">
        <v>0</v>
      </c>
      <c r="N563">
        <f t="shared" si="16"/>
        <v>0.9156379485615721</v>
      </c>
      <c r="O563">
        <f t="shared" si="17"/>
        <v>0.55923902823903471</v>
      </c>
    </row>
    <row r="564" spans="1:15">
      <c r="A564">
        <v>2936</v>
      </c>
      <c r="B564">
        <v>18</v>
      </c>
      <c r="C564">
        <v>0</v>
      </c>
      <c r="D564">
        <v>4</v>
      </c>
      <c r="E564">
        <v>0</v>
      </c>
      <c r="F564">
        <v>0</v>
      </c>
      <c r="G564">
        <v>1</v>
      </c>
      <c r="H564" t="s">
        <v>11</v>
      </c>
      <c r="I564">
        <v>23661</v>
      </c>
      <c r="J564">
        <v>1</v>
      </c>
      <c r="K564">
        <v>0</v>
      </c>
      <c r="L564">
        <v>0</v>
      </c>
      <c r="M564">
        <v>1</v>
      </c>
      <c r="N564">
        <f t="shared" si="16"/>
        <v>-1.3138177908224047</v>
      </c>
      <c r="O564">
        <f t="shared" si="17"/>
        <v>-0.27324327530539688</v>
      </c>
    </row>
    <row r="565" spans="1:15">
      <c r="A565">
        <v>2937</v>
      </c>
      <c r="B565">
        <v>614</v>
      </c>
      <c r="C565">
        <v>16</v>
      </c>
      <c r="D565">
        <v>132</v>
      </c>
      <c r="E565">
        <v>43</v>
      </c>
      <c r="F565">
        <v>33</v>
      </c>
      <c r="G565">
        <v>33</v>
      </c>
      <c r="H565" t="s">
        <v>12</v>
      </c>
      <c r="I565">
        <v>68352</v>
      </c>
      <c r="J565">
        <v>0</v>
      </c>
      <c r="K565">
        <v>1</v>
      </c>
      <c r="L565">
        <v>1</v>
      </c>
      <c r="M565">
        <v>0</v>
      </c>
      <c r="N565">
        <f t="shared" si="16"/>
        <v>0.75393231187981813</v>
      </c>
      <c r="O565">
        <f t="shared" si="17"/>
        <v>0.38957645232146115</v>
      </c>
    </row>
    <row r="566" spans="1:15">
      <c r="A566">
        <v>2939</v>
      </c>
      <c r="B566">
        <v>751</v>
      </c>
      <c r="C566">
        <v>127</v>
      </c>
      <c r="D566">
        <v>687</v>
      </c>
      <c r="E566">
        <v>20</v>
      </c>
      <c r="F566">
        <v>15</v>
      </c>
      <c r="G566">
        <v>31</v>
      </c>
      <c r="H566" t="s">
        <v>11</v>
      </c>
      <c r="I566">
        <v>79419</v>
      </c>
      <c r="J566">
        <v>0</v>
      </c>
      <c r="K566">
        <v>0</v>
      </c>
      <c r="L566">
        <v>0</v>
      </c>
      <c r="M566">
        <v>1</v>
      </c>
      <c r="N566">
        <f t="shared" si="16"/>
        <v>1.2659770275184365</v>
      </c>
      <c r="O566">
        <f t="shared" si="17"/>
        <v>0.99729994258019161</v>
      </c>
    </row>
    <row r="567" spans="1:15">
      <c r="A567">
        <v>2942</v>
      </c>
      <c r="B567">
        <v>305</v>
      </c>
      <c r="C567">
        <v>3</v>
      </c>
      <c r="D567">
        <v>27</v>
      </c>
      <c r="E567">
        <v>4</v>
      </c>
      <c r="F567">
        <v>3</v>
      </c>
      <c r="G567">
        <v>144</v>
      </c>
      <c r="H567" t="s">
        <v>12</v>
      </c>
      <c r="I567">
        <v>45906</v>
      </c>
      <c r="J567">
        <v>0</v>
      </c>
      <c r="K567">
        <v>1</v>
      </c>
      <c r="L567">
        <v>1</v>
      </c>
      <c r="M567">
        <v>0</v>
      </c>
      <c r="N567">
        <f t="shared" si="16"/>
        <v>-0.2845926440454038</v>
      </c>
      <c r="O567">
        <f t="shared" si="17"/>
        <v>-0.16337334978778681</v>
      </c>
    </row>
    <row r="568" spans="1:15">
      <c r="A568">
        <v>2945</v>
      </c>
      <c r="B568">
        <v>38</v>
      </c>
      <c r="C568">
        <v>0</v>
      </c>
      <c r="D568">
        <v>2</v>
      </c>
      <c r="E568">
        <v>0</v>
      </c>
      <c r="F568">
        <v>0</v>
      </c>
      <c r="G568">
        <v>6</v>
      </c>
      <c r="H568" t="s">
        <v>11</v>
      </c>
      <c r="I568">
        <v>46015</v>
      </c>
      <c r="J568">
        <v>1</v>
      </c>
      <c r="K568">
        <v>1</v>
      </c>
      <c r="L568">
        <v>0</v>
      </c>
      <c r="M568">
        <v>1</v>
      </c>
      <c r="N568">
        <f t="shared" si="16"/>
        <v>-0.27954946396005009</v>
      </c>
      <c r="O568">
        <f t="shared" si="17"/>
        <v>0.18755104835372396</v>
      </c>
    </row>
    <row r="569" spans="1:15">
      <c r="A569">
        <v>2948</v>
      </c>
      <c r="B569">
        <v>104</v>
      </c>
      <c r="C569">
        <v>12</v>
      </c>
      <c r="D569">
        <v>48</v>
      </c>
      <c r="E569">
        <v>4</v>
      </c>
      <c r="F569">
        <v>12</v>
      </c>
      <c r="G569">
        <v>5</v>
      </c>
      <c r="H569" t="s">
        <v>12</v>
      </c>
      <c r="I569">
        <v>62637</v>
      </c>
      <c r="J569">
        <v>0</v>
      </c>
      <c r="K569">
        <v>1</v>
      </c>
      <c r="L569">
        <v>1</v>
      </c>
      <c r="M569">
        <v>0</v>
      </c>
      <c r="N569">
        <f t="shared" si="16"/>
        <v>0.48951236520278685</v>
      </c>
      <c r="O569">
        <f t="shared" si="17"/>
        <v>0.27087512196200531</v>
      </c>
    </row>
    <row r="570" spans="1:15">
      <c r="A570">
        <v>2952</v>
      </c>
      <c r="B570">
        <v>29</v>
      </c>
      <c r="C570">
        <v>3</v>
      </c>
      <c r="D570">
        <v>30</v>
      </c>
      <c r="E570">
        <v>3</v>
      </c>
      <c r="F570">
        <v>2</v>
      </c>
      <c r="G570">
        <v>9</v>
      </c>
      <c r="H570" t="s">
        <v>12</v>
      </c>
      <c r="I570">
        <v>36273</v>
      </c>
      <c r="J570">
        <v>1</v>
      </c>
      <c r="K570">
        <v>0</v>
      </c>
      <c r="L570">
        <v>1</v>
      </c>
      <c r="M570">
        <v>0</v>
      </c>
      <c r="N570">
        <f t="shared" si="16"/>
        <v>-0.7302894675519378</v>
      </c>
      <c r="O570">
        <f t="shared" si="17"/>
        <v>-0.37996415614673679</v>
      </c>
    </row>
    <row r="571" spans="1:15">
      <c r="A571">
        <v>2958</v>
      </c>
      <c r="B571">
        <v>19</v>
      </c>
      <c r="C571">
        <v>3</v>
      </c>
      <c r="D571">
        <v>10</v>
      </c>
      <c r="E571">
        <v>11</v>
      </c>
      <c r="F571">
        <v>8</v>
      </c>
      <c r="G571">
        <v>6</v>
      </c>
      <c r="H571" t="s">
        <v>11</v>
      </c>
      <c r="I571">
        <v>28442</v>
      </c>
      <c r="J571">
        <v>2</v>
      </c>
      <c r="K571">
        <v>0</v>
      </c>
      <c r="L571">
        <v>0</v>
      </c>
      <c r="M571">
        <v>1</v>
      </c>
      <c r="N571">
        <f t="shared" si="16"/>
        <v>-1.092611882674918</v>
      </c>
      <c r="O571">
        <f t="shared" si="17"/>
        <v>-0.13832764500252842</v>
      </c>
    </row>
    <row r="572" spans="1:15">
      <c r="A572">
        <v>2961</v>
      </c>
      <c r="B572">
        <v>175</v>
      </c>
      <c r="C572">
        <v>10</v>
      </c>
      <c r="D572">
        <v>110</v>
      </c>
      <c r="E572">
        <v>54</v>
      </c>
      <c r="F572">
        <v>6</v>
      </c>
      <c r="G572">
        <v>27</v>
      </c>
      <c r="H572" t="s">
        <v>11</v>
      </c>
      <c r="I572">
        <v>42081</v>
      </c>
      <c r="J572">
        <v>1</v>
      </c>
      <c r="K572">
        <v>0</v>
      </c>
      <c r="L572">
        <v>0</v>
      </c>
      <c r="M572">
        <v>1</v>
      </c>
      <c r="N572">
        <f t="shared" si="16"/>
        <v>-0.46156662410483418</v>
      </c>
      <c r="O572">
        <f t="shared" si="17"/>
        <v>0.11986840932537352</v>
      </c>
    </row>
    <row r="573" spans="1:15">
      <c r="A573">
        <v>2963</v>
      </c>
      <c r="B573">
        <v>709</v>
      </c>
      <c r="C573">
        <v>93</v>
      </c>
      <c r="D573">
        <v>374</v>
      </c>
      <c r="E573">
        <v>104</v>
      </c>
      <c r="F573">
        <v>80</v>
      </c>
      <c r="G573">
        <v>80</v>
      </c>
      <c r="H573" t="s">
        <v>11</v>
      </c>
      <c r="I573">
        <v>75507</v>
      </c>
      <c r="J573">
        <v>0</v>
      </c>
      <c r="K573">
        <v>0</v>
      </c>
      <c r="L573">
        <v>0</v>
      </c>
      <c r="M573">
        <v>1</v>
      </c>
      <c r="N573">
        <f t="shared" si="16"/>
        <v>1.0849777569321644</v>
      </c>
      <c r="O573">
        <f t="shared" si="17"/>
        <v>0.98882909379498274</v>
      </c>
    </row>
    <row r="574" spans="1:15">
      <c r="A574">
        <v>2964</v>
      </c>
      <c r="B574">
        <v>3</v>
      </c>
      <c r="C574">
        <v>10</v>
      </c>
      <c r="D574">
        <v>8</v>
      </c>
      <c r="E574">
        <v>3</v>
      </c>
      <c r="F574">
        <v>16</v>
      </c>
      <c r="G574">
        <v>32</v>
      </c>
      <c r="H574" t="s">
        <v>11</v>
      </c>
      <c r="I574">
        <v>26872</v>
      </c>
      <c r="J574">
        <v>0</v>
      </c>
      <c r="K574">
        <v>0</v>
      </c>
      <c r="L574">
        <v>0</v>
      </c>
      <c r="M574">
        <v>1</v>
      </c>
      <c r="N574">
        <f t="shared" si="16"/>
        <v>-1.1652521829868934</v>
      </c>
      <c r="O574">
        <f t="shared" si="17"/>
        <v>-0.26337424417886252</v>
      </c>
    </row>
    <row r="575" spans="1:15">
      <c r="A575">
        <v>2968</v>
      </c>
      <c r="B575">
        <v>437</v>
      </c>
      <c r="C575">
        <v>8</v>
      </c>
      <c r="D575">
        <v>206</v>
      </c>
      <c r="E575">
        <v>160</v>
      </c>
      <c r="F575">
        <v>49</v>
      </c>
      <c r="G575">
        <v>42</v>
      </c>
      <c r="H575" t="s">
        <v>12</v>
      </c>
      <c r="I575">
        <v>48948</v>
      </c>
      <c r="J575">
        <v>0</v>
      </c>
      <c r="K575">
        <v>0</v>
      </c>
      <c r="L575">
        <v>1</v>
      </c>
      <c r="M575">
        <v>0</v>
      </c>
      <c r="N575">
        <f t="shared" si="16"/>
        <v>-0.14384627872755099</v>
      </c>
      <c r="O575">
        <f t="shared" si="17"/>
        <v>-0.11790824597985544</v>
      </c>
    </row>
    <row r="576" spans="1:15">
      <c r="A576">
        <v>2975</v>
      </c>
      <c r="B576">
        <v>717</v>
      </c>
      <c r="C576">
        <v>42</v>
      </c>
      <c r="D576">
        <v>864</v>
      </c>
      <c r="E576">
        <v>219</v>
      </c>
      <c r="F576">
        <v>30</v>
      </c>
      <c r="G576">
        <v>84</v>
      </c>
      <c r="H576" t="s">
        <v>11</v>
      </c>
      <c r="I576">
        <v>85606</v>
      </c>
      <c r="J576">
        <v>0</v>
      </c>
      <c r="K576">
        <v>1</v>
      </c>
      <c r="L576">
        <v>0</v>
      </c>
      <c r="M576">
        <v>1</v>
      </c>
      <c r="N576">
        <f t="shared" si="16"/>
        <v>1.5522353319962654</v>
      </c>
      <c r="O576">
        <f t="shared" si="17"/>
        <v>0.87909823067275294</v>
      </c>
    </row>
    <row r="577" spans="1:15">
      <c r="A577">
        <v>2980</v>
      </c>
      <c r="B577">
        <v>12</v>
      </c>
      <c r="C577">
        <v>0</v>
      </c>
      <c r="D577">
        <v>13</v>
      </c>
      <c r="E577">
        <v>4</v>
      </c>
      <c r="F577">
        <v>2</v>
      </c>
      <c r="G577">
        <v>4</v>
      </c>
      <c r="H577" t="s">
        <v>12</v>
      </c>
      <c r="I577">
        <v>8820</v>
      </c>
      <c r="J577">
        <v>1</v>
      </c>
      <c r="K577">
        <v>1</v>
      </c>
      <c r="L577">
        <v>1</v>
      </c>
      <c r="M577">
        <v>0</v>
      </c>
      <c r="N577">
        <f t="shared" si="16"/>
        <v>-2.0004768334529945</v>
      </c>
      <c r="O577">
        <f t="shared" si="17"/>
        <v>-0.62606321930733733</v>
      </c>
    </row>
    <row r="578" spans="1:15">
      <c r="A578">
        <v>2986</v>
      </c>
      <c r="B578">
        <v>7</v>
      </c>
      <c r="C578">
        <v>2</v>
      </c>
      <c r="D578">
        <v>4</v>
      </c>
      <c r="E578">
        <v>2</v>
      </c>
      <c r="F578">
        <v>1</v>
      </c>
      <c r="G578">
        <v>4</v>
      </c>
      <c r="H578" t="s">
        <v>11</v>
      </c>
      <c r="I578">
        <v>30772</v>
      </c>
      <c r="J578">
        <v>1</v>
      </c>
      <c r="K578">
        <v>1</v>
      </c>
      <c r="L578">
        <v>0</v>
      </c>
      <c r="M578">
        <v>1</v>
      </c>
      <c r="N578">
        <f t="shared" si="16"/>
        <v>-0.98480812488708203</v>
      </c>
      <c r="O578">
        <f t="shared" si="17"/>
        <v>-0.12797650025193832</v>
      </c>
    </row>
    <row r="579" spans="1:15">
      <c r="A579">
        <v>2995</v>
      </c>
      <c r="B579">
        <v>291</v>
      </c>
      <c r="C579">
        <v>10</v>
      </c>
      <c r="D579">
        <v>689</v>
      </c>
      <c r="E579">
        <v>84</v>
      </c>
      <c r="F579">
        <v>10</v>
      </c>
      <c r="G579">
        <v>0</v>
      </c>
      <c r="H579" t="s">
        <v>11</v>
      </c>
      <c r="I579">
        <v>66636</v>
      </c>
      <c r="J579">
        <v>0</v>
      </c>
      <c r="K579">
        <v>0</v>
      </c>
      <c r="L579">
        <v>0</v>
      </c>
      <c r="M579">
        <v>1</v>
      </c>
      <c r="N579">
        <f t="shared" ref="N579:N642" si="18">STANDARDIZE(I579,$Q$1,$R$1)</f>
        <v>0.67453692631590112</v>
      </c>
      <c r="O579">
        <f t="shared" ref="O579:O642" si="19">SUMPRODUCT(J579:N579,$Q$4:$U$4) / SQRT(SUMSQ(J579:N579) * SUMSQ($Q$4:$U$4))</f>
        <v>0.92780437247260772</v>
      </c>
    </row>
    <row r="580" spans="1:15">
      <c r="A580">
        <v>3005</v>
      </c>
      <c r="B580">
        <v>530</v>
      </c>
      <c r="C580">
        <v>117</v>
      </c>
      <c r="D580">
        <v>678</v>
      </c>
      <c r="E580">
        <v>134</v>
      </c>
      <c r="F580">
        <v>44</v>
      </c>
      <c r="G580">
        <v>147</v>
      </c>
      <c r="H580" t="s">
        <v>12</v>
      </c>
      <c r="I580">
        <v>83528</v>
      </c>
      <c r="J580">
        <v>0</v>
      </c>
      <c r="K580">
        <v>0</v>
      </c>
      <c r="L580">
        <v>1</v>
      </c>
      <c r="M580">
        <v>0</v>
      </c>
      <c r="N580">
        <f t="shared" si="18"/>
        <v>1.4560910364241095</v>
      </c>
      <c r="O580">
        <f t="shared" si="19"/>
        <v>0.68263741070339179</v>
      </c>
    </row>
    <row r="581" spans="1:15">
      <c r="A581">
        <v>3006</v>
      </c>
      <c r="B581">
        <v>17</v>
      </c>
      <c r="C581">
        <v>0</v>
      </c>
      <c r="D581">
        <v>14</v>
      </c>
      <c r="E581">
        <v>7</v>
      </c>
      <c r="F581">
        <v>3</v>
      </c>
      <c r="G581">
        <v>2</v>
      </c>
      <c r="H581" t="s">
        <v>12</v>
      </c>
      <c r="I581">
        <v>30992</v>
      </c>
      <c r="J581">
        <v>1</v>
      </c>
      <c r="K581">
        <v>0</v>
      </c>
      <c r="L581">
        <v>1</v>
      </c>
      <c r="M581">
        <v>0</v>
      </c>
      <c r="N581">
        <f t="shared" si="18"/>
        <v>-0.97462922930196438</v>
      </c>
      <c r="O581">
        <f t="shared" si="19"/>
        <v>-0.4699249218889926</v>
      </c>
    </row>
    <row r="582" spans="1:15">
      <c r="A582">
        <v>3007</v>
      </c>
      <c r="B582">
        <v>27</v>
      </c>
      <c r="C582">
        <v>2</v>
      </c>
      <c r="D582">
        <v>10</v>
      </c>
      <c r="E582">
        <v>0</v>
      </c>
      <c r="F582">
        <v>0</v>
      </c>
      <c r="G582">
        <v>1</v>
      </c>
      <c r="H582" t="s">
        <v>11</v>
      </c>
      <c r="I582">
        <v>37758</v>
      </c>
      <c r="J582">
        <v>1</v>
      </c>
      <c r="K582">
        <v>1</v>
      </c>
      <c r="L582">
        <v>0</v>
      </c>
      <c r="M582">
        <v>1</v>
      </c>
      <c r="N582">
        <f t="shared" si="18"/>
        <v>-0.66158192235239432</v>
      </c>
      <c r="O582">
        <f t="shared" si="19"/>
        <v>6.840708066349635E-3</v>
      </c>
    </row>
    <row r="583" spans="1:15">
      <c r="A583">
        <v>3009</v>
      </c>
      <c r="B583">
        <v>1462</v>
      </c>
      <c r="C583">
        <v>16</v>
      </c>
      <c r="D583">
        <v>128</v>
      </c>
      <c r="E583">
        <v>0</v>
      </c>
      <c r="F583">
        <v>0</v>
      </c>
      <c r="G583">
        <v>160</v>
      </c>
      <c r="H583" t="s">
        <v>12</v>
      </c>
      <c r="I583">
        <v>71670</v>
      </c>
      <c r="J583">
        <v>0</v>
      </c>
      <c r="K583">
        <v>0</v>
      </c>
      <c r="L583">
        <v>1</v>
      </c>
      <c r="M583">
        <v>0</v>
      </c>
      <c r="N583">
        <f t="shared" si="18"/>
        <v>0.90744856438627297</v>
      </c>
      <c r="O583">
        <f t="shared" si="19"/>
        <v>0.55650158117709247</v>
      </c>
    </row>
    <row r="584" spans="1:15">
      <c r="A584">
        <v>3010</v>
      </c>
      <c r="B584">
        <v>957</v>
      </c>
      <c r="C584">
        <v>153</v>
      </c>
      <c r="D584">
        <v>612</v>
      </c>
      <c r="E584">
        <v>99</v>
      </c>
      <c r="F584">
        <v>95</v>
      </c>
      <c r="G584">
        <v>153</v>
      </c>
      <c r="H584" t="s">
        <v>11</v>
      </c>
      <c r="I584">
        <v>88420</v>
      </c>
      <c r="J584">
        <v>0</v>
      </c>
      <c r="K584">
        <v>0</v>
      </c>
      <c r="L584">
        <v>0</v>
      </c>
      <c r="M584">
        <v>1</v>
      </c>
      <c r="N584">
        <f t="shared" si="18"/>
        <v>1.6824326600713602</v>
      </c>
      <c r="O584">
        <f t="shared" si="19"/>
        <v>0.99827311280304432</v>
      </c>
    </row>
    <row r="585" spans="1:15">
      <c r="A585">
        <v>3011</v>
      </c>
      <c r="B585">
        <v>86</v>
      </c>
      <c r="C585">
        <v>12</v>
      </c>
      <c r="D585">
        <v>75</v>
      </c>
      <c r="E585">
        <v>33</v>
      </c>
      <c r="F585">
        <v>15</v>
      </c>
      <c r="G585">
        <v>6</v>
      </c>
      <c r="H585" t="s">
        <v>11</v>
      </c>
      <c r="I585">
        <v>69139</v>
      </c>
      <c r="J585">
        <v>0</v>
      </c>
      <c r="K585">
        <v>1</v>
      </c>
      <c r="L585">
        <v>0</v>
      </c>
      <c r="M585">
        <v>1</v>
      </c>
      <c r="N585">
        <f t="shared" si="18"/>
        <v>0.79034499745021591</v>
      </c>
      <c r="O585">
        <f t="shared" si="19"/>
        <v>0.74999700719624074</v>
      </c>
    </row>
    <row r="586" spans="1:15">
      <c r="A586">
        <v>3025</v>
      </c>
      <c r="B586">
        <v>212</v>
      </c>
      <c r="C586">
        <v>6</v>
      </c>
      <c r="D586">
        <v>69</v>
      </c>
      <c r="E586">
        <v>4</v>
      </c>
      <c r="F586">
        <v>12</v>
      </c>
      <c r="G586">
        <v>3</v>
      </c>
      <c r="H586" t="s">
        <v>12</v>
      </c>
      <c r="I586">
        <v>49967</v>
      </c>
      <c r="J586">
        <v>0</v>
      </c>
      <c r="K586">
        <v>1</v>
      </c>
      <c r="L586">
        <v>1</v>
      </c>
      <c r="M586">
        <v>0</v>
      </c>
      <c r="N586">
        <f t="shared" si="18"/>
        <v>-9.6699485085574619E-2</v>
      </c>
      <c r="O586">
        <f t="shared" si="19"/>
        <v>-5.649228359843822E-2</v>
      </c>
    </row>
    <row r="587" spans="1:15">
      <c r="A587">
        <v>3032</v>
      </c>
      <c r="B587">
        <v>28</v>
      </c>
      <c r="C587">
        <v>34</v>
      </c>
      <c r="D587">
        <v>62</v>
      </c>
      <c r="E587">
        <v>11</v>
      </c>
      <c r="F587">
        <v>14</v>
      </c>
      <c r="G587">
        <v>44</v>
      </c>
      <c r="H587" t="s">
        <v>11</v>
      </c>
      <c r="I587">
        <v>24570</v>
      </c>
      <c r="J587">
        <v>1</v>
      </c>
      <c r="K587">
        <v>0</v>
      </c>
      <c r="L587">
        <v>0</v>
      </c>
      <c r="M587">
        <v>1</v>
      </c>
      <c r="N587">
        <f t="shared" si="18"/>
        <v>-1.2717604449729871</v>
      </c>
      <c r="O587">
        <f t="shared" si="19"/>
        <v>-0.25900778100312905</v>
      </c>
    </row>
    <row r="588" spans="1:15">
      <c r="A588">
        <v>3033</v>
      </c>
      <c r="B588">
        <v>112</v>
      </c>
      <c r="C588">
        <v>17</v>
      </c>
      <c r="D588">
        <v>44</v>
      </c>
      <c r="E588">
        <v>34</v>
      </c>
      <c r="F588">
        <v>22</v>
      </c>
      <c r="G588">
        <v>89</v>
      </c>
      <c r="H588" t="s">
        <v>11</v>
      </c>
      <c r="I588">
        <v>38620</v>
      </c>
      <c r="J588">
        <v>0</v>
      </c>
      <c r="K588">
        <v>0</v>
      </c>
      <c r="L588">
        <v>0</v>
      </c>
      <c r="M588">
        <v>1</v>
      </c>
      <c r="N588">
        <f t="shared" si="18"/>
        <v>-0.62169915874161552</v>
      </c>
      <c r="O588">
        <f t="shared" si="19"/>
        <v>3.8820370835085383E-2</v>
      </c>
    </row>
    <row r="589" spans="1:15">
      <c r="A589">
        <v>3037</v>
      </c>
      <c r="B589">
        <v>135</v>
      </c>
      <c r="C589">
        <v>46</v>
      </c>
      <c r="D589">
        <v>92</v>
      </c>
      <c r="E589">
        <v>65</v>
      </c>
      <c r="F589">
        <v>61</v>
      </c>
      <c r="G589">
        <v>11</v>
      </c>
      <c r="H589" t="s">
        <v>11</v>
      </c>
      <c r="I589">
        <v>50150</v>
      </c>
      <c r="J589">
        <v>0</v>
      </c>
      <c r="K589">
        <v>0</v>
      </c>
      <c r="L589">
        <v>0</v>
      </c>
      <c r="M589">
        <v>1</v>
      </c>
      <c r="N589">
        <f t="shared" si="18"/>
        <v>-8.8232494667045011E-2</v>
      </c>
      <c r="O589">
        <f t="shared" si="19"/>
        <v>0.48559850802899041</v>
      </c>
    </row>
    <row r="590" spans="1:15">
      <c r="A590">
        <v>3050</v>
      </c>
      <c r="B590">
        <v>185</v>
      </c>
      <c r="C590">
        <v>0</v>
      </c>
      <c r="D590">
        <v>28</v>
      </c>
      <c r="E590">
        <v>3</v>
      </c>
      <c r="F590">
        <v>2</v>
      </c>
      <c r="G590">
        <v>17</v>
      </c>
      <c r="H590" t="s">
        <v>11</v>
      </c>
      <c r="I590">
        <v>54198</v>
      </c>
      <c r="J590">
        <v>1</v>
      </c>
      <c r="K590">
        <v>1</v>
      </c>
      <c r="L590">
        <v>0</v>
      </c>
      <c r="M590">
        <v>1</v>
      </c>
      <c r="N590">
        <f t="shared" si="18"/>
        <v>9.9059184099118139E-2</v>
      </c>
      <c r="O590">
        <f t="shared" si="19"/>
        <v>0.3703912804118365</v>
      </c>
    </row>
    <row r="591" spans="1:15">
      <c r="A591">
        <v>3056</v>
      </c>
      <c r="B591">
        <v>587</v>
      </c>
      <c r="C591">
        <v>43</v>
      </c>
      <c r="D591">
        <v>337</v>
      </c>
      <c r="E591">
        <v>42</v>
      </c>
      <c r="F591">
        <v>87</v>
      </c>
      <c r="G591">
        <v>54</v>
      </c>
      <c r="H591" t="s">
        <v>12</v>
      </c>
      <c r="I591">
        <v>63693</v>
      </c>
      <c r="J591">
        <v>0</v>
      </c>
      <c r="K591">
        <v>1</v>
      </c>
      <c r="L591">
        <v>1</v>
      </c>
      <c r="M591">
        <v>0</v>
      </c>
      <c r="N591">
        <f t="shared" si="18"/>
        <v>0.53837106401135115</v>
      </c>
      <c r="O591">
        <f t="shared" si="19"/>
        <v>0.29462640624342956</v>
      </c>
    </row>
    <row r="592" spans="1:15">
      <c r="A592">
        <v>3066</v>
      </c>
      <c r="B592">
        <v>167</v>
      </c>
      <c r="C592">
        <v>0</v>
      </c>
      <c r="D592">
        <v>43</v>
      </c>
      <c r="E592">
        <v>6</v>
      </c>
      <c r="F592">
        <v>2</v>
      </c>
      <c r="G592">
        <v>13</v>
      </c>
      <c r="H592" t="s">
        <v>11</v>
      </c>
      <c r="I592">
        <v>61905</v>
      </c>
      <c r="J592">
        <v>0</v>
      </c>
      <c r="K592">
        <v>1</v>
      </c>
      <c r="L592">
        <v>0</v>
      </c>
      <c r="M592">
        <v>1</v>
      </c>
      <c r="N592">
        <f t="shared" si="18"/>
        <v>0.45564440352866842</v>
      </c>
      <c r="O592">
        <f t="shared" si="19"/>
        <v>0.63122746277016828</v>
      </c>
    </row>
    <row r="593" spans="1:15">
      <c r="A593">
        <v>3068</v>
      </c>
      <c r="B593">
        <v>1</v>
      </c>
      <c r="C593">
        <v>12</v>
      </c>
      <c r="D593">
        <v>9</v>
      </c>
      <c r="E593">
        <v>0</v>
      </c>
      <c r="F593">
        <v>14</v>
      </c>
      <c r="G593">
        <v>7</v>
      </c>
      <c r="H593" t="s">
        <v>11</v>
      </c>
      <c r="I593">
        <v>18351</v>
      </c>
      <c r="J593">
        <v>0</v>
      </c>
      <c r="K593">
        <v>0</v>
      </c>
      <c r="L593">
        <v>0</v>
      </c>
      <c r="M593">
        <v>1</v>
      </c>
      <c r="N593">
        <f t="shared" si="18"/>
        <v>-1.5594993160813786</v>
      </c>
      <c r="O593">
        <f t="shared" si="19"/>
        <v>-0.39453130859112234</v>
      </c>
    </row>
    <row r="594" spans="1:15">
      <c r="A594">
        <v>3074</v>
      </c>
      <c r="B594">
        <v>1218</v>
      </c>
      <c r="C594">
        <v>107</v>
      </c>
      <c r="D594">
        <v>304</v>
      </c>
      <c r="E594">
        <v>23</v>
      </c>
      <c r="F594">
        <v>143</v>
      </c>
      <c r="G594">
        <v>33</v>
      </c>
      <c r="H594" t="s">
        <v>11</v>
      </c>
      <c r="I594">
        <v>70643</v>
      </c>
      <c r="J594">
        <v>0</v>
      </c>
      <c r="K594">
        <v>0</v>
      </c>
      <c r="L594">
        <v>0</v>
      </c>
      <c r="M594">
        <v>1</v>
      </c>
      <c r="N594">
        <f t="shared" si="18"/>
        <v>0.85993162908665599</v>
      </c>
      <c r="O594">
        <f t="shared" si="19"/>
        <v>0.96495818743261563</v>
      </c>
    </row>
    <row r="595" spans="1:15">
      <c r="A595">
        <v>3075</v>
      </c>
      <c r="B595">
        <v>130</v>
      </c>
      <c r="C595">
        <v>30</v>
      </c>
      <c r="D595">
        <v>168</v>
      </c>
      <c r="E595">
        <v>20</v>
      </c>
      <c r="F595">
        <v>34</v>
      </c>
      <c r="G595">
        <v>0</v>
      </c>
      <c r="H595" t="s">
        <v>11</v>
      </c>
      <c r="I595">
        <v>59973</v>
      </c>
      <c r="J595">
        <v>0</v>
      </c>
      <c r="K595">
        <v>0</v>
      </c>
      <c r="L595">
        <v>0</v>
      </c>
      <c r="M595">
        <v>1</v>
      </c>
      <c r="N595">
        <f t="shared" si="18"/>
        <v>0.36625519320845418</v>
      </c>
      <c r="O595">
        <f t="shared" si="19"/>
        <v>0.81116083156244023</v>
      </c>
    </row>
    <row r="596" spans="1:15">
      <c r="A596">
        <v>3076</v>
      </c>
      <c r="B596">
        <v>452</v>
      </c>
      <c r="C596">
        <v>18</v>
      </c>
      <c r="D596">
        <v>102</v>
      </c>
      <c r="E596">
        <v>16</v>
      </c>
      <c r="F596">
        <v>18</v>
      </c>
      <c r="G596">
        <v>6</v>
      </c>
      <c r="H596" t="s">
        <v>11</v>
      </c>
      <c r="I596">
        <v>66653</v>
      </c>
      <c r="J596">
        <v>1</v>
      </c>
      <c r="K596">
        <v>1</v>
      </c>
      <c r="L596">
        <v>0</v>
      </c>
      <c r="M596">
        <v>1</v>
      </c>
      <c r="N596">
        <f t="shared" si="18"/>
        <v>0.67532347733838749</v>
      </c>
      <c r="O596">
        <f t="shared" si="19"/>
        <v>0.60235131450123647</v>
      </c>
    </row>
    <row r="597" spans="1:15">
      <c r="A597">
        <v>3081</v>
      </c>
      <c r="B597">
        <v>7</v>
      </c>
      <c r="C597">
        <v>2</v>
      </c>
      <c r="D597">
        <v>6</v>
      </c>
      <c r="E597">
        <v>2</v>
      </c>
      <c r="F597">
        <v>0</v>
      </c>
      <c r="G597">
        <v>3</v>
      </c>
      <c r="H597" t="s">
        <v>11</v>
      </c>
      <c r="I597">
        <v>41014</v>
      </c>
      <c r="J597">
        <v>1</v>
      </c>
      <c r="K597">
        <v>0</v>
      </c>
      <c r="L597">
        <v>0</v>
      </c>
      <c r="M597">
        <v>1</v>
      </c>
      <c r="N597">
        <f t="shared" si="18"/>
        <v>-0.51093426769265438</v>
      </c>
      <c r="O597">
        <f t="shared" si="19"/>
        <v>9.1400809654071991E-2</v>
      </c>
    </row>
    <row r="598" spans="1:15">
      <c r="A598">
        <v>3083</v>
      </c>
      <c r="B598">
        <v>215</v>
      </c>
      <c r="C598">
        <v>13</v>
      </c>
      <c r="D598">
        <v>87</v>
      </c>
      <c r="E598">
        <v>17</v>
      </c>
      <c r="F598">
        <v>17</v>
      </c>
      <c r="G598">
        <v>24</v>
      </c>
      <c r="H598" t="s">
        <v>11</v>
      </c>
      <c r="I598">
        <v>45837</v>
      </c>
      <c r="J598">
        <v>1</v>
      </c>
      <c r="K598">
        <v>1</v>
      </c>
      <c r="L598">
        <v>0</v>
      </c>
      <c r="M598">
        <v>1</v>
      </c>
      <c r="N598">
        <f t="shared" si="18"/>
        <v>-0.28778511584255434</v>
      </c>
      <c r="O598">
        <f t="shared" si="19"/>
        <v>0.18352453137912478</v>
      </c>
    </row>
    <row r="599" spans="1:15">
      <c r="A599">
        <v>3099</v>
      </c>
      <c r="B599">
        <v>183</v>
      </c>
      <c r="C599">
        <v>5</v>
      </c>
      <c r="D599">
        <v>65</v>
      </c>
      <c r="E599">
        <v>3</v>
      </c>
      <c r="F599">
        <v>5</v>
      </c>
      <c r="G599">
        <v>49</v>
      </c>
      <c r="H599" t="s">
        <v>12</v>
      </c>
      <c r="I599">
        <v>44267</v>
      </c>
      <c r="J599">
        <v>1</v>
      </c>
      <c r="K599">
        <v>1</v>
      </c>
      <c r="L599">
        <v>1</v>
      </c>
      <c r="M599">
        <v>0</v>
      </c>
      <c r="N599">
        <f t="shared" si="18"/>
        <v>-0.36042541615452967</v>
      </c>
      <c r="O599">
        <f t="shared" si="19"/>
        <v>-0.16871068085451876</v>
      </c>
    </row>
    <row r="600" spans="1:15">
      <c r="A600">
        <v>3102</v>
      </c>
      <c r="B600">
        <v>2</v>
      </c>
      <c r="C600">
        <v>3</v>
      </c>
      <c r="D600">
        <v>12</v>
      </c>
      <c r="E600">
        <v>3</v>
      </c>
      <c r="F600">
        <v>5</v>
      </c>
      <c r="G600">
        <v>7</v>
      </c>
      <c r="H600" t="s">
        <v>11</v>
      </c>
      <c r="I600">
        <v>19414</v>
      </c>
      <c r="J600">
        <v>1</v>
      </c>
      <c r="K600">
        <v>0</v>
      </c>
      <c r="L600">
        <v>0</v>
      </c>
      <c r="M600">
        <v>1</v>
      </c>
      <c r="N600">
        <f t="shared" si="18"/>
        <v>-1.5103167433223788</v>
      </c>
      <c r="O600">
        <f t="shared" si="19"/>
        <v>-0.33356519951085345</v>
      </c>
    </row>
    <row r="601" spans="1:15">
      <c r="A601">
        <v>3104</v>
      </c>
      <c r="B601">
        <v>830</v>
      </c>
      <c r="C601">
        <v>59</v>
      </c>
      <c r="D601">
        <v>968</v>
      </c>
      <c r="E601">
        <v>51</v>
      </c>
      <c r="F601">
        <v>79</v>
      </c>
      <c r="G601">
        <v>19</v>
      </c>
      <c r="H601" t="s">
        <v>12</v>
      </c>
      <c r="I601">
        <v>82332</v>
      </c>
      <c r="J601">
        <v>0</v>
      </c>
      <c r="K601">
        <v>0</v>
      </c>
      <c r="L601">
        <v>1</v>
      </c>
      <c r="M601">
        <v>0</v>
      </c>
      <c r="N601">
        <f t="shared" si="18"/>
        <v>1.4007548586068341</v>
      </c>
      <c r="O601">
        <f t="shared" si="19"/>
        <v>0.67399098951179792</v>
      </c>
    </row>
    <row r="602" spans="1:15">
      <c r="A602">
        <v>3107</v>
      </c>
      <c r="B602">
        <v>121</v>
      </c>
      <c r="C602">
        <v>24</v>
      </c>
      <c r="D602">
        <v>124</v>
      </c>
      <c r="E602">
        <v>24</v>
      </c>
      <c r="F602">
        <v>15</v>
      </c>
      <c r="G602">
        <v>42</v>
      </c>
      <c r="H602" t="s">
        <v>11</v>
      </c>
      <c r="I602">
        <v>71322</v>
      </c>
      <c r="J602">
        <v>0</v>
      </c>
      <c r="K602">
        <v>1</v>
      </c>
      <c r="L602">
        <v>0</v>
      </c>
      <c r="M602">
        <v>1</v>
      </c>
      <c r="N602">
        <f t="shared" si="18"/>
        <v>0.89134740227890519</v>
      </c>
      <c r="O602">
        <f t="shared" si="19"/>
        <v>0.77688143461510828</v>
      </c>
    </row>
    <row r="603" spans="1:15">
      <c r="A603">
        <v>3112</v>
      </c>
      <c r="B603">
        <v>2</v>
      </c>
      <c r="C603">
        <v>4</v>
      </c>
      <c r="D603">
        <v>9</v>
      </c>
      <c r="E603">
        <v>0</v>
      </c>
      <c r="F603">
        <v>4</v>
      </c>
      <c r="G603">
        <v>5</v>
      </c>
      <c r="H603" t="s">
        <v>11</v>
      </c>
      <c r="I603">
        <v>22701</v>
      </c>
      <c r="J603">
        <v>1</v>
      </c>
      <c r="K603">
        <v>0</v>
      </c>
      <c r="L603">
        <v>0</v>
      </c>
      <c r="M603">
        <v>1</v>
      </c>
      <c r="N603">
        <f t="shared" si="18"/>
        <v>-1.3582347897392812</v>
      </c>
      <c r="O603">
        <f t="shared" si="19"/>
        <v>-0.28775166733191043</v>
      </c>
    </row>
    <row r="604" spans="1:15">
      <c r="A604">
        <v>3120</v>
      </c>
      <c r="B604">
        <v>6</v>
      </c>
      <c r="C604">
        <v>1</v>
      </c>
      <c r="D604">
        <v>10</v>
      </c>
      <c r="E604">
        <v>0</v>
      </c>
      <c r="F604">
        <v>1</v>
      </c>
      <c r="G604">
        <v>4</v>
      </c>
      <c r="H604" t="s">
        <v>11</v>
      </c>
      <c r="I604">
        <v>38547</v>
      </c>
      <c r="J604">
        <v>1</v>
      </c>
      <c r="K604">
        <v>0</v>
      </c>
      <c r="L604">
        <v>0</v>
      </c>
      <c r="M604">
        <v>1</v>
      </c>
      <c r="N604">
        <f t="shared" si="18"/>
        <v>-0.62507670136758631</v>
      </c>
      <c r="O604">
        <f t="shared" si="19"/>
        <v>2.7754598181482203E-2</v>
      </c>
    </row>
    <row r="605" spans="1:15">
      <c r="A605">
        <v>3129</v>
      </c>
      <c r="B605">
        <v>5</v>
      </c>
      <c r="C605">
        <v>3</v>
      </c>
      <c r="D605">
        <v>11</v>
      </c>
      <c r="E605">
        <v>12</v>
      </c>
      <c r="F605">
        <v>5</v>
      </c>
      <c r="G605">
        <v>9</v>
      </c>
      <c r="H605" t="s">
        <v>11</v>
      </c>
      <c r="I605">
        <v>30096</v>
      </c>
      <c r="J605">
        <v>1</v>
      </c>
      <c r="K605">
        <v>0</v>
      </c>
      <c r="L605">
        <v>0</v>
      </c>
      <c r="M605">
        <v>1</v>
      </c>
      <c r="N605">
        <f t="shared" si="18"/>
        <v>-1.016085094957716</v>
      </c>
      <c r="O605">
        <f t="shared" si="19"/>
        <v>-0.1613010240282855</v>
      </c>
    </row>
    <row r="606" spans="1:15">
      <c r="A606">
        <v>3136</v>
      </c>
      <c r="B606">
        <v>317</v>
      </c>
      <c r="C606">
        <v>25</v>
      </c>
      <c r="D606">
        <v>265</v>
      </c>
      <c r="E606">
        <v>25</v>
      </c>
      <c r="F606">
        <v>19</v>
      </c>
      <c r="G606">
        <v>12</v>
      </c>
      <c r="H606" t="s">
        <v>12</v>
      </c>
      <c r="I606">
        <v>59432</v>
      </c>
      <c r="J606">
        <v>0</v>
      </c>
      <c r="K606">
        <v>1</v>
      </c>
      <c r="L606">
        <v>1</v>
      </c>
      <c r="M606">
        <v>0</v>
      </c>
      <c r="N606">
        <f t="shared" si="18"/>
        <v>0.34122436361050595</v>
      </c>
      <c r="O606">
        <f t="shared" si="19"/>
        <v>0.19423635114136692</v>
      </c>
    </row>
    <row r="607" spans="1:15">
      <c r="A607">
        <v>3138</v>
      </c>
      <c r="B607">
        <v>1324</v>
      </c>
      <c r="C607">
        <v>27</v>
      </c>
      <c r="D607">
        <v>119</v>
      </c>
      <c r="E607">
        <v>71</v>
      </c>
      <c r="F607">
        <v>108</v>
      </c>
      <c r="G607">
        <v>27</v>
      </c>
      <c r="H607" t="s">
        <v>12</v>
      </c>
      <c r="I607">
        <v>91249</v>
      </c>
      <c r="J607">
        <v>0</v>
      </c>
      <c r="K607">
        <v>0</v>
      </c>
      <c r="L607">
        <v>1</v>
      </c>
      <c r="M607">
        <v>0</v>
      </c>
      <c r="N607">
        <f t="shared" si="18"/>
        <v>1.8133240037545311</v>
      </c>
      <c r="O607">
        <f t="shared" si="19"/>
        <v>0.72515957060352232</v>
      </c>
    </row>
    <row r="608" spans="1:15">
      <c r="A608">
        <v>3139</v>
      </c>
      <c r="B608">
        <v>871</v>
      </c>
      <c r="C608">
        <v>111</v>
      </c>
      <c r="D608">
        <v>704</v>
      </c>
      <c r="E608">
        <v>145</v>
      </c>
      <c r="F608">
        <v>55</v>
      </c>
      <c r="G608">
        <v>166</v>
      </c>
      <c r="H608" t="s">
        <v>12</v>
      </c>
      <c r="I608">
        <v>74116</v>
      </c>
      <c r="J608">
        <v>0</v>
      </c>
      <c r="K608">
        <v>0</v>
      </c>
      <c r="L608">
        <v>1</v>
      </c>
      <c r="M608">
        <v>0</v>
      </c>
      <c r="N608">
        <f t="shared" si="18"/>
        <v>1.0206193762098983</v>
      </c>
      <c r="O608">
        <f t="shared" si="19"/>
        <v>0.59151332599129547</v>
      </c>
    </row>
    <row r="609" spans="1:15">
      <c r="A609">
        <v>3152</v>
      </c>
      <c r="B609">
        <v>15</v>
      </c>
      <c r="C609">
        <v>10</v>
      </c>
      <c r="D609">
        <v>19</v>
      </c>
      <c r="E609">
        <v>8</v>
      </c>
      <c r="F609">
        <v>17</v>
      </c>
      <c r="G609">
        <v>20</v>
      </c>
      <c r="H609" t="s">
        <v>11</v>
      </c>
      <c r="I609">
        <v>26091</v>
      </c>
      <c r="J609">
        <v>1</v>
      </c>
      <c r="K609">
        <v>1</v>
      </c>
      <c r="L609">
        <v>0</v>
      </c>
      <c r="M609">
        <v>1</v>
      </c>
      <c r="N609">
        <f t="shared" si="18"/>
        <v>-1.2013872623140607</v>
      </c>
      <c r="O609">
        <f t="shared" si="19"/>
        <v>-0.20605126018558134</v>
      </c>
    </row>
    <row r="610" spans="1:15">
      <c r="A610">
        <v>3153</v>
      </c>
      <c r="B610">
        <v>11</v>
      </c>
      <c r="C610">
        <v>0</v>
      </c>
      <c r="D610">
        <v>4</v>
      </c>
      <c r="E610">
        <v>0</v>
      </c>
      <c r="F610">
        <v>0</v>
      </c>
      <c r="G610">
        <v>2</v>
      </c>
      <c r="H610" t="s">
        <v>12</v>
      </c>
      <c r="I610">
        <v>40737</v>
      </c>
      <c r="J610">
        <v>2</v>
      </c>
      <c r="K610">
        <v>1</v>
      </c>
      <c r="L610">
        <v>1</v>
      </c>
      <c r="M610">
        <v>0</v>
      </c>
      <c r="N610">
        <f t="shared" si="18"/>
        <v>-0.5237504225884615</v>
      </c>
      <c r="O610">
        <f t="shared" si="19"/>
        <v>-0.17315462431134981</v>
      </c>
    </row>
    <row r="611" spans="1:15">
      <c r="A611">
        <v>3158</v>
      </c>
      <c r="B611">
        <v>13</v>
      </c>
      <c r="C611">
        <v>3</v>
      </c>
      <c r="D611">
        <v>6</v>
      </c>
      <c r="E611">
        <v>6</v>
      </c>
      <c r="F611">
        <v>5</v>
      </c>
      <c r="G611">
        <v>6</v>
      </c>
      <c r="H611" t="s">
        <v>11</v>
      </c>
      <c r="I611">
        <v>32300</v>
      </c>
      <c r="J611">
        <v>1</v>
      </c>
      <c r="K611">
        <v>0</v>
      </c>
      <c r="L611">
        <v>0</v>
      </c>
      <c r="M611">
        <v>1</v>
      </c>
      <c r="N611">
        <f t="shared" si="18"/>
        <v>-0.91411106827772004</v>
      </c>
      <c r="O611">
        <f t="shared" si="19"/>
        <v>-0.11665663236204118</v>
      </c>
    </row>
    <row r="612" spans="1:15">
      <c r="A612">
        <v>3170</v>
      </c>
      <c r="B612">
        <v>389</v>
      </c>
      <c r="C612">
        <v>66</v>
      </c>
      <c r="D612">
        <v>408</v>
      </c>
      <c r="E612">
        <v>37</v>
      </c>
      <c r="F612">
        <v>57</v>
      </c>
      <c r="G612">
        <v>85</v>
      </c>
      <c r="H612" t="s">
        <v>11</v>
      </c>
      <c r="I612">
        <v>68148</v>
      </c>
      <c r="J612">
        <v>0</v>
      </c>
      <c r="K612">
        <v>0</v>
      </c>
      <c r="L612">
        <v>0</v>
      </c>
      <c r="M612">
        <v>1</v>
      </c>
      <c r="N612">
        <f t="shared" si="18"/>
        <v>0.7444936996099818</v>
      </c>
      <c r="O612">
        <f t="shared" si="19"/>
        <v>0.94415480429073562</v>
      </c>
    </row>
    <row r="613" spans="1:15">
      <c r="A613">
        <v>3174</v>
      </c>
      <c r="B613">
        <v>1492</v>
      </c>
      <c r="C613">
        <v>38</v>
      </c>
      <c r="D613">
        <v>287</v>
      </c>
      <c r="E613">
        <v>50</v>
      </c>
      <c r="F613">
        <v>57</v>
      </c>
      <c r="G613">
        <v>33</v>
      </c>
      <c r="H613" t="s">
        <v>11</v>
      </c>
      <c r="I613">
        <v>87771</v>
      </c>
      <c r="J613">
        <v>0</v>
      </c>
      <c r="K613">
        <v>1</v>
      </c>
      <c r="L613">
        <v>0</v>
      </c>
      <c r="M613">
        <v>1</v>
      </c>
      <c r="N613">
        <f t="shared" si="18"/>
        <v>1.6524049180952634</v>
      </c>
      <c r="O613">
        <f t="shared" si="19"/>
        <v>0.88688624669403626</v>
      </c>
    </row>
    <row r="614" spans="1:15">
      <c r="A614">
        <v>3179</v>
      </c>
      <c r="B614">
        <v>249</v>
      </c>
      <c r="C614">
        <v>153</v>
      </c>
      <c r="D614">
        <v>940</v>
      </c>
      <c r="E614">
        <v>58</v>
      </c>
      <c r="F614">
        <v>134</v>
      </c>
      <c r="G614">
        <v>38</v>
      </c>
      <c r="H614" t="s">
        <v>12</v>
      </c>
      <c r="I614">
        <v>81741</v>
      </c>
      <c r="J614">
        <v>0</v>
      </c>
      <c r="K614">
        <v>0</v>
      </c>
      <c r="L614">
        <v>1</v>
      </c>
      <c r="M614">
        <v>0</v>
      </c>
      <c r="N614">
        <f t="shared" si="18"/>
        <v>1.373410643648632</v>
      </c>
      <c r="O614">
        <f t="shared" si="19"/>
        <v>0.66946175959321774</v>
      </c>
    </row>
    <row r="615" spans="1:15">
      <c r="A615">
        <v>3182</v>
      </c>
      <c r="B615">
        <v>96</v>
      </c>
      <c r="C615">
        <v>1</v>
      </c>
      <c r="D615">
        <v>79</v>
      </c>
      <c r="E615">
        <v>7</v>
      </c>
      <c r="F615">
        <v>1</v>
      </c>
      <c r="G615">
        <v>79</v>
      </c>
      <c r="H615" t="s">
        <v>12</v>
      </c>
      <c r="I615">
        <v>46854</v>
      </c>
      <c r="J615">
        <v>1</v>
      </c>
      <c r="K615">
        <v>1</v>
      </c>
      <c r="L615">
        <v>1</v>
      </c>
      <c r="M615">
        <v>0</v>
      </c>
      <c r="N615">
        <f t="shared" si="18"/>
        <v>-0.24073085761498814</v>
      </c>
      <c r="O615">
        <f t="shared" si="19"/>
        <v>-0.11400117500325628</v>
      </c>
    </row>
    <row r="616" spans="1:15">
      <c r="A616">
        <v>3194</v>
      </c>
      <c r="B616">
        <v>412</v>
      </c>
      <c r="C616">
        <v>12</v>
      </c>
      <c r="D616">
        <v>546</v>
      </c>
      <c r="E616">
        <v>78</v>
      </c>
      <c r="F616">
        <v>182</v>
      </c>
      <c r="G616">
        <v>0</v>
      </c>
      <c r="H616" t="s">
        <v>12</v>
      </c>
      <c r="I616">
        <v>71466</v>
      </c>
      <c r="J616">
        <v>0</v>
      </c>
      <c r="K616">
        <v>0</v>
      </c>
      <c r="L616">
        <v>1</v>
      </c>
      <c r="M616">
        <v>0</v>
      </c>
      <c r="N616">
        <f t="shared" si="18"/>
        <v>0.89800995211643664</v>
      </c>
      <c r="O616">
        <f t="shared" si="19"/>
        <v>0.55330476220957592</v>
      </c>
    </row>
    <row r="617" spans="1:15">
      <c r="A617">
        <v>3197</v>
      </c>
      <c r="B617">
        <v>275</v>
      </c>
      <c r="C617">
        <v>59</v>
      </c>
      <c r="D617">
        <v>107</v>
      </c>
      <c r="E617">
        <v>69</v>
      </c>
      <c r="F617">
        <v>101</v>
      </c>
      <c r="G617">
        <v>59</v>
      </c>
      <c r="H617" t="s">
        <v>11</v>
      </c>
      <c r="I617">
        <v>77353</v>
      </c>
      <c r="J617">
        <v>0</v>
      </c>
      <c r="K617">
        <v>1</v>
      </c>
      <c r="L617">
        <v>0</v>
      </c>
      <c r="M617">
        <v>1</v>
      </c>
      <c r="N617">
        <f t="shared" si="18"/>
        <v>1.1703879444327416</v>
      </c>
      <c r="O617">
        <f t="shared" si="19"/>
        <v>0.83334407491904361</v>
      </c>
    </row>
    <row r="618" spans="1:15">
      <c r="A618">
        <v>3202</v>
      </c>
      <c r="B618">
        <v>1166</v>
      </c>
      <c r="C618">
        <v>0</v>
      </c>
      <c r="D618">
        <v>48</v>
      </c>
      <c r="E618">
        <v>0</v>
      </c>
      <c r="F618">
        <v>0</v>
      </c>
      <c r="G618">
        <v>36</v>
      </c>
      <c r="H618" t="s">
        <v>11</v>
      </c>
      <c r="I618">
        <v>51563</v>
      </c>
      <c r="J618">
        <v>0</v>
      </c>
      <c r="K618">
        <v>0</v>
      </c>
      <c r="L618">
        <v>0</v>
      </c>
      <c r="M618">
        <v>1</v>
      </c>
      <c r="N618">
        <f t="shared" si="18"/>
        <v>-2.2856224386267214E-2</v>
      </c>
      <c r="O618">
        <f t="shared" si="19"/>
        <v>0.54148295458728746</v>
      </c>
    </row>
    <row r="619" spans="1:15">
      <c r="A619">
        <v>3220</v>
      </c>
      <c r="B619">
        <v>29</v>
      </c>
      <c r="C619">
        <v>12</v>
      </c>
      <c r="D619">
        <v>59</v>
      </c>
      <c r="E619">
        <v>19</v>
      </c>
      <c r="F619">
        <v>1</v>
      </c>
      <c r="G619">
        <v>36</v>
      </c>
      <c r="H619" t="s">
        <v>11</v>
      </c>
      <c r="I619">
        <v>39922</v>
      </c>
      <c r="J619">
        <v>1</v>
      </c>
      <c r="K619">
        <v>0</v>
      </c>
      <c r="L619">
        <v>0</v>
      </c>
      <c r="M619">
        <v>1</v>
      </c>
      <c r="N619">
        <f t="shared" si="18"/>
        <v>-0.56145860396060154</v>
      </c>
      <c r="O619">
        <f t="shared" si="19"/>
        <v>6.2827314206715015E-2</v>
      </c>
    </row>
    <row r="620" spans="1:15">
      <c r="A620">
        <v>3225</v>
      </c>
      <c r="B620">
        <v>116</v>
      </c>
      <c r="C620">
        <v>11</v>
      </c>
      <c r="D620">
        <v>72</v>
      </c>
      <c r="E620">
        <v>3</v>
      </c>
      <c r="F620">
        <v>17</v>
      </c>
      <c r="G620">
        <v>46</v>
      </c>
      <c r="H620" t="s">
        <v>11</v>
      </c>
      <c r="I620">
        <v>42207</v>
      </c>
      <c r="J620">
        <v>1</v>
      </c>
      <c r="K620">
        <v>0</v>
      </c>
      <c r="L620">
        <v>0</v>
      </c>
      <c r="M620">
        <v>1</v>
      </c>
      <c r="N620">
        <f t="shared" si="18"/>
        <v>-0.4557368929969941</v>
      </c>
      <c r="O620">
        <f t="shared" si="19"/>
        <v>0.1232626629622053</v>
      </c>
    </row>
    <row r="621" spans="1:15">
      <c r="A621">
        <v>3231</v>
      </c>
      <c r="B621">
        <v>5</v>
      </c>
      <c r="C621">
        <v>4</v>
      </c>
      <c r="D621">
        <v>10</v>
      </c>
      <c r="E621">
        <v>2</v>
      </c>
      <c r="F621">
        <v>2</v>
      </c>
      <c r="G621">
        <v>7</v>
      </c>
      <c r="H621" t="s">
        <v>11</v>
      </c>
      <c r="I621">
        <v>37971</v>
      </c>
      <c r="J621">
        <v>1</v>
      </c>
      <c r="K621">
        <v>0</v>
      </c>
      <c r="L621">
        <v>0</v>
      </c>
      <c r="M621">
        <v>1</v>
      </c>
      <c r="N621">
        <f t="shared" si="18"/>
        <v>-0.65172690071771233</v>
      </c>
      <c r="O621">
        <f t="shared" si="19"/>
        <v>1.3386224599875032E-2</v>
      </c>
    </row>
    <row r="622" spans="1:15">
      <c r="A622">
        <v>3233</v>
      </c>
      <c r="B622">
        <v>562</v>
      </c>
      <c r="C622">
        <v>21</v>
      </c>
      <c r="D622">
        <v>464</v>
      </c>
      <c r="E622">
        <v>28</v>
      </c>
      <c r="F622">
        <v>10</v>
      </c>
      <c r="G622">
        <v>32</v>
      </c>
      <c r="H622" t="s">
        <v>11</v>
      </c>
      <c r="I622">
        <v>62745</v>
      </c>
      <c r="J622">
        <v>0</v>
      </c>
      <c r="K622">
        <v>1</v>
      </c>
      <c r="L622">
        <v>0</v>
      </c>
      <c r="M622">
        <v>1</v>
      </c>
      <c r="N622">
        <f t="shared" si="18"/>
        <v>0.49450927758093544</v>
      </c>
      <c r="O622">
        <f t="shared" si="19"/>
        <v>0.64749597190289332</v>
      </c>
    </row>
    <row r="623" spans="1:15">
      <c r="A623">
        <v>3254</v>
      </c>
      <c r="B623">
        <v>407</v>
      </c>
      <c r="C623">
        <v>70</v>
      </c>
      <c r="D623">
        <v>239</v>
      </c>
      <c r="E623">
        <v>103</v>
      </c>
      <c r="F623">
        <v>88</v>
      </c>
      <c r="G623">
        <v>53</v>
      </c>
      <c r="H623" t="s">
        <v>11</v>
      </c>
      <c r="I623">
        <v>70886</v>
      </c>
      <c r="J623">
        <v>1</v>
      </c>
      <c r="K623">
        <v>0</v>
      </c>
      <c r="L623">
        <v>0</v>
      </c>
      <c r="M623">
        <v>1</v>
      </c>
      <c r="N623">
        <f t="shared" si="18"/>
        <v>0.87117468193749037</v>
      </c>
      <c r="O623">
        <f t="shared" si="19"/>
        <v>0.77181389166930137</v>
      </c>
    </row>
    <row r="624" spans="1:15">
      <c r="A624">
        <v>3262</v>
      </c>
      <c r="B624">
        <v>995</v>
      </c>
      <c r="C624">
        <v>112</v>
      </c>
      <c r="D624">
        <v>417</v>
      </c>
      <c r="E624">
        <v>42</v>
      </c>
      <c r="F624">
        <v>48</v>
      </c>
      <c r="G624">
        <v>41</v>
      </c>
      <c r="H624" t="s">
        <v>12</v>
      </c>
      <c r="I624">
        <v>68281</v>
      </c>
      <c r="J624">
        <v>0</v>
      </c>
      <c r="K624">
        <v>0</v>
      </c>
      <c r="L624">
        <v>1</v>
      </c>
      <c r="M624">
        <v>0</v>
      </c>
      <c r="N624">
        <f t="shared" si="18"/>
        <v>0.75064730466825746</v>
      </c>
      <c r="O624">
        <f t="shared" si="19"/>
        <v>0.49714584309847004</v>
      </c>
    </row>
    <row r="625" spans="1:15">
      <c r="A625">
        <v>3265</v>
      </c>
      <c r="B625">
        <v>21</v>
      </c>
      <c r="C625">
        <v>1</v>
      </c>
      <c r="D625">
        <v>9</v>
      </c>
      <c r="E625">
        <v>7</v>
      </c>
      <c r="F625">
        <v>3</v>
      </c>
      <c r="G625">
        <v>5</v>
      </c>
      <c r="H625" t="s">
        <v>11</v>
      </c>
      <c r="I625">
        <v>35701</v>
      </c>
      <c r="J625">
        <v>0</v>
      </c>
      <c r="K625">
        <v>0</v>
      </c>
      <c r="L625">
        <v>0</v>
      </c>
      <c r="M625">
        <v>1</v>
      </c>
      <c r="N625">
        <f t="shared" si="18"/>
        <v>-0.75675459607324347</v>
      </c>
      <c r="O625">
        <f t="shared" si="19"/>
        <v>-5.2733299716207965E-2</v>
      </c>
    </row>
    <row r="626" spans="1:15">
      <c r="A626">
        <v>3267</v>
      </c>
      <c r="B626">
        <v>527</v>
      </c>
      <c r="C626">
        <v>0</v>
      </c>
      <c r="D626">
        <v>21</v>
      </c>
      <c r="E626">
        <v>0</v>
      </c>
      <c r="F626">
        <v>0</v>
      </c>
      <c r="G626">
        <v>60</v>
      </c>
      <c r="H626" t="s">
        <v>11</v>
      </c>
      <c r="I626">
        <v>57288</v>
      </c>
      <c r="J626">
        <v>0</v>
      </c>
      <c r="K626">
        <v>1</v>
      </c>
      <c r="L626">
        <v>0</v>
      </c>
      <c r="M626">
        <v>1</v>
      </c>
      <c r="N626">
        <f t="shared" si="18"/>
        <v>0.24202639936281481</v>
      </c>
      <c r="O626">
        <f t="shared" si="19"/>
        <v>0.53038227193092324</v>
      </c>
    </row>
    <row r="627" spans="1:15">
      <c r="A627">
        <v>3270</v>
      </c>
      <c r="B627">
        <v>12</v>
      </c>
      <c r="C627">
        <v>23</v>
      </c>
      <c r="D627">
        <v>38</v>
      </c>
      <c r="E627">
        <v>30</v>
      </c>
      <c r="F627">
        <v>18</v>
      </c>
      <c r="G627">
        <v>7</v>
      </c>
      <c r="H627" t="s">
        <v>11</v>
      </c>
      <c r="I627">
        <v>17117</v>
      </c>
      <c r="J627">
        <v>1</v>
      </c>
      <c r="K627">
        <v>0</v>
      </c>
      <c r="L627">
        <v>0</v>
      </c>
      <c r="M627">
        <v>1</v>
      </c>
      <c r="N627">
        <f t="shared" si="18"/>
        <v>-1.616593666772447</v>
      </c>
      <c r="O627">
        <f t="shared" si="19"/>
        <v>-0.36230204767488894</v>
      </c>
    </row>
    <row r="628" spans="1:15">
      <c r="A628">
        <v>3276</v>
      </c>
      <c r="B628">
        <v>11</v>
      </c>
      <c r="C628">
        <v>12</v>
      </c>
      <c r="D628">
        <v>35</v>
      </c>
      <c r="E628">
        <v>3</v>
      </c>
      <c r="F628">
        <v>5</v>
      </c>
      <c r="G628">
        <v>12</v>
      </c>
      <c r="H628" t="s">
        <v>11</v>
      </c>
      <c r="I628">
        <v>36301</v>
      </c>
      <c r="J628">
        <v>1</v>
      </c>
      <c r="K628">
        <v>0</v>
      </c>
      <c r="L628">
        <v>0</v>
      </c>
      <c r="M628">
        <v>1</v>
      </c>
      <c r="N628">
        <f t="shared" si="18"/>
        <v>-0.72899397175019565</v>
      </c>
      <c r="O628">
        <f t="shared" si="19"/>
        <v>-2.7115373679593883E-2</v>
      </c>
    </row>
    <row r="629" spans="1:15">
      <c r="A629">
        <v>3277</v>
      </c>
      <c r="B629">
        <v>219</v>
      </c>
      <c r="C629">
        <v>3</v>
      </c>
      <c r="D629">
        <v>100</v>
      </c>
      <c r="E629">
        <v>26</v>
      </c>
      <c r="F629">
        <v>0</v>
      </c>
      <c r="G629">
        <v>17</v>
      </c>
      <c r="H629" t="s">
        <v>12</v>
      </c>
      <c r="I629">
        <v>49431</v>
      </c>
      <c r="J629">
        <v>0</v>
      </c>
      <c r="K629">
        <v>1</v>
      </c>
      <c r="L629">
        <v>1</v>
      </c>
      <c r="M629">
        <v>0</v>
      </c>
      <c r="N629">
        <f t="shared" si="18"/>
        <v>-0.12149897614749741</v>
      </c>
      <c r="O629">
        <f t="shared" si="19"/>
        <v>-7.0884877423037312E-2</v>
      </c>
    </row>
    <row r="630" spans="1:15">
      <c r="A630">
        <v>3281</v>
      </c>
      <c r="B630">
        <v>206</v>
      </c>
      <c r="C630">
        <v>10</v>
      </c>
      <c r="D630">
        <v>67</v>
      </c>
      <c r="E630">
        <v>30</v>
      </c>
      <c r="F630">
        <v>27</v>
      </c>
      <c r="G630">
        <v>71</v>
      </c>
      <c r="H630" t="s">
        <v>11</v>
      </c>
      <c r="I630">
        <v>49154</v>
      </c>
      <c r="J630">
        <v>1</v>
      </c>
      <c r="K630">
        <v>1</v>
      </c>
      <c r="L630">
        <v>0</v>
      </c>
      <c r="M630">
        <v>1</v>
      </c>
      <c r="N630">
        <f t="shared" si="18"/>
        <v>-0.13431513104330453</v>
      </c>
      <c r="O630">
        <f t="shared" si="19"/>
        <v>0.25864031706641338</v>
      </c>
    </row>
    <row r="631" spans="1:15">
      <c r="A631">
        <v>3283</v>
      </c>
      <c r="B631">
        <v>200</v>
      </c>
      <c r="C631">
        <v>193</v>
      </c>
      <c r="D631">
        <v>100</v>
      </c>
      <c r="E631">
        <v>46</v>
      </c>
      <c r="F631">
        <v>185</v>
      </c>
      <c r="G631">
        <v>185</v>
      </c>
      <c r="H631" t="s">
        <v>11</v>
      </c>
      <c r="I631">
        <v>70932</v>
      </c>
      <c r="J631">
        <v>0</v>
      </c>
      <c r="K631">
        <v>1</v>
      </c>
      <c r="L631">
        <v>0</v>
      </c>
      <c r="M631">
        <v>1</v>
      </c>
      <c r="N631">
        <f t="shared" si="18"/>
        <v>0.87330299646892406</v>
      </c>
      <c r="O631">
        <f t="shared" si="19"/>
        <v>0.77235547713863084</v>
      </c>
    </row>
    <row r="632" spans="1:15">
      <c r="A632">
        <v>3286</v>
      </c>
      <c r="B632">
        <v>13</v>
      </c>
      <c r="C632">
        <v>2</v>
      </c>
      <c r="D632">
        <v>15</v>
      </c>
      <c r="E632">
        <v>2</v>
      </c>
      <c r="F632">
        <v>2</v>
      </c>
      <c r="G632">
        <v>8</v>
      </c>
      <c r="H632" t="s">
        <v>12</v>
      </c>
      <c r="I632">
        <v>26642</v>
      </c>
      <c r="J632">
        <v>1</v>
      </c>
      <c r="K632">
        <v>0</v>
      </c>
      <c r="L632">
        <v>1</v>
      </c>
      <c r="M632">
        <v>0</v>
      </c>
      <c r="N632">
        <f t="shared" si="18"/>
        <v>-1.1758937556440616</v>
      </c>
      <c r="O632">
        <f t="shared" si="19"/>
        <v>-0.52945312449728699</v>
      </c>
    </row>
    <row r="633" spans="1:15">
      <c r="A633">
        <v>3298</v>
      </c>
      <c r="B633">
        <v>856</v>
      </c>
      <c r="C633">
        <v>0</v>
      </c>
      <c r="D633">
        <v>76</v>
      </c>
      <c r="E633">
        <v>12</v>
      </c>
      <c r="F633">
        <v>9</v>
      </c>
      <c r="G633">
        <v>199</v>
      </c>
      <c r="H633" t="s">
        <v>11</v>
      </c>
      <c r="I633">
        <v>52973</v>
      </c>
      <c r="J633">
        <v>0</v>
      </c>
      <c r="K633">
        <v>1</v>
      </c>
      <c r="L633">
        <v>0</v>
      </c>
      <c r="M633">
        <v>1</v>
      </c>
      <c r="N633">
        <f t="shared" si="18"/>
        <v>4.2381242772895351E-2</v>
      </c>
      <c r="O633">
        <f t="shared" si="19"/>
        <v>0.42099828222619246</v>
      </c>
    </row>
    <row r="634" spans="1:15">
      <c r="A634">
        <v>3308</v>
      </c>
      <c r="B634">
        <v>30</v>
      </c>
      <c r="C634">
        <v>9</v>
      </c>
      <c r="D634">
        <v>12</v>
      </c>
      <c r="E634">
        <v>2</v>
      </c>
      <c r="F634">
        <v>11</v>
      </c>
      <c r="G634">
        <v>30</v>
      </c>
      <c r="H634" t="s">
        <v>11</v>
      </c>
      <c r="I634">
        <v>35704</v>
      </c>
      <c r="J634">
        <v>1</v>
      </c>
      <c r="K634">
        <v>1</v>
      </c>
      <c r="L634">
        <v>0</v>
      </c>
      <c r="M634">
        <v>1</v>
      </c>
      <c r="N634">
        <f t="shared" si="18"/>
        <v>-0.75661579295162829</v>
      </c>
      <c r="O634">
        <f t="shared" si="19"/>
        <v>-3.4927308512713327E-2</v>
      </c>
    </row>
    <row r="635" spans="1:15">
      <c r="A635">
        <v>3310</v>
      </c>
      <c r="B635">
        <v>73</v>
      </c>
      <c r="C635">
        <v>3</v>
      </c>
      <c r="D635">
        <v>90</v>
      </c>
      <c r="E635">
        <v>12</v>
      </c>
      <c r="F635">
        <v>1</v>
      </c>
      <c r="G635">
        <v>32</v>
      </c>
      <c r="H635" t="s">
        <v>11</v>
      </c>
      <c r="I635">
        <v>35688</v>
      </c>
      <c r="J635">
        <v>2</v>
      </c>
      <c r="K635">
        <v>1</v>
      </c>
      <c r="L635">
        <v>0</v>
      </c>
      <c r="M635">
        <v>1</v>
      </c>
      <c r="N635">
        <f t="shared" si="18"/>
        <v>-0.75735607626690948</v>
      </c>
      <c r="O635">
        <f t="shared" si="19"/>
        <v>-2.5987373035212466E-2</v>
      </c>
    </row>
    <row r="636" spans="1:15">
      <c r="A636">
        <v>3312</v>
      </c>
      <c r="B636">
        <v>5</v>
      </c>
      <c r="C636">
        <v>7</v>
      </c>
      <c r="D636">
        <v>24</v>
      </c>
      <c r="E636">
        <v>19</v>
      </c>
      <c r="F636">
        <v>14</v>
      </c>
      <c r="G636">
        <v>20</v>
      </c>
      <c r="H636" t="s">
        <v>12</v>
      </c>
      <c r="I636">
        <v>34176</v>
      </c>
      <c r="J636">
        <v>1</v>
      </c>
      <c r="K636">
        <v>0</v>
      </c>
      <c r="L636">
        <v>1</v>
      </c>
      <c r="M636">
        <v>0</v>
      </c>
      <c r="N636">
        <f t="shared" si="18"/>
        <v>-0.82731284956099027</v>
      </c>
      <c r="O636">
        <f t="shared" si="19"/>
        <v>-0.41815302144938865</v>
      </c>
    </row>
    <row r="637" spans="1:15">
      <c r="A637">
        <v>3321</v>
      </c>
      <c r="B637">
        <v>421</v>
      </c>
      <c r="C637">
        <v>5</v>
      </c>
      <c r="D637">
        <v>90</v>
      </c>
      <c r="E637">
        <v>0</v>
      </c>
      <c r="F637">
        <v>16</v>
      </c>
      <c r="G637">
        <v>10</v>
      </c>
      <c r="H637" t="s">
        <v>11</v>
      </c>
      <c r="I637">
        <v>56575</v>
      </c>
      <c r="J637">
        <v>0</v>
      </c>
      <c r="K637">
        <v>2</v>
      </c>
      <c r="L637">
        <v>0</v>
      </c>
      <c r="M637">
        <v>1</v>
      </c>
      <c r="N637">
        <f t="shared" si="18"/>
        <v>0.2090375241255929</v>
      </c>
      <c r="O637">
        <f t="shared" si="19"/>
        <v>0.32667837212026246</v>
      </c>
    </row>
    <row r="638" spans="1:15">
      <c r="A638">
        <v>3332</v>
      </c>
      <c r="B638">
        <v>64</v>
      </c>
      <c r="C638">
        <v>4</v>
      </c>
      <c r="D638">
        <v>68</v>
      </c>
      <c r="E638">
        <v>7</v>
      </c>
      <c r="F638">
        <v>5</v>
      </c>
      <c r="G638">
        <v>17</v>
      </c>
      <c r="H638" t="s">
        <v>12</v>
      </c>
      <c r="I638">
        <v>29760</v>
      </c>
      <c r="J638">
        <v>1</v>
      </c>
      <c r="K638">
        <v>0</v>
      </c>
      <c r="L638">
        <v>1</v>
      </c>
      <c r="M638">
        <v>0</v>
      </c>
      <c r="N638">
        <f t="shared" si="18"/>
        <v>-1.0316310445786228</v>
      </c>
      <c r="O638">
        <f t="shared" si="19"/>
        <v>-0.48803870020355206</v>
      </c>
    </row>
    <row r="639" spans="1:15">
      <c r="A639">
        <v>3334</v>
      </c>
      <c r="B639">
        <v>879</v>
      </c>
      <c r="C639">
        <v>143</v>
      </c>
      <c r="D639">
        <v>797</v>
      </c>
      <c r="E639">
        <v>106</v>
      </c>
      <c r="F639">
        <v>143</v>
      </c>
      <c r="G639">
        <v>143</v>
      </c>
      <c r="H639" t="s">
        <v>11</v>
      </c>
      <c r="I639">
        <v>94642</v>
      </c>
      <c r="J639">
        <v>0</v>
      </c>
      <c r="K639">
        <v>0</v>
      </c>
      <c r="L639">
        <v>0</v>
      </c>
      <c r="M639">
        <v>1</v>
      </c>
      <c r="N639">
        <f t="shared" si="18"/>
        <v>1.9703103343013668</v>
      </c>
      <c r="O639">
        <f t="shared" si="19"/>
        <v>0.99214828738723981</v>
      </c>
    </row>
    <row r="640" spans="1:15">
      <c r="A640">
        <v>3336</v>
      </c>
      <c r="B640">
        <v>712</v>
      </c>
      <c r="C640">
        <v>0</v>
      </c>
      <c r="D640">
        <v>45</v>
      </c>
      <c r="E640">
        <v>0</v>
      </c>
      <c r="F640">
        <v>0</v>
      </c>
      <c r="G640">
        <v>191</v>
      </c>
      <c r="H640" t="s">
        <v>11</v>
      </c>
      <c r="I640">
        <v>66375</v>
      </c>
      <c r="J640">
        <v>0</v>
      </c>
      <c r="K640">
        <v>1</v>
      </c>
      <c r="L640">
        <v>0</v>
      </c>
      <c r="M640">
        <v>1</v>
      </c>
      <c r="N640">
        <f t="shared" si="18"/>
        <v>0.6624610547353752</v>
      </c>
      <c r="O640">
        <f t="shared" si="19"/>
        <v>0.71022644841506444</v>
      </c>
    </row>
    <row r="641" spans="1:15">
      <c r="A641">
        <v>3340</v>
      </c>
      <c r="B641">
        <v>244</v>
      </c>
      <c r="C641">
        <v>15</v>
      </c>
      <c r="D641">
        <v>108</v>
      </c>
      <c r="E641">
        <v>4</v>
      </c>
      <c r="F641">
        <v>15</v>
      </c>
      <c r="G641">
        <v>50</v>
      </c>
      <c r="H641" t="s">
        <v>11</v>
      </c>
      <c r="I641">
        <v>42014</v>
      </c>
      <c r="J641">
        <v>1</v>
      </c>
      <c r="K641">
        <v>0</v>
      </c>
      <c r="L641">
        <v>0</v>
      </c>
      <c r="M641">
        <v>1</v>
      </c>
      <c r="N641">
        <f t="shared" si="18"/>
        <v>-0.46466656048757454</v>
      </c>
      <c r="O641">
        <f t="shared" si="19"/>
        <v>0.11806620126118174</v>
      </c>
    </row>
    <row r="642" spans="1:15">
      <c r="A642">
        <v>3376</v>
      </c>
      <c r="B642">
        <v>125</v>
      </c>
      <c r="C642">
        <v>6</v>
      </c>
      <c r="D642">
        <v>73</v>
      </c>
      <c r="E642">
        <v>8</v>
      </c>
      <c r="F642">
        <v>4</v>
      </c>
      <c r="G642">
        <v>19</v>
      </c>
      <c r="H642" t="s">
        <v>12</v>
      </c>
      <c r="I642">
        <v>55282</v>
      </c>
      <c r="J642">
        <v>1</v>
      </c>
      <c r="K642">
        <v>0</v>
      </c>
      <c r="L642">
        <v>1</v>
      </c>
      <c r="M642">
        <v>0</v>
      </c>
      <c r="N642">
        <f t="shared" si="18"/>
        <v>0.14921337870942469</v>
      </c>
      <c r="O642">
        <f t="shared" si="19"/>
        <v>8.689236570228609E-2</v>
      </c>
    </row>
    <row r="643" spans="1:15">
      <c r="A643">
        <v>3381</v>
      </c>
      <c r="B643">
        <v>70</v>
      </c>
      <c r="C643">
        <v>0</v>
      </c>
      <c r="D643">
        <v>16</v>
      </c>
      <c r="E643">
        <v>0</v>
      </c>
      <c r="F643">
        <v>0</v>
      </c>
      <c r="G643">
        <v>4</v>
      </c>
      <c r="H643" t="s">
        <v>11</v>
      </c>
      <c r="I643">
        <v>54348</v>
      </c>
      <c r="J643">
        <v>1</v>
      </c>
      <c r="K643">
        <v>1</v>
      </c>
      <c r="L643">
        <v>0</v>
      </c>
      <c r="M643">
        <v>1</v>
      </c>
      <c r="N643">
        <f t="shared" ref="N643:N706" si="20">STANDARDIZE(I643,$Q$1,$R$1)</f>
        <v>0.10599934017988012</v>
      </c>
      <c r="O643">
        <f t="shared" ref="O643:O706" si="21">SUMPRODUCT(J643:N643,$Q$4:$U$4) / SQRT(SUMSQ(J643:N643) * SUMSQ($Q$4:$U$4))</f>
        <v>0.37361574009779469</v>
      </c>
    </row>
    <row r="644" spans="1:15">
      <c r="A644">
        <v>3386</v>
      </c>
      <c r="B644">
        <v>34</v>
      </c>
      <c r="C644">
        <v>4</v>
      </c>
      <c r="D644">
        <v>66</v>
      </c>
      <c r="E644">
        <v>3</v>
      </c>
      <c r="F644">
        <v>10</v>
      </c>
      <c r="G644">
        <v>20</v>
      </c>
      <c r="H644" t="s">
        <v>11</v>
      </c>
      <c r="I644">
        <v>34935</v>
      </c>
      <c r="J644">
        <v>0</v>
      </c>
      <c r="K644">
        <v>0</v>
      </c>
      <c r="L644">
        <v>0</v>
      </c>
      <c r="M644">
        <v>1</v>
      </c>
      <c r="N644">
        <f t="shared" si="20"/>
        <v>-0.79219565979233464</v>
      </c>
      <c r="O644">
        <f t="shared" si="21"/>
        <v>-7.4841721247364157E-2</v>
      </c>
    </row>
    <row r="645" spans="1:15">
      <c r="A645">
        <v>3388</v>
      </c>
      <c r="B645">
        <v>129</v>
      </c>
      <c r="C645">
        <v>26</v>
      </c>
      <c r="D645">
        <v>67</v>
      </c>
      <c r="E645">
        <v>3</v>
      </c>
      <c r="F645">
        <v>67</v>
      </c>
      <c r="G645">
        <v>2</v>
      </c>
      <c r="H645" t="s">
        <v>12</v>
      </c>
      <c r="I645">
        <v>70844</v>
      </c>
      <c r="J645">
        <v>1</v>
      </c>
      <c r="K645">
        <v>1</v>
      </c>
      <c r="L645">
        <v>1</v>
      </c>
      <c r="M645">
        <v>0</v>
      </c>
      <c r="N645">
        <f t="shared" si="20"/>
        <v>0.86923143823487703</v>
      </c>
      <c r="O645">
        <f t="shared" si="21"/>
        <v>0.37144176368839116</v>
      </c>
    </row>
    <row r="646" spans="1:15">
      <c r="A646">
        <v>3389</v>
      </c>
      <c r="B646">
        <v>726</v>
      </c>
      <c r="C646">
        <v>53</v>
      </c>
      <c r="D646">
        <v>363</v>
      </c>
      <c r="E646">
        <v>123</v>
      </c>
      <c r="F646">
        <v>107</v>
      </c>
      <c r="G646">
        <v>161</v>
      </c>
      <c r="H646" t="s">
        <v>11</v>
      </c>
      <c r="I646">
        <v>69016</v>
      </c>
      <c r="J646">
        <v>0</v>
      </c>
      <c r="K646">
        <v>1</v>
      </c>
      <c r="L646">
        <v>0</v>
      </c>
      <c r="M646">
        <v>1</v>
      </c>
      <c r="N646">
        <f t="shared" si="20"/>
        <v>0.78465406946399108</v>
      </c>
      <c r="O646">
        <f t="shared" si="21"/>
        <v>0.74836696338488684</v>
      </c>
    </row>
    <row r="647" spans="1:15">
      <c r="A647">
        <v>3403</v>
      </c>
      <c r="B647">
        <v>1170</v>
      </c>
      <c r="C647">
        <v>19</v>
      </c>
      <c r="D647">
        <v>594</v>
      </c>
      <c r="E647">
        <v>99</v>
      </c>
      <c r="F647">
        <v>76</v>
      </c>
      <c r="G647">
        <v>134</v>
      </c>
      <c r="H647" t="s">
        <v>11</v>
      </c>
      <c r="I647">
        <v>78952</v>
      </c>
      <c r="J647">
        <v>0</v>
      </c>
      <c r="K647">
        <v>1</v>
      </c>
      <c r="L647">
        <v>0</v>
      </c>
      <c r="M647">
        <v>1</v>
      </c>
      <c r="N647">
        <f t="shared" si="20"/>
        <v>1.2443700082536644</v>
      </c>
      <c r="O647">
        <f t="shared" si="21"/>
        <v>0.84461929359932431</v>
      </c>
    </row>
    <row r="648" spans="1:15">
      <c r="A648">
        <v>3406</v>
      </c>
      <c r="B648">
        <v>138</v>
      </c>
      <c r="C648">
        <v>33</v>
      </c>
      <c r="D648">
        <v>87</v>
      </c>
      <c r="E648">
        <v>28</v>
      </c>
      <c r="F648">
        <v>24</v>
      </c>
      <c r="G648">
        <v>12</v>
      </c>
      <c r="H648" t="s">
        <v>12</v>
      </c>
      <c r="I648">
        <v>45989</v>
      </c>
      <c r="J648">
        <v>0</v>
      </c>
      <c r="K648">
        <v>1</v>
      </c>
      <c r="L648">
        <v>1</v>
      </c>
      <c r="M648">
        <v>0</v>
      </c>
      <c r="N648">
        <f t="shared" si="20"/>
        <v>-0.28075242434738218</v>
      </c>
      <c r="O648">
        <f t="shared" si="21"/>
        <v>-0.16125296956276464</v>
      </c>
    </row>
    <row r="649" spans="1:15">
      <c r="A649">
        <v>3409</v>
      </c>
      <c r="B649">
        <v>141</v>
      </c>
      <c r="C649">
        <v>8</v>
      </c>
      <c r="D649">
        <v>129</v>
      </c>
      <c r="E649">
        <v>3</v>
      </c>
      <c r="F649">
        <v>11</v>
      </c>
      <c r="G649">
        <v>47</v>
      </c>
      <c r="H649" t="s">
        <v>12</v>
      </c>
      <c r="I649">
        <v>36108</v>
      </c>
      <c r="J649">
        <v>1</v>
      </c>
      <c r="K649">
        <v>0</v>
      </c>
      <c r="L649">
        <v>1</v>
      </c>
      <c r="M649">
        <v>0</v>
      </c>
      <c r="N649">
        <f t="shared" si="20"/>
        <v>-0.73792363924077597</v>
      </c>
      <c r="O649">
        <f t="shared" si="21"/>
        <v>-0.38308961122946505</v>
      </c>
    </row>
    <row r="650" spans="1:15">
      <c r="A650">
        <v>3412</v>
      </c>
      <c r="B650">
        <v>815</v>
      </c>
      <c r="C650">
        <v>8</v>
      </c>
      <c r="D650">
        <v>53</v>
      </c>
      <c r="E650">
        <v>11</v>
      </c>
      <c r="F650">
        <v>0</v>
      </c>
      <c r="G650">
        <v>70</v>
      </c>
      <c r="H650" t="s">
        <v>11</v>
      </c>
      <c r="I650">
        <v>67381</v>
      </c>
      <c r="J650">
        <v>0</v>
      </c>
      <c r="K650">
        <v>1</v>
      </c>
      <c r="L650">
        <v>0</v>
      </c>
      <c r="M650">
        <v>1</v>
      </c>
      <c r="N650">
        <f t="shared" si="20"/>
        <v>0.70900636818368556</v>
      </c>
      <c r="O650">
        <f t="shared" si="21"/>
        <v>0.7254751086052269</v>
      </c>
    </row>
    <row r="651" spans="1:15">
      <c r="A651">
        <v>3421</v>
      </c>
      <c r="B651">
        <v>635</v>
      </c>
      <c r="C651">
        <v>15</v>
      </c>
      <c r="D651">
        <v>100</v>
      </c>
      <c r="E651">
        <v>20</v>
      </c>
      <c r="F651">
        <v>7</v>
      </c>
      <c r="G651">
        <v>131</v>
      </c>
      <c r="H651" t="s">
        <v>12</v>
      </c>
      <c r="I651">
        <v>63841</v>
      </c>
      <c r="J651">
        <v>0</v>
      </c>
      <c r="K651">
        <v>1</v>
      </c>
      <c r="L651">
        <v>1</v>
      </c>
      <c r="M651">
        <v>0</v>
      </c>
      <c r="N651">
        <f t="shared" si="20"/>
        <v>0.54521868467770296</v>
      </c>
      <c r="O651">
        <f t="shared" si="21"/>
        <v>0.29789154906937021</v>
      </c>
    </row>
    <row r="652" spans="1:15">
      <c r="A652">
        <v>3422</v>
      </c>
      <c r="B652">
        <v>1115</v>
      </c>
      <c r="C652">
        <v>12</v>
      </c>
      <c r="D652">
        <v>128</v>
      </c>
      <c r="E652">
        <v>33</v>
      </c>
      <c r="F652">
        <v>12</v>
      </c>
      <c r="G652">
        <v>76</v>
      </c>
      <c r="H652" t="s">
        <v>11</v>
      </c>
      <c r="I652">
        <v>76068</v>
      </c>
      <c r="J652">
        <v>0</v>
      </c>
      <c r="K652">
        <v>1</v>
      </c>
      <c r="L652">
        <v>0</v>
      </c>
      <c r="M652">
        <v>1</v>
      </c>
      <c r="N652">
        <f t="shared" si="20"/>
        <v>1.110933940674214</v>
      </c>
      <c r="O652">
        <f t="shared" si="21"/>
        <v>0.82326146121744581</v>
      </c>
    </row>
    <row r="653" spans="1:15">
      <c r="A653">
        <v>3426</v>
      </c>
      <c r="B653">
        <v>1045</v>
      </c>
      <c r="C653">
        <v>61</v>
      </c>
      <c r="D653">
        <v>338</v>
      </c>
      <c r="E653">
        <v>60</v>
      </c>
      <c r="F653">
        <v>46</v>
      </c>
      <c r="G653">
        <v>46</v>
      </c>
      <c r="H653" t="s">
        <v>12</v>
      </c>
      <c r="I653">
        <v>70300</v>
      </c>
      <c r="J653">
        <v>1</v>
      </c>
      <c r="K653">
        <v>0</v>
      </c>
      <c r="L653">
        <v>1</v>
      </c>
      <c r="M653">
        <v>0</v>
      </c>
      <c r="N653">
        <f t="shared" si="20"/>
        <v>0.84406180551531362</v>
      </c>
      <c r="O653">
        <f t="shared" si="21"/>
        <v>0.42441136207708258</v>
      </c>
    </row>
    <row r="654" spans="1:15">
      <c r="A654">
        <v>3427</v>
      </c>
      <c r="B654">
        <v>629</v>
      </c>
      <c r="C654">
        <v>0</v>
      </c>
      <c r="D654">
        <v>70</v>
      </c>
      <c r="E654">
        <v>0</v>
      </c>
      <c r="F654">
        <v>0</v>
      </c>
      <c r="G654">
        <v>35</v>
      </c>
      <c r="H654" t="s">
        <v>11</v>
      </c>
      <c r="I654">
        <v>59821</v>
      </c>
      <c r="J654">
        <v>0</v>
      </c>
      <c r="K654">
        <v>1</v>
      </c>
      <c r="L654">
        <v>0</v>
      </c>
      <c r="M654">
        <v>1</v>
      </c>
      <c r="N654">
        <f t="shared" si="20"/>
        <v>0.35922250171328202</v>
      </c>
      <c r="O654">
        <f t="shared" si="21"/>
        <v>0.5880456431653498</v>
      </c>
    </row>
    <row r="655" spans="1:15">
      <c r="A655">
        <v>3428</v>
      </c>
      <c r="B655">
        <v>919</v>
      </c>
      <c r="C655">
        <v>0</v>
      </c>
      <c r="D655">
        <v>505</v>
      </c>
      <c r="E655">
        <v>99</v>
      </c>
      <c r="F655">
        <v>30</v>
      </c>
      <c r="G655">
        <v>45</v>
      </c>
      <c r="H655" t="s">
        <v>11</v>
      </c>
      <c r="I655">
        <v>68682</v>
      </c>
      <c r="J655">
        <v>0</v>
      </c>
      <c r="K655">
        <v>0</v>
      </c>
      <c r="L655">
        <v>0</v>
      </c>
      <c r="M655">
        <v>1</v>
      </c>
      <c r="N655">
        <f t="shared" si="20"/>
        <v>0.76920065525749437</v>
      </c>
      <c r="O655">
        <f t="shared" si="21"/>
        <v>0.94921423381681169</v>
      </c>
    </row>
    <row r="656" spans="1:15">
      <c r="A656">
        <v>3433</v>
      </c>
      <c r="B656">
        <v>390</v>
      </c>
      <c r="C656">
        <v>22</v>
      </c>
      <c r="D656">
        <v>323</v>
      </c>
      <c r="E656">
        <v>104</v>
      </c>
      <c r="F656">
        <v>35</v>
      </c>
      <c r="G656">
        <v>107</v>
      </c>
      <c r="H656" t="s">
        <v>11</v>
      </c>
      <c r="I656">
        <v>72635</v>
      </c>
      <c r="J656">
        <v>0</v>
      </c>
      <c r="K656">
        <v>0</v>
      </c>
      <c r="L656">
        <v>0</v>
      </c>
      <c r="M656">
        <v>1</v>
      </c>
      <c r="N656">
        <f t="shared" si="20"/>
        <v>0.95209690183917495</v>
      </c>
      <c r="O656">
        <f t="shared" si="21"/>
        <v>0.97700193334727214</v>
      </c>
    </row>
    <row r="657" spans="1:15">
      <c r="A657">
        <v>3434</v>
      </c>
      <c r="B657">
        <v>483</v>
      </c>
      <c r="C657">
        <v>72</v>
      </c>
      <c r="D657">
        <v>567</v>
      </c>
      <c r="E657">
        <v>94</v>
      </c>
      <c r="F657">
        <v>12</v>
      </c>
      <c r="G657">
        <v>108</v>
      </c>
      <c r="H657" t="s">
        <v>12</v>
      </c>
      <c r="I657">
        <v>80872</v>
      </c>
      <c r="J657">
        <v>0</v>
      </c>
      <c r="K657">
        <v>0</v>
      </c>
      <c r="L657">
        <v>1</v>
      </c>
      <c r="M657">
        <v>0</v>
      </c>
      <c r="N657">
        <f t="shared" si="20"/>
        <v>1.3332040060874175</v>
      </c>
      <c r="O657">
        <f t="shared" si="21"/>
        <v>0.66247221889917984</v>
      </c>
    </row>
    <row r="658" spans="1:15">
      <c r="A658">
        <v>3436</v>
      </c>
      <c r="B658">
        <v>11</v>
      </c>
      <c r="C658">
        <v>0</v>
      </c>
      <c r="D658">
        <v>5</v>
      </c>
      <c r="E658">
        <v>2</v>
      </c>
      <c r="F658">
        <v>1</v>
      </c>
      <c r="G658">
        <v>1</v>
      </c>
      <c r="H658" t="s">
        <v>11</v>
      </c>
      <c r="I658">
        <v>14045</v>
      </c>
      <c r="J658">
        <v>1</v>
      </c>
      <c r="K658">
        <v>0</v>
      </c>
      <c r="L658">
        <v>0</v>
      </c>
      <c r="M658">
        <v>1</v>
      </c>
      <c r="N658">
        <f t="shared" si="20"/>
        <v>-1.7587280633064524</v>
      </c>
      <c r="O658">
        <f t="shared" si="21"/>
        <v>-0.39697196632431558</v>
      </c>
    </row>
    <row r="659" spans="1:15">
      <c r="A659">
        <v>3439</v>
      </c>
      <c r="B659">
        <v>157</v>
      </c>
      <c r="C659">
        <v>6</v>
      </c>
      <c r="D659">
        <v>39</v>
      </c>
      <c r="E659">
        <v>6</v>
      </c>
      <c r="F659">
        <v>13</v>
      </c>
      <c r="G659">
        <v>75</v>
      </c>
      <c r="H659" t="s">
        <v>11</v>
      </c>
      <c r="I659">
        <v>56721</v>
      </c>
      <c r="J659">
        <v>1</v>
      </c>
      <c r="K659">
        <v>1</v>
      </c>
      <c r="L659">
        <v>0</v>
      </c>
      <c r="M659">
        <v>1</v>
      </c>
      <c r="N659">
        <f t="shared" si="20"/>
        <v>0.21579260937753456</v>
      </c>
      <c r="O659">
        <f t="shared" si="21"/>
        <v>0.42353410409969477</v>
      </c>
    </row>
    <row r="660" spans="1:15">
      <c r="A660">
        <v>3445</v>
      </c>
      <c r="B660">
        <v>216</v>
      </c>
      <c r="C660">
        <v>162</v>
      </c>
      <c r="D660">
        <v>224</v>
      </c>
      <c r="E660">
        <v>101</v>
      </c>
      <c r="F660">
        <v>92</v>
      </c>
      <c r="G660">
        <v>162</v>
      </c>
      <c r="H660" t="s">
        <v>12</v>
      </c>
      <c r="I660">
        <v>60714</v>
      </c>
      <c r="J660">
        <v>0</v>
      </c>
      <c r="K660">
        <v>0</v>
      </c>
      <c r="L660">
        <v>1</v>
      </c>
      <c r="M660">
        <v>0</v>
      </c>
      <c r="N660">
        <f t="shared" si="20"/>
        <v>0.40053956424741832</v>
      </c>
      <c r="O660">
        <f t="shared" si="21"/>
        <v>0.30791328974330001</v>
      </c>
    </row>
    <row r="661" spans="1:15">
      <c r="A661">
        <v>3463</v>
      </c>
      <c r="B661">
        <v>674</v>
      </c>
      <c r="C661">
        <v>62</v>
      </c>
      <c r="D661">
        <v>134</v>
      </c>
      <c r="E661">
        <v>0</v>
      </c>
      <c r="F661">
        <v>26</v>
      </c>
      <c r="G661">
        <v>8</v>
      </c>
      <c r="H661" t="s">
        <v>11</v>
      </c>
      <c r="I661">
        <v>69283</v>
      </c>
      <c r="J661">
        <v>0</v>
      </c>
      <c r="K661">
        <v>1</v>
      </c>
      <c r="L661">
        <v>0</v>
      </c>
      <c r="M661">
        <v>1</v>
      </c>
      <c r="N661">
        <f t="shared" si="20"/>
        <v>0.79700754728774736</v>
      </c>
      <c r="O661">
        <f t="shared" si="21"/>
        <v>0.7518893230194873</v>
      </c>
    </row>
    <row r="662" spans="1:15">
      <c r="A662">
        <v>3469</v>
      </c>
      <c r="B662">
        <v>19</v>
      </c>
      <c r="C662">
        <v>18</v>
      </c>
      <c r="D662">
        <v>33</v>
      </c>
      <c r="E662">
        <v>24</v>
      </c>
      <c r="F662">
        <v>1</v>
      </c>
      <c r="G662">
        <v>8</v>
      </c>
      <c r="H662" t="s">
        <v>12</v>
      </c>
      <c r="I662">
        <v>34487</v>
      </c>
      <c r="J662">
        <v>1</v>
      </c>
      <c r="K662">
        <v>1</v>
      </c>
      <c r="L662">
        <v>1</v>
      </c>
      <c r="M662">
        <v>0</v>
      </c>
      <c r="N662">
        <f t="shared" si="20"/>
        <v>-0.81292359262021041</v>
      </c>
      <c r="O662">
        <f t="shared" si="21"/>
        <v>-0.3518454353801993</v>
      </c>
    </row>
    <row r="663" spans="1:15">
      <c r="A663">
        <v>3478</v>
      </c>
      <c r="B663">
        <v>267</v>
      </c>
      <c r="C663">
        <v>42</v>
      </c>
      <c r="D663">
        <v>309</v>
      </c>
      <c r="E663">
        <v>55</v>
      </c>
      <c r="F663">
        <v>42</v>
      </c>
      <c r="G663">
        <v>21</v>
      </c>
      <c r="H663" t="s">
        <v>11</v>
      </c>
      <c r="I663">
        <v>60585</v>
      </c>
      <c r="J663">
        <v>1</v>
      </c>
      <c r="K663">
        <v>1</v>
      </c>
      <c r="L663">
        <v>0</v>
      </c>
      <c r="M663">
        <v>1</v>
      </c>
      <c r="N663">
        <f t="shared" si="20"/>
        <v>0.39457103001796301</v>
      </c>
      <c r="O663">
        <f t="shared" si="21"/>
        <v>0.49948847920118583</v>
      </c>
    </row>
    <row r="664" spans="1:15">
      <c r="A664">
        <v>3479</v>
      </c>
      <c r="B664">
        <v>4</v>
      </c>
      <c r="C664">
        <v>8</v>
      </c>
      <c r="D664">
        <v>11</v>
      </c>
      <c r="E664">
        <v>12</v>
      </c>
      <c r="F664">
        <v>2</v>
      </c>
      <c r="G664">
        <v>13</v>
      </c>
      <c r="H664" t="s">
        <v>12</v>
      </c>
      <c r="I664">
        <v>16813</v>
      </c>
      <c r="J664">
        <v>0</v>
      </c>
      <c r="K664">
        <v>0</v>
      </c>
      <c r="L664">
        <v>1</v>
      </c>
      <c r="M664">
        <v>0</v>
      </c>
      <c r="N664">
        <f t="shared" si="20"/>
        <v>-1.6306590497627913</v>
      </c>
      <c r="O664">
        <f t="shared" si="21"/>
        <v>-0.70594669002326293</v>
      </c>
    </row>
    <row r="665" spans="1:15">
      <c r="A665">
        <v>3483</v>
      </c>
      <c r="B665">
        <v>1039</v>
      </c>
      <c r="C665">
        <v>43</v>
      </c>
      <c r="D665">
        <v>204</v>
      </c>
      <c r="E665">
        <v>153</v>
      </c>
      <c r="F665">
        <v>58</v>
      </c>
      <c r="G665">
        <v>29</v>
      </c>
      <c r="H665" t="s">
        <v>11</v>
      </c>
      <c r="I665">
        <v>48192</v>
      </c>
      <c r="J665">
        <v>0</v>
      </c>
      <c r="K665">
        <v>0</v>
      </c>
      <c r="L665">
        <v>0</v>
      </c>
      <c r="M665">
        <v>1</v>
      </c>
      <c r="N665">
        <f t="shared" si="20"/>
        <v>-0.17882466537459132</v>
      </c>
      <c r="O665">
        <f t="shared" si="21"/>
        <v>0.4060230451935114</v>
      </c>
    </row>
    <row r="666" spans="1:15">
      <c r="A666">
        <v>3491</v>
      </c>
      <c r="B666">
        <v>384</v>
      </c>
      <c r="C666">
        <v>60</v>
      </c>
      <c r="D666">
        <v>364</v>
      </c>
      <c r="E666">
        <v>119</v>
      </c>
      <c r="F666">
        <v>101</v>
      </c>
      <c r="G666">
        <v>232</v>
      </c>
      <c r="H666" t="s">
        <v>11</v>
      </c>
      <c r="I666">
        <v>55914</v>
      </c>
      <c r="J666">
        <v>0</v>
      </c>
      <c r="K666">
        <v>1</v>
      </c>
      <c r="L666">
        <v>0</v>
      </c>
      <c r="M666">
        <v>1</v>
      </c>
      <c r="N666">
        <f t="shared" si="20"/>
        <v>0.17845456966303513</v>
      </c>
      <c r="O666">
        <f t="shared" si="21"/>
        <v>0.49692690376512033</v>
      </c>
    </row>
    <row r="667" spans="1:15">
      <c r="A667">
        <v>3498</v>
      </c>
      <c r="B667">
        <v>462</v>
      </c>
      <c r="C667">
        <v>61</v>
      </c>
      <c r="D667">
        <v>184</v>
      </c>
      <c r="E667">
        <v>10</v>
      </c>
      <c r="F667">
        <v>53</v>
      </c>
      <c r="G667">
        <v>107</v>
      </c>
      <c r="H667" t="s">
        <v>11</v>
      </c>
      <c r="I667">
        <v>55424</v>
      </c>
      <c r="J667">
        <v>0</v>
      </c>
      <c r="K667">
        <v>1</v>
      </c>
      <c r="L667">
        <v>0</v>
      </c>
      <c r="M667">
        <v>1</v>
      </c>
      <c r="N667">
        <f t="shared" si="20"/>
        <v>0.15578339313254602</v>
      </c>
      <c r="O667">
        <f t="shared" si="21"/>
        <v>0.48466041062301496</v>
      </c>
    </row>
    <row r="668" spans="1:15">
      <c r="A668">
        <v>3503</v>
      </c>
      <c r="B668">
        <v>255</v>
      </c>
      <c r="C668">
        <v>47</v>
      </c>
      <c r="D668">
        <v>573</v>
      </c>
      <c r="E668">
        <v>52</v>
      </c>
      <c r="F668">
        <v>32</v>
      </c>
      <c r="G668">
        <v>15</v>
      </c>
      <c r="H668" t="s">
        <v>12</v>
      </c>
      <c r="I668">
        <v>82460</v>
      </c>
      <c r="J668">
        <v>0</v>
      </c>
      <c r="K668">
        <v>0</v>
      </c>
      <c r="L668">
        <v>1</v>
      </c>
      <c r="M668">
        <v>0</v>
      </c>
      <c r="N668">
        <f t="shared" si="20"/>
        <v>1.4066771251290844</v>
      </c>
      <c r="O668">
        <f t="shared" si="21"/>
        <v>0.67494896810166238</v>
      </c>
    </row>
    <row r="669" spans="1:15">
      <c r="A669">
        <v>3507</v>
      </c>
      <c r="B669">
        <v>676</v>
      </c>
      <c r="C669">
        <v>161</v>
      </c>
      <c r="D669">
        <v>426</v>
      </c>
      <c r="E669">
        <v>210</v>
      </c>
      <c r="F669">
        <v>44</v>
      </c>
      <c r="G669">
        <v>58</v>
      </c>
      <c r="H669" t="s">
        <v>12</v>
      </c>
      <c r="I669">
        <v>76467</v>
      </c>
      <c r="J669">
        <v>1</v>
      </c>
      <c r="K669">
        <v>0</v>
      </c>
      <c r="L669">
        <v>1</v>
      </c>
      <c r="M669">
        <v>0</v>
      </c>
      <c r="N669">
        <f t="shared" si="20"/>
        <v>1.1293947558490409</v>
      </c>
      <c r="O669">
        <f t="shared" si="21"/>
        <v>0.51677043543199708</v>
      </c>
    </row>
    <row r="670" spans="1:15">
      <c r="A670">
        <v>3515</v>
      </c>
      <c r="B670">
        <v>87</v>
      </c>
      <c r="C670">
        <v>13</v>
      </c>
      <c r="D670">
        <v>34</v>
      </c>
      <c r="E670">
        <v>10</v>
      </c>
      <c r="F670">
        <v>6</v>
      </c>
      <c r="G670">
        <v>10</v>
      </c>
      <c r="H670" t="s">
        <v>12</v>
      </c>
      <c r="I670">
        <v>62307</v>
      </c>
      <c r="J670">
        <v>0</v>
      </c>
      <c r="K670">
        <v>1</v>
      </c>
      <c r="L670">
        <v>1</v>
      </c>
      <c r="M670">
        <v>0</v>
      </c>
      <c r="N670">
        <f t="shared" si="20"/>
        <v>0.4742440218251105</v>
      </c>
      <c r="O670">
        <f t="shared" si="21"/>
        <v>0.26329265609928204</v>
      </c>
    </row>
    <row r="671" spans="1:15">
      <c r="A671">
        <v>3517</v>
      </c>
      <c r="B671">
        <v>50</v>
      </c>
      <c r="C671">
        <v>4</v>
      </c>
      <c r="D671">
        <v>44</v>
      </c>
      <c r="E671">
        <v>10</v>
      </c>
      <c r="F671">
        <v>10</v>
      </c>
      <c r="G671">
        <v>43</v>
      </c>
      <c r="H671" t="s">
        <v>12</v>
      </c>
      <c r="I671">
        <v>40887</v>
      </c>
      <c r="J671">
        <v>1</v>
      </c>
      <c r="K671">
        <v>1</v>
      </c>
      <c r="L671">
        <v>1</v>
      </c>
      <c r="M671">
        <v>0</v>
      </c>
      <c r="N671">
        <f t="shared" si="20"/>
        <v>-0.51681026650769946</v>
      </c>
      <c r="O671">
        <f t="shared" si="21"/>
        <v>-0.23677903369874043</v>
      </c>
    </row>
    <row r="672" spans="1:15">
      <c r="A672">
        <v>3518</v>
      </c>
      <c r="B672">
        <v>10</v>
      </c>
      <c r="C672">
        <v>1</v>
      </c>
      <c r="D672">
        <v>18</v>
      </c>
      <c r="E672">
        <v>10</v>
      </c>
      <c r="F672">
        <v>4</v>
      </c>
      <c r="G672">
        <v>7</v>
      </c>
      <c r="H672" t="s">
        <v>11</v>
      </c>
      <c r="I672">
        <v>25271</v>
      </c>
      <c r="J672">
        <v>1</v>
      </c>
      <c r="K672">
        <v>0</v>
      </c>
      <c r="L672">
        <v>0</v>
      </c>
      <c r="M672">
        <v>1</v>
      </c>
      <c r="N672">
        <f t="shared" si="20"/>
        <v>-1.2393267822222263</v>
      </c>
      <c r="O672">
        <f t="shared" si="21"/>
        <v>-0.24769011050987461</v>
      </c>
    </row>
    <row r="673" spans="1:15">
      <c r="A673">
        <v>3520</v>
      </c>
      <c r="B673">
        <v>162</v>
      </c>
      <c r="C673">
        <v>28</v>
      </c>
      <c r="D673">
        <v>818</v>
      </c>
      <c r="E673">
        <v>0</v>
      </c>
      <c r="F673">
        <v>28</v>
      </c>
      <c r="G673">
        <v>56</v>
      </c>
      <c r="H673" t="s">
        <v>12</v>
      </c>
      <c r="I673">
        <v>91172</v>
      </c>
      <c r="J673">
        <v>0</v>
      </c>
      <c r="K673">
        <v>0</v>
      </c>
      <c r="L673">
        <v>1</v>
      </c>
      <c r="M673">
        <v>0</v>
      </c>
      <c r="N673">
        <f t="shared" si="20"/>
        <v>1.8097613902997398</v>
      </c>
      <c r="O673">
        <f t="shared" si="21"/>
        <v>0.72482657412265106</v>
      </c>
    </row>
    <row r="674" spans="1:15">
      <c r="A674">
        <v>3523</v>
      </c>
      <c r="B674">
        <v>583</v>
      </c>
      <c r="C674">
        <v>34</v>
      </c>
      <c r="D674">
        <v>309</v>
      </c>
      <c r="E674">
        <v>0</v>
      </c>
      <c r="F674">
        <v>22</v>
      </c>
      <c r="G674">
        <v>125</v>
      </c>
      <c r="H674" t="s">
        <v>11</v>
      </c>
      <c r="I674">
        <v>75072</v>
      </c>
      <c r="J674">
        <v>0</v>
      </c>
      <c r="K674">
        <v>1</v>
      </c>
      <c r="L674">
        <v>0</v>
      </c>
      <c r="M674">
        <v>1</v>
      </c>
      <c r="N674">
        <f t="shared" si="20"/>
        <v>1.0648513042979546</v>
      </c>
      <c r="O674">
        <f t="shared" si="21"/>
        <v>0.81477050915966054</v>
      </c>
    </row>
    <row r="675" spans="1:15">
      <c r="A675">
        <v>3524</v>
      </c>
      <c r="B675">
        <v>80</v>
      </c>
      <c r="C675">
        <v>1</v>
      </c>
      <c r="D675">
        <v>60</v>
      </c>
      <c r="E675">
        <v>4</v>
      </c>
      <c r="F675">
        <v>6</v>
      </c>
      <c r="G675">
        <v>16</v>
      </c>
      <c r="H675" t="s">
        <v>12</v>
      </c>
      <c r="I675">
        <v>39763</v>
      </c>
      <c r="J675">
        <v>1</v>
      </c>
      <c r="K675">
        <v>0</v>
      </c>
      <c r="L675">
        <v>1</v>
      </c>
      <c r="M675">
        <v>0</v>
      </c>
      <c r="N675">
        <f t="shared" si="20"/>
        <v>-0.56881516940620924</v>
      </c>
      <c r="O675">
        <f t="shared" si="21"/>
        <v>-0.30902096447887151</v>
      </c>
    </row>
    <row r="676" spans="1:15">
      <c r="A676">
        <v>3525</v>
      </c>
      <c r="B676">
        <v>12</v>
      </c>
      <c r="C676">
        <v>0</v>
      </c>
      <c r="D676">
        <v>4</v>
      </c>
      <c r="E676">
        <v>0</v>
      </c>
      <c r="F676">
        <v>0</v>
      </c>
      <c r="G676">
        <v>1</v>
      </c>
      <c r="H676" t="s">
        <v>11</v>
      </c>
      <c r="I676">
        <v>38200</v>
      </c>
      <c r="J676">
        <v>1</v>
      </c>
      <c r="K676">
        <v>1</v>
      </c>
      <c r="L676">
        <v>0</v>
      </c>
      <c r="M676">
        <v>1</v>
      </c>
      <c r="N676">
        <f t="shared" si="20"/>
        <v>-0.64113159576774903</v>
      </c>
      <c r="O676">
        <f t="shared" si="21"/>
        <v>1.6036941864610403E-2</v>
      </c>
    </row>
    <row r="677" spans="1:15">
      <c r="A677">
        <v>3526</v>
      </c>
      <c r="B677">
        <v>32</v>
      </c>
      <c r="C677">
        <v>0</v>
      </c>
      <c r="D677">
        <v>5</v>
      </c>
      <c r="E677">
        <v>0</v>
      </c>
      <c r="F677">
        <v>0</v>
      </c>
      <c r="G677">
        <v>1</v>
      </c>
      <c r="H677" t="s">
        <v>11</v>
      </c>
      <c r="I677">
        <v>38443</v>
      </c>
      <c r="J677">
        <v>1</v>
      </c>
      <c r="K677">
        <v>1</v>
      </c>
      <c r="L677">
        <v>0</v>
      </c>
      <c r="M677">
        <v>1</v>
      </c>
      <c r="N677">
        <f t="shared" si="20"/>
        <v>-0.62988854291691465</v>
      </c>
      <c r="O677">
        <f t="shared" si="21"/>
        <v>2.1122423245466256E-2</v>
      </c>
    </row>
    <row r="678" spans="1:15">
      <c r="A678">
        <v>3535</v>
      </c>
      <c r="B678">
        <v>251</v>
      </c>
      <c r="C678">
        <v>108</v>
      </c>
      <c r="D678">
        <v>334</v>
      </c>
      <c r="E678">
        <v>65</v>
      </c>
      <c r="F678">
        <v>92</v>
      </c>
      <c r="G678">
        <v>117</v>
      </c>
      <c r="H678" t="s">
        <v>12</v>
      </c>
      <c r="I678">
        <v>66294</v>
      </c>
      <c r="J678">
        <v>0</v>
      </c>
      <c r="K678">
        <v>0</v>
      </c>
      <c r="L678">
        <v>1</v>
      </c>
      <c r="M678">
        <v>0</v>
      </c>
      <c r="N678">
        <f t="shared" si="20"/>
        <v>0.65871337045176381</v>
      </c>
      <c r="O678">
        <f t="shared" si="21"/>
        <v>0.45554301952506782</v>
      </c>
    </row>
    <row r="679" spans="1:15">
      <c r="A679">
        <v>3536</v>
      </c>
      <c r="B679">
        <v>7</v>
      </c>
      <c r="C679">
        <v>11</v>
      </c>
      <c r="D679">
        <v>3</v>
      </c>
      <c r="E679">
        <v>10</v>
      </c>
      <c r="F679">
        <v>4</v>
      </c>
      <c r="G679">
        <v>20</v>
      </c>
      <c r="H679" t="s">
        <v>11</v>
      </c>
      <c r="I679">
        <v>19740</v>
      </c>
      <c r="J679">
        <v>0</v>
      </c>
      <c r="K679">
        <v>1</v>
      </c>
      <c r="L679">
        <v>0</v>
      </c>
      <c r="M679">
        <v>1</v>
      </c>
      <c r="N679">
        <f t="shared" si="20"/>
        <v>-1.4952334707735226</v>
      </c>
      <c r="O679">
        <f t="shared" si="21"/>
        <v>-0.32927636243216024</v>
      </c>
    </row>
    <row r="680" spans="1:15">
      <c r="A680">
        <v>3537</v>
      </c>
      <c r="B680">
        <v>31</v>
      </c>
      <c r="C680">
        <v>3</v>
      </c>
      <c r="D680">
        <v>31</v>
      </c>
      <c r="E680">
        <v>2</v>
      </c>
      <c r="F680">
        <v>8</v>
      </c>
      <c r="G680">
        <v>4</v>
      </c>
      <c r="H680" t="s">
        <v>11</v>
      </c>
      <c r="I680">
        <v>31089</v>
      </c>
      <c r="J680">
        <v>1</v>
      </c>
      <c r="K680">
        <v>0</v>
      </c>
      <c r="L680">
        <v>0</v>
      </c>
      <c r="M680">
        <v>1</v>
      </c>
      <c r="N680">
        <f t="shared" si="20"/>
        <v>-0.97014126170307169</v>
      </c>
      <c r="O680">
        <f t="shared" si="21"/>
        <v>-0.14159921270777384</v>
      </c>
    </row>
    <row r="681" spans="1:15">
      <c r="A681">
        <v>3547</v>
      </c>
      <c r="B681">
        <v>14</v>
      </c>
      <c r="C681">
        <v>7</v>
      </c>
      <c r="D681">
        <v>9</v>
      </c>
      <c r="E681">
        <v>6</v>
      </c>
      <c r="F681">
        <v>16</v>
      </c>
      <c r="G681">
        <v>12</v>
      </c>
      <c r="H681" t="s">
        <v>11</v>
      </c>
      <c r="I681">
        <v>41021</v>
      </c>
      <c r="J681">
        <v>1</v>
      </c>
      <c r="K681">
        <v>0</v>
      </c>
      <c r="L681">
        <v>0</v>
      </c>
      <c r="M681">
        <v>1</v>
      </c>
      <c r="N681">
        <f t="shared" si="20"/>
        <v>-0.51061039374221884</v>
      </c>
      <c r="O681">
        <f t="shared" si="21"/>
        <v>9.1585877164257271E-2</v>
      </c>
    </row>
    <row r="682" spans="1:15">
      <c r="A682">
        <v>3551</v>
      </c>
      <c r="B682">
        <v>62</v>
      </c>
      <c r="C682">
        <v>1</v>
      </c>
      <c r="D682">
        <v>57</v>
      </c>
      <c r="E682">
        <v>19</v>
      </c>
      <c r="F682">
        <v>11</v>
      </c>
      <c r="G682">
        <v>48</v>
      </c>
      <c r="H682" t="s">
        <v>11</v>
      </c>
      <c r="I682">
        <v>60033</v>
      </c>
      <c r="J682">
        <v>0</v>
      </c>
      <c r="K682">
        <v>1</v>
      </c>
      <c r="L682">
        <v>0</v>
      </c>
      <c r="M682">
        <v>1</v>
      </c>
      <c r="N682">
        <f t="shared" si="20"/>
        <v>0.36903125564075895</v>
      </c>
      <c r="O682">
        <f t="shared" si="21"/>
        <v>0.59261922735106354</v>
      </c>
    </row>
    <row r="683" spans="1:15">
      <c r="A683">
        <v>3559</v>
      </c>
      <c r="B683">
        <v>12</v>
      </c>
      <c r="C683">
        <v>11</v>
      </c>
      <c r="D683">
        <v>10</v>
      </c>
      <c r="E683">
        <v>3</v>
      </c>
      <c r="F683">
        <v>12</v>
      </c>
      <c r="G683">
        <v>9</v>
      </c>
      <c r="H683" t="s">
        <v>11</v>
      </c>
      <c r="I683">
        <v>16248</v>
      </c>
      <c r="J683">
        <v>1</v>
      </c>
      <c r="K683">
        <v>0</v>
      </c>
      <c r="L683">
        <v>0</v>
      </c>
      <c r="M683">
        <v>1</v>
      </c>
      <c r="N683">
        <f t="shared" si="20"/>
        <v>-1.6568003043336614</v>
      </c>
      <c r="O683">
        <f t="shared" si="21"/>
        <v>-0.3725273794783166</v>
      </c>
    </row>
    <row r="684" spans="1:15">
      <c r="A684">
        <v>3570</v>
      </c>
      <c r="B684">
        <v>159</v>
      </c>
      <c r="C684">
        <v>2</v>
      </c>
      <c r="D684">
        <v>51</v>
      </c>
      <c r="E684">
        <v>6</v>
      </c>
      <c r="F684">
        <v>2</v>
      </c>
      <c r="G684">
        <v>24</v>
      </c>
      <c r="H684" t="s">
        <v>11</v>
      </c>
      <c r="I684">
        <v>42731</v>
      </c>
      <c r="J684">
        <v>1</v>
      </c>
      <c r="K684">
        <v>0</v>
      </c>
      <c r="L684">
        <v>0</v>
      </c>
      <c r="M684">
        <v>1</v>
      </c>
      <c r="N684">
        <f t="shared" si="20"/>
        <v>-0.43149261442153231</v>
      </c>
      <c r="O684">
        <f t="shared" si="21"/>
        <v>0.13744629124597671</v>
      </c>
    </row>
    <row r="685" spans="1:15">
      <c r="A685">
        <v>3578</v>
      </c>
      <c r="B685">
        <v>122</v>
      </c>
      <c r="C685">
        <v>21</v>
      </c>
      <c r="D685">
        <v>43</v>
      </c>
      <c r="E685">
        <v>25</v>
      </c>
      <c r="F685">
        <v>10</v>
      </c>
      <c r="G685">
        <v>15</v>
      </c>
      <c r="H685" t="s">
        <v>12</v>
      </c>
      <c r="I685">
        <v>49160</v>
      </c>
      <c r="J685">
        <v>0</v>
      </c>
      <c r="K685">
        <v>1</v>
      </c>
      <c r="L685">
        <v>1</v>
      </c>
      <c r="M685">
        <v>0</v>
      </c>
      <c r="N685">
        <f t="shared" si="20"/>
        <v>-0.13403752480007405</v>
      </c>
      <c r="O685">
        <f t="shared" si="21"/>
        <v>-7.8138005395678542E-2</v>
      </c>
    </row>
    <row r="686" spans="1:15">
      <c r="A686">
        <v>3584</v>
      </c>
      <c r="B686">
        <v>1181</v>
      </c>
      <c r="C686">
        <v>26</v>
      </c>
      <c r="D686">
        <v>120</v>
      </c>
      <c r="E686">
        <v>17</v>
      </c>
      <c r="F686">
        <v>13</v>
      </c>
      <c r="G686">
        <v>39</v>
      </c>
      <c r="H686" t="s">
        <v>12</v>
      </c>
      <c r="I686">
        <v>49667</v>
      </c>
      <c r="J686">
        <v>0</v>
      </c>
      <c r="K686">
        <v>0</v>
      </c>
      <c r="L686">
        <v>1</v>
      </c>
      <c r="M686">
        <v>0</v>
      </c>
      <c r="N686">
        <f t="shared" si="20"/>
        <v>-0.11057979724709857</v>
      </c>
      <c r="O686">
        <f t="shared" si="21"/>
        <v>-9.1018461335585985E-2</v>
      </c>
    </row>
    <row r="687" spans="1:15">
      <c r="A687">
        <v>3594</v>
      </c>
      <c r="B687">
        <v>539</v>
      </c>
      <c r="C687">
        <v>6</v>
      </c>
      <c r="D687">
        <v>91</v>
      </c>
      <c r="E687">
        <v>8</v>
      </c>
      <c r="F687">
        <v>6</v>
      </c>
      <c r="G687">
        <v>97</v>
      </c>
      <c r="H687" t="s">
        <v>11</v>
      </c>
      <c r="I687">
        <v>54108</v>
      </c>
      <c r="J687">
        <v>1</v>
      </c>
      <c r="K687">
        <v>1</v>
      </c>
      <c r="L687">
        <v>0</v>
      </c>
      <c r="M687">
        <v>1</v>
      </c>
      <c r="N687">
        <f t="shared" si="20"/>
        <v>9.4895090450660954E-2</v>
      </c>
      <c r="O687">
        <f t="shared" si="21"/>
        <v>0.36845305161936465</v>
      </c>
    </row>
    <row r="688" spans="1:15">
      <c r="A688">
        <v>3595</v>
      </c>
      <c r="B688">
        <v>631</v>
      </c>
      <c r="C688">
        <v>43</v>
      </c>
      <c r="D688">
        <v>239</v>
      </c>
      <c r="E688">
        <v>128</v>
      </c>
      <c r="F688">
        <v>76</v>
      </c>
      <c r="G688">
        <v>21</v>
      </c>
      <c r="H688" t="s">
        <v>11</v>
      </c>
      <c r="I688">
        <v>77226</v>
      </c>
      <c r="J688">
        <v>0</v>
      </c>
      <c r="K688">
        <v>1</v>
      </c>
      <c r="L688">
        <v>0</v>
      </c>
      <c r="M688">
        <v>1</v>
      </c>
      <c r="N688">
        <f t="shared" si="20"/>
        <v>1.1645119456176964</v>
      </c>
      <c r="O688">
        <f t="shared" si="21"/>
        <v>0.83238953306817209</v>
      </c>
    </row>
    <row r="689" spans="1:15">
      <c r="A689">
        <v>3598</v>
      </c>
      <c r="B689">
        <v>441</v>
      </c>
      <c r="C689">
        <v>35</v>
      </c>
      <c r="D689">
        <v>83</v>
      </c>
      <c r="E689">
        <v>7</v>
      </c>
      <c r="F689">
        <v>29</v>
      </c>
      <c r="G689">
        <v>11</v>
      </c>
      <c r="H689" t="s">
        <v>11</v>
      </c>
      <c r="I689">
        <v>62710</v>
      </c>
      <c r="J689">
        <v>0</v>
      </c>
      <c r="K689">
        <v>1</v>
      </c>
      <c r="L689">
        <v>0</v>
      </c>
      <c r="M689">
        <v>1</v>
      </c>
      <c r="N689">
        <f t="shared" si="20"/>
        <v>0.49288990782875769</v>
      </c>
      <c r="O689">
        <f t="shared" si="21"/>
        <v>0.64683130008141487</v>
      </c>
    </row>
    <row r="690" spans="1:15">
      <c r="A690">
        <v>3599</v>
      </c>
      <c r="B690">
        <v>575</v>
      </c>
      <c r="C690">
        <v>80</v>
      </c>
      <c r="D690">
        <v>428</v>
      </c>
      <c r="E690">
        <v>208</v>
      </c>
      <c r="F690">
        <v>93</v>
      </c>
      <c r="G690">
        <v>80</v>
      </c>
      <c r="H690" t="s">
        <v>11</v>
      </c>
      <c r="I690">
        <v>63684</v>
      </c>
      <c r="J690">
        <v>0</v>
      </c>
      <c r="K690">
        <v>1</v>
      </c>
      <c r="L690">
        <v>0</v>
      </c>
      <c r="M690">
        <v>1</v>
      </c>
      <c r="N690">
        <f t="shared" si="20"/>
        <v>0.53795465464650538</v>
      </c>
      <c r="O690">
        <f t="shared" si="21"/>
        <v>0.6648994858748235</v>
      </c>
    </row>
    <row r="691" spans="1:15">
      <c r="A691">
        <v>3602</v>
      </c>
      <c r="B691">
        <v>140</v>
      </c>
      <c r="C691">
        <v>3</v>
      </c>
      <c r="D691">
        <v>29</v>
      </c>
      <c r="E691">
        <v>4</v>
      </c>
      <c r="F691">
        <v>5</v>
      </c>
      <c r="G691">
        <v>14</v>
      </c>
      <c r="H691" t="s">
        <v>11</v>
      </c>
      <c r="I691">
        <v>51412</v>
      </c>
      <c r="J691">
        <v>0</v>
      </c>
      <c r="K691">
        <v>1</v>
      </c>
      <c r="L691">
        <v>0</v>
      </c>
      <c r="M691">
        <v>1</v>
      </c>
      <c r="N691">
        <f t="shared" si="20"/>
        <v>-2.9842648174234269E-2</v>
      </c>
      <c r="O691">
        <f t="shared" si="21"/>
        <v>0.37881090487341884</v>
      </c>
    </row>
    <row r="692" spans="1:15">
      <c r="A692">
        <v>3619</v>
      </c>
      <c r="B692">
        <v>345</v>
      </c>
      <c r="C692">
        <v>25</v>
      </c>
      <c r="D692">
        <v>501</v>
      </c>
      <c r="E692">
        <v>63</v>
      </c>
      <c r="F692">
        <v>138</v>
      </c>
      <c r="G692">
        <v>80</v>
      </c>
      <c r="H692" t="s">
        <v>12</v>
      </c>
      <c r="I692">
        <v>87305</v>
      </c>
      <c r="J692">
        <v>0</v>
      </c>
      <c r="K692">
        <v>0</v>
      </c>
      <c r="L692">
        <v>1</v>
      </c>
      <c r="M692">
        <v>0</v>
      </c>
      <c r="N692">
        <f t="shared" si="20"/>
        <v>1.630844166537696</v>
      </c>
      <c r="O692">
        <f t="shared" si="21"/>
        <v>0.70596858944052665</v>
      </c>
    </row>
    <row r="693" spans="1:15">
      <c r="A693">
        <v>3623</v>
      </c>
      <c r="B693">
        <v>4</v>
      </c>
      <c r="C693">
        <v>0</v>
      </c>
      <c r="D693">
        <v>16</v>
      </c>
      <c r="E693">
        <v>17</v>
      </c>
      <c r="F693">
        <v>4</v>
      </c>
      <c r="G693">
        <v>4</v>
      </c>
      <c r="H693" t="s">
        <v>11</v>
      </c>
      <c r="I693">
        <v>21675</v>
      </c>
      <c r="J693">
        <v>1</v>
      </c>
      <c r="K693">
        <v>0</v>
      </c>
      <c r="L693">
        <v>0</v>
      </c>
      <c r="M693">
        <v>1</v>
      </c>
      <c r="N693">
        <f t="shared" si="20"/>
        <v>-1.4057054573316932</v>
      </c>
      <c r="O693">
        <f t="shared" si="21"/>
        <v>-0.30267891430342631</v>
      </c>
    </row>
    <row r="694" spans="1:15">
      <c r="A694">
        <v>3628</v>
      </c>
      <c r="B694">
        <v>4</v>
      </c>
      <c r="C694">
        <v>8</v>
      </c>
      <c r="D694">
        <v>11</v>
      </c>
      <c r="E694">
        <v>19</v>
      </c>
      <c r="F694">
        <v>12</v>
      </c>
      <c r="G694">
        <v>26</v>
      </c>
      <c r="H694" t="s">
        <v>12</v>
      </c>
      <c r="I694">
        <v>15038</v>
      </c>
      <c r="J694">
        <v>1</v>
      </c>
      <c r="K694">
        <v>0</v>
      </c>
      <c r="L694">
        <v>1</v>
      </c>
      <c r="M694">
        <v>0</v>
      </c>
      <c r="N694">
        <f t="shared" si="20"/>
        <v>-1.7127842300518081</v>
      </c>
      <c r="O694">
        <f t="shared" si="21"/>
        <v>-0.63857546117342323</v>
      </c>
    </row>
    <row r="695" spans="1:15">
      <c r="A695">
        <v>3629</v>
      </c>
      <c r="B695">
        <v>76</v>
      </c>
      <c r="C695">
        <v>3</v>
      </c>
      <c r="D695">
        <v>31</v>
      </c>
      <c r="E695">
        <v>4</v>
      </c>
      <c r="F695">
        <v>4</v>
      </c>
      <c r="G695">
        <v>27</v>
      </c>
      <c r="H695" t="s">
        <v>12</v>
      </c>
      <c r="I695">
        <v>38557</v>
      </c>
      <c r="J695">
        <v>1</v>
      </c>
      <c r="K695">
        <v>0</v>
      </c>
      <c r="L695">
        <v>1</v>
      </c>
      <c r="M695">
        <v>0</v>
      </c>
      <c r="N695">
        <f t="shared" si="20"/>
        <v>-0.62461402429553547</v>
      </c>
      <c r="O695">
        <f t="shared" si="21"/>
        <v>-0.33457436920456485</v>
      </c>
    </row>
    <row r="696" spans="1:15">
      <c r="A696">
        <v>3635</v>
      </c>
      <c r="B696">
        <v>492</v>
      </c>
      <c r="C696">
        <v>0</v>
      </c>
      <c r="D696">
        <v>37</v>
      </c>
      <c r="E696">
        <v>7</v>
      </c>
      <c r="F696">
        <v>0</v>
      </c>
      <c r="G696">
        <v>42</v>
      </c>
      <c r="H696" t="s">
        <v>12</v>
      </c>
      <c r="I696">
        <v>52597</v>
      </c>
      <c r="J696">
        <v>0</v>
      </c>
      <c r="K696">
        <v>1</v>
      </c>
      <c r="L696">
        <v>1</v>
      </c>
      <c r="M696">
        <v>0</v>
      </c>
      <c r="N696">
        <f t="shared" si="20"/>
        <v>2.4984584863785332E-2</v>
      </c>
      <c r="O696">
        <f t="shared" si="21"/>
        <v>1.4627908186853066E-2</v>
      </c>
    </row>
    <row r="697" spans="1:15">
      <c r="A697">
        <v>3641</v>
      </c>
      <c r="B697">
        <v>10</v>
      </c>
      <c r="C697">
        <v>2</v>
      </c>
      <c r="D697">
        <v>15</v>
      </c>
      <c r="E697">
        <v>2</v>
      </c>
      <c r="F697">
        <v>1</v>
      </c>
      <c r="G697">
        <v>6</v>
      </c>
      <c r="H697" t="s">
        <v>11</v>
      </c>
      <c r="I697">
        <v>13624</v>
      </c>
      <c r="J697">
        <v>1</v>
      </c>
      <c r="K697">
        <v>0</v>
      </c>
      <c r="L697">
        <v>0</v>
      </c>
      <c r="M697">
        <v>1</v>
      </c>
      <c r="N697">
        <f t="shared" si="20"/>
        <v>-1.7782067680397908</v>
      </c>
      <c r="O697">
        <f t="shared" si="21"/>
        <v>-0.40141372483297461</v>
      </c>
    </row>
    <row r="698" spans="1:15">
      <c r="A698">
        <v>3643</v>
      </c>
      <c r="B698">
        <v>750</v>
      </c>
      <c r="C698">
        <v>8</v>
      </c>
      <c r="D698">
        <v>125</v>
      </c>
      <c r="E698">
        <v>11</v>
      </c>
      <c r="F698">
        <v>8</v>
      </c>
      <c r="G698">
        <v>26</v>
      </c>
      <c r="H698" t="s">
        <v>11</v>
      </c>
      <c r="I698">
        <v>63206</v>
      </c>
      <c r="J698">
        <v>0</v>
      </c>
      <c r="K698">
        <v>0</v>
      </c>
      <c r="L698">
        <v>0</v>
      </c>
      <c r="M698">
        <v>1</v>
      </c>
      <c r="N698">
        <f t="shared" si="20"/>
        <v>0.51583869060247722</v>
      </c>
      <c r="O698">
        <f t="shared" si="21"/>
        <v>0.87781932971040322</v>
      </c>
    </row>
    <row r="699" spans="1:15">
      <c r="A699">
        <v>3645</v>
      </c>
      <c r="B699">
        <v>19</v>
      </c>
      <c r="C699">
        <v>3</v>
      </c>
      <c r="D699">
        <v>26</v>
      </c>
      <c r="E699">
        <v>10</v>
      </c>
      <c r="F699">
        <v>9</v>
      </c>
      <c r="G699">
        <v>3</v>
      </c>
      <c r="H699" t="s">
        <v>12</v>
      </c>
      <c r="I699">
        <v>27213</v>
      </c>
      <c r="J699">
        <v>1</v>
      </c>
      <c r="K699">
        <v>0</v>
      </c>
      <c r="L699">
        <v>1</v>
      </c>
      <c r="M699">
        <v>0</v>
      </c>
      <c r="N699">
        <f t="shared" si="20"/>
        <v>-1.1494748948299611</v>
      </c>
      <c r="O699">
        <f t="shared" si="21"/>
        <v>-0.52232255023805618</v>
      </c>
    </row>
    <row r="700" spans="1:15">
      <c r="A700">
        <v>3657</v>
      </c>
      <c r="B700">
        <v>94</v>
      </c>
      <c r="C700">
        <v>1</v>
      </c>
      <c r="D700">
        <v>33</v>
      </c>
      <c r="E700">
        <v>13</v>
      </c>
      <c r="F700">
        <v>12</v>
      </c>
      <c r="G700">
        <v>12</v>
      </c>
      <c r="H700" t="s">
        <v>12</v>
      </c>
      <c r="I700">
        <v>39146</v>
      </c>
      <c r="J700">
        <v>1</v>
      </c>
      <c r="K700">
        <v>0</v>
      </c>
      <c r="L700">
        <v>1</v>
      </c>
      <c r="M700">
        <v>0</v>
      </c>
      <c r="N700">
        <f t="shared" si="20"/>
        <v>-0.59736234475174343</v>
      </c>
      <c r="O700">
        <f t="shared" si="21"/>
        <v>-0.32222963534951338</v>
      </c>
    </row>
    <row r="701" spans="1:15">
      <c r="A701">
        <v>3661</v>
      </c>
      <c r="B701">
        <v>594</v>
      </c>
      <c r="C701">
        <v>51</v>
      </c>
      <c r="D701">
        <v>631</v>
      </c>
      <c r="E701">
        <v>72</v>
      </c>
      <c r="F701">
        <v>55</v>
      </c>
      <c r="G701">
        <v>32</v>
      </c>
      <c r="H701" t="s">
        <v>12</v>
      </c>
      <c r="I701">
        <v>80617</v>
      </c>
      <c r="J701">
        <v>0</v>
      </c>
      <c r="K701">
        <v>0</v>
      </c>
      <c r="L701">
        <v>1</v>
      </c>
      <c r="M701">
        <v>0</v>
      </c>
      <c r="N701">
        <f t="shared" si="20"/>
        <v>1.3214057407501223</v>
      </c>
      <c r="O701">
        <f t="shared" si="21"/>
        <v>0.6603433778630623</v>
      </c>
    </row>
    <row r="702" spans="1:15">
      <c r="A702">
        <v>3665</v>
      </c>
      <c r="B702">
        <v>1</v>
      </c>
      <c r="C702">
        <v>9</v>
      </c>
      <c r="D702">
        <v>8</v>
      </c>
      <c r="E702">
        <v>11</v>
      </c>
      <c r="F702">
        <v>3</v>
      </c>
      <c r="G702">
        <v>22</v>
      </c>
      <c r="H702" t="s">
        <v>11</v>
      </c>
      <c r="I702">
        <v>25315</v>
      </c>
      <c r="J702">
        <v>1</v>
      </c>
      <c r="K702">
        <v>0</v>
      </c>
      <c r="L702">
        <v>0</v>
      </c>
      <c r="M702">
        <v>1</v>
      </c>
      <c r="N702">
        <f t="shared" si="20"/>
        <v>-1.2372910031052027</v>
      </c>
      <c r="O702">
        <f t="shared" si="21"/>
        <v>-0.24696970504920449</v>
      </c>
    </row>
    <row r="703" spans="1:15">
      <c r="A703">
        <v>3667</v>
      </c>
      <c r="B703">
        <v>778</v>
      </c>
      <c r="C703">
        <v>178</v>
      </c>
      <c r="D703">
        <v>689</v>
      </c>
      <c r="E703">
        <v>41</v>
      </c>
      <c r="F703">
        <v>27</v>
      </c>
      <c r="G703">
        <v>44</v>
      </c>
      <c r="H703" t="s">
        <v>11</v>
      </c>
      <c r="I703">
        <v>80952</v>
      </c>
      <c r="J703">
        <v>0</v>
      </c>
      <c r="K703">
        <v>0</v>
      </c>
      <c r="L703">
        <v>0</v>
      </c>
      <c r="M703">
        <v>1</v>
      </c>
      <c r="N703">
        <f t="shared" si="20"/>
        <v>1.336905422663824</v>
      </c>
      <c r="O703">
        <f t="shared" si="21"/>
        <v>0.99888793398359932</v>
      </c>
    </row>
    <row r="704" spans="1:15">
      <c r="A704">
        <v>3673</v>
      </c>
      <c r="B704">
        <v>371</v>
      </c>
      <c r="C704">
        <v>17</v>
      </c>
      <c r="D704">
        <v>238</v>
      </c>
      <c r="E704">
        <v>23</v>
      </c>
      <c r="F704">
        <v>24</v>
      </c>
      <c r="G704">
        <v>106</v>
      </c>
      <c r="H704" t="s">
        <v>12</v>
      </c>
      <c r="I704">
        <v>55239</v>
      </c>
      <c r="J704">
        <v>0</v>
      </c>
      <c r="K704">
        <v>1</v>
      </c>
      <c r="L704">
        <v>1</v>
      </c>
      <c r="M704">
        <v>0</v>
      </c>
      <c r="N704">
        <f t="shared" si="20"/>
        <v>0.14722386729960624</v>
      </c>
      <c r="O704">
        <f t="shared" si="21"/>
        <v>8.5746305273548137E-2</v>
      </c>
    </row>
    <row r="705" spans="1:15">
      <c r="A705">
        <v>3678</v>
      </c>
      <c r="B705">
        <v>488</v>
      </c>
      <c r="C705">
        <v>23</v>
      </c>
      <c r="D705">
        <v>71</v>
      </c>
      <c r="E705">
        <v>15</v>
      </c>
      <c r="F705">
        <v>0</v>
      </c>
      <c r="G705">
        <v>59</v>
      </c>
      <c r="H705" t="s">
        <v>12</v>
      </c>
      <c r="I705">
        <v>60208</v>
      </c>
      <c r="J705">
        <v>1</v>
      </c>
      <c r="K705">
        <v>1</v>
      </c>
      <c r="L705">
        <v>1</v>
      </c>
      <c r="M705">
        <v>0</v>
      </c>
      <c r="N705">
        <f t="shared" si="20"/>
        <v>0.37712810440164796</v>
      </c>
      <c r="O705">
        <f t="shared" si="21"/>
        <v>0.1761826210234298</v>
      </c>
    </row>
    <row r="706" spans="1:15">
      <c r="A706">
        <v>3690</v>
      </c>
      <c r="B706">
        <v>1184</v>
      </c>
      <c r="C706">
        <v>102</v>
      </c>
      <c r="D706">
        <v>673</v>
      </c>
      <c r="E706">
        <v>52</v>
      </c>
      <c r="F706">
        <v>40</v>
      </c>
      <c r="G706">
        <v>40</v>
      </c>
      <c r="H706" t="s">
        <v>11</v>
      </c>
      <c r="I706">
        <v>80141</v>
      </c>
      <c r="J706">
        <v>0</v>
      </c>
      <c r="K706">
        <v>0</v>
      </c>
      <c r="L706">
        <v>0</v>
      </c>
      <c r="M706">
        <v>1</v>
      </c>
      <c r="N706">
        <f t="shared" si="20"/>
        <v>1.2993823121205041</v>
      </c>
      <c r="O706">
        <f t="shared" si="21"/>
        <v>0.9981478087956599</v>
      </c>
    </row>
    <row r="707" spans="1:15">
      <c r="A707">
        <v>3696</v>
      </c>
      <c r="B707">
        <v>27</v>
      </c>
      <c r="C707">
        <v>1</v>
      </c>
      <c r="D707">
        <v>12</v>
      </c>
      <c r="E707">
        <v>2</v>
      </c>
      <c r="F707">
        <v>0</v>
      </c>
      <c r="G707">
        <v>10</v>
      </c>
      <c r="H707" t="s">
        <v>12</v>
      </c>
      <c r="I707">
        <v>30630</v>
      </c>
      <c r="J707">
        <v>1</v>
      </c>
      <c r="K707">
        <v>1</v>
      </c>
      <c r="L707">
        <v>1</v>
      </c>
      <c r="M707">
        <v>0</v>
      </c>
      <c r="N707">
        <f t="shared" ref="N707:N770" si="22">STANDARDIZE(I707,$Q$1,$R$1)</f>
        <v>-0.99137813931020335</v>
      </c>
      <c r="O707">
        <f t="shared" ref="O707:O770" si="23">SUMPRODUCT(J707:N707,$Q$4:$U$4) / SQRT(SUMSQ(J707:N707) * SUMSQ($Q$4:$U$4))</f>
        <v>-0.41137346038491346</v>
      </c>
    </row>
    <row r="708" spans="1:15">
      <c r="A708">
        <v>3697</v>
      </c>
      <c r="B708">
        <v>69</v>
      </c>
      <c r="C708">
        <v>8</v>
      </c>
      <c r="D708">
        <v>26</v>
      </c>
      <c r="E708">
        <v>12</v>
      </c>
      <c r="F708">
        <v>7</v>
      </c>
      <c r="G708">
        <v>12</v>
      </c>
      <c r="H708" t="s">
        <v>11</v>
      </c>
      <c r="I708">
        <v>39898</v>
      </c>
      <c r="J708">
        <v>0</v>
      </c>
      <c r="K708">
        <v>1</v>
      </c>
      <c r="L708">
        <v>0</v>
      </c>
      <c r="M708">
        <v>1</v>
      </c>
      <c r="N708">
        <f t="shared" si="22"/>
        <v>-0.56256902893352345</v>
      </c>
      <c r="O708">
        <f t="shared" si="23"/>
        <v>6.220620437951447E-2</v>
      </c>
    </row>
    <row r="709" spans="1:15">
      <c r="A709">
        <v>3698</v>
      </c>
      <c r="B709">
        <v>817</v>
      </c>
      <c r="C709">
        <v>185</v>
      </c>
      <c r="D709">
        <v>687</v>
      </c>
      <c r="E709">
        <v>145</v>
      </c>
      <c r="F709">
        <v>55</v>
      </c>
      <c r="G709">
        <v>241</v>
      </c>
      <c r="H709" t="s">
        <v>11</v>
      </c>
      <c r="I709">
        <v>78687</v>
      </c>
      <c r="J709">
        <v>0</v>
      </c>
      <c r="K709">
        <v>0</v>
      </c>
      <c r="L709">
        <v>0</v>
      </c>
      <c r="M709">
        <v>1</v>
      </c>
      <c r="N709">
        <f t="shared" si="22"/>
        <v>1.2321090658443181</v>
      </c>
      <c r="O709">
        <f t="shared" si="23"/>
        <v>0.99624115115025369</v>
      </c>
    </row>
    <row r="710" spans="1:15">
      <c r="A710">
        <v>3706</v>
      </c>
      <c r="B710">
        <v>19</v>
      </c>
      <c r="C710">
        <v>8</v>
      </c>
      <c r="D710">
        <v>29</v>
      </c>
      <c r="E710">
        <v>0</v>
      </c>
      <c r="F710">
        <v>12</v>
      </c>
      <c r="G710">
        <v>26</v>
      </c>
      <c r="H710" t="s">
        <v>12</v>
      </c>
      <c r="I710">
        <v>28647</v>
      </c>
      <c r="J710">
        <v>1</v>
      </c>
      <c r="K710">
        <v>0</v>
      </c>
      <c r="L710">
        <v>1</v>
      </c>
      <c r="M710">
        <v>0</v>
      </c>
      <c r="N710">
        <f t="shared" si="22"/>
        <v>-1.0831270026978765</v>
      </c>
      <c r="O710">
        <f t="shared" si="23"/>
        <v>-0.50353071445522579</v>
      </c>
    </row>
    <row r="711" spans="1:15">
      <c r="A711">
        <v>3710</v>
      </c>
      <c r="B711">
        <v>19</v>
      </c>
      <c r="C711">
        <v>0</v>
      </c>
      <c r="D711">
        <v>35</v>
      </c>
      <c r="E711">
        <v>6</v>
      </c>
      <c r="F711">
        <v>4</v>
      </c>
      <c r="G711">
        <v>17</v>
      </c>
      <c r="H711" t="s">
        <v>12</v>
      </c>
      <c r="I711">
        <v>39684</v>
      </c>
      <c r="J711">
        <v>1</v>
      </c>
      <c r="K711">
        <v>0</v>
      </c>
      <c r="L711">
        <v>1</v>
      </c>
      <c r="M711">
        <v>0</v>
      </c>
      <c r="N711">
        <f t="shared" si="22"/>
        <v>-0.57247031827541051</v>
      </c>
      <c r="O711">
        <f t="shared" si="23"/>
        <v>-0.31072789565532299</v>
      </c>
    </row>
    <row r="712" spans="1:15">
      <c r="A712">
        <v>3711</v>
      </c>
      <c r="B712">
        <v>1035</v>
      </c>
      <c r="C712">
        <v>134</v>
      </c>
      <c r="D712">
        <v>670</v>
      </c>
      <c r="E712">
        <v>25</v>
      </c>
      <c r="F712">
        <v>38</v>
      </c>
      <c r="G712">
        <v>0</v>
      </c>
      <c r="H712" t="s">
        <v>11</v>
      </c>
      <c r="I712">
        <v>80184</v>
      </c>
      <c r="J712">
        <v>0</v>
      </c>
      <c r="K712">
        <v>0</v>
      </c>
      <c r="L712">
        <v>0</v>
      </c>
      <c r="M712">
        <v>1</v>
      </c>
      <c r="N712">
        <f t="shared" si="22"/>
        <v>1.3013718235303227</v>
      </c>
      <c r="O712">
        <f t="shared" si="23"/>
        <v>0.99819251322325131</v>
      </c>
    </row>
    <row r="713" spans="1:15">
      <c r="A713">
        <v>3712</v>
      </c>
      <c r="B713">
        <v>212</v>
      </c>
      <c r="C713">
        <v>5</v>
      </c>
      <c r="D713">
        <v>33</v>
      </c>
      <c r="E713">
        <v>7</v>
      </c>
      <c r="F713">
        <v>0</v>
      </c>
      <c r="G713">
        <v>2</v>
      </c>
      <c r="H713" t="s">
        <v>12</v>
      </c>
      <c r="I713">
        <v>52332</v>
      </c>
      <c r="J713">
        <v>0</v>
      </c>
      <c r="K713">
        <v>0</v>
      </c>
      <c r="L713">
        <v>1</v>
      </c>
      <c r="M713">
        <v>0</v>
      </c>
      <c r="N713">
        <f t="shared" si="22"/>
        <v>1.2723642454439178E-2</v>
      </c>
      <c r="O713">
        <f t="shared" si="23"/>
        <v>1.0535839725128565E-2</v>
      </c>
    </row>
    <row r="714" spans="1:15">
      <c r="A714">
        <v>3717</v>
      </c>
      <c r="B714">
        <v>403</v>
      </c>
      <c r="C714">
        <v>24</v>
      </c>
      <c r="D714">
        <v>29</v>
      </c>
      <c r="E714">
        <v>6</v>
      </c>
      <c r="F714">
        <v>24</v>
      </c>
      <c r="G714">
        <v>218</v>
      </c>
      <c r="H714" t="s">
        <v>11</v>
      </c>
      <c r="I714">
        <v>61180</v>
      </c>
      <c r="J714">
        <v>0</v>
      </c>
      <c r="K714">
        <v>1</v>
      </c>
      <c r="L714">
        <v>0</v>
      </c>
      <c r="M714">
        <v>1</v>
      </c>
      <c r="N714">
        <f t="shared" si="22"/>
        <v>0.42210031580498553</v>
      </c>
      <c r="O714">
        <f t="shared" si="23"/>
        <v>0.61665753117789224</v>
      </c>
    </row>
    <row r="715" spans="1:15">
      <c r="A715">
        <v>3722</v>
      </c>
      <c r="B715">
        <v>31</v>
      </c>
      <c r="C715">
        <v>1</v>
      </c>
      <c r="D715">
        <v>8</v>
      </c>
      <c r="E715">
        <v>0</v>
      </c>
      <c r="F715">
        <v>0</v>
      </c>
      <c r="G715">
        <v>8</v>
      </c>
      <c r="H715" t="s">
        <v>12</v>
      </c>
      <c r="I715">
        <v>44503</v>
      </c>
      <c r="J715">
        <v>1</v>
      </c>
      <c r="K715">
        <v>1</v>
      </c>
      <c r="L715">
        <v>1</v>
      </c>
      <c r="M715">
        <v>0</v>
      </c>
      <c r="N715">
        <f t="shared" si="22"/>
        <v>-0.34950623725413082</v>
      </c>
      <c r="O715">
        <f t="shared" si="23"/>
        <v>-0.16380251964424158</v>
      </c>
    </row>
    <row r="716" spans="1:15">
      <c r="A716">
        <v>3725</v>
      </c>
      <c r="B716">
        <v>1248</v>
      </c>
      <c r="C716">
        <v>16</v>
      </c>
      <c r="D716">
        <v>349</v>
      </c>
      <c r="E716">
        <v>43</v>
      </c>
      <c r="F716">
        <v>16</v>
      </c>
      <c r="G716">
        <v>16</v>
      </c>
      <c r="H716" t="s">
        <v>12</v>
      </c>
      <c r="I716">
        <v>84865</v>
      </c>
      <c r="J716">
        <v>0</v>
      </c>
      <c r="K716">
        <v>0</v>
      </c>
      <c r="L716">
        <v>1</v>
      </c>
      <c r="M716">
        <v>0</v>
      </c>
      <c r="N716">
        <f t="shared" si="22"/>
        <v>1.5179509609573014</v>
      </c>
      <c r="O716">
        <f t="shared" si="23"/>
        <v>0.69154279879183478</v>
      </c>
    </row>
    <row r="717" spans="1:15">
      <c r="A717">
        <v>3726</v>
      </c>
      <c r="B717">
        <v>4</v>
      </c>
      <c r="C717">
        <v>1</v>
      </c>
      <c r="D717">
        <v>9</v>
      </c>
      <c r="E717">
        <v>3</v>
      </c>
      <c r="F717">
        <v>0</v>
      </c>
      <c r="G717">
        <v>0</v>
      </c>
      <c r="H717" t="s">
        <v>11</v>
      </c>
      <c r="I717">
        <v>34320</v>
      </c>
      <c r="J717">
        <v>1</v>
      </c>
      <c r="K717">
        <v>0</v>
      </c>
      <c r="L717">
        <v>0</v>
      </c>
      <c r="M717">
        <v>1</v>
      </c>
      <c r="N717">
        <f t="shared" si="22"/>
        <v>-0.82065029972345871</v>
      </c>
      <c r="O717">
        <f t="shared" si="23"/>
        <v>-7.2806621578817551E-2</v>
      </c>
    </row>
    <row r="718" spans="1:15">
      <c r="A718">
        <v>3732</v>
      </c>
      <c r="B718">
        <v>393</v>
      </c>
      <c r="C718">
        <v>0</v>
      </c>
      <c r="D718">
        <v>239</v>
      </c>
      <c r="E718">
        <v>90</v>
      </c>
      <c r="F718">
        <v>69</v>
      </c>
      <c r="G718">
        <v>69</v>
      </c>
      <c r="H718" t="s">
        <v>11</v>
      </c>
      <c r="I718">
        <v>52750</v>
      </c>
      <c r="J718">
        <v>0</v>
      </c>
      <c r="K718">
        <v>1</v>
      </c>
      <c r="L718">
        <v>0</v>
      </c>
      <c r="M718">
        <v>1</v>
      </c>
      <c r="N718">
        <f t="shared" si="22"/>
        <v>3.2063544066162547E-2</v>
      </c>
      <c r="O718">
        <f t="shared" si="23"/>
        <v>0.41503890586099451</v>
      </c>
    </row>
    <row r="719" spans="1:15">
      <c r="A719">
        <v>3745</v>
      </c>
      <c r="B719">
        <v>5</v>
      </c>
      <c r="C719">
        <v>36</v>
      </c>
      <c r="D719">
        <v>7</v>
      </c>
      <c r="E719">
        <v>0</v>
      </c>
      <c r="F719">
        <v>10</v>
      </c>
      <c r="G719">
        <v>45</v>
      </c>
      <c r="H719" t="s">
        <v>11</v>
      </c>
      <c r="I719">
        <v>23331</v>
      </c>
      <c r="J719">
        <v>1</v>
      </c>
      <c r="K719">
        <v>0</v>
      </c>
      <c r="L719">
        <v>0</v>
      </c>
      <c r="M719">
        <v>1</v>
      </c>
      <c r="N719">
        <f t="shared" si="22"/>
        <v>-1.329086134200081</v>
      </c>
      <c r="O719">
        <f t="shared" si="23"/>
        <v>-0.27829065923159202</v>
      </c>
    </row>
    <row r="720" spans="1:15">
      <c r="A720">
        <v>3749</v>
      </c>
      <c r="B720">
        <v>627</v>
      </c>
      <c r="C720">
        <v>91</v>
      </c>
      <c r="D720">
        <v>597</v>
      </c>
      <c r="E720">
        <v>159</v>
      </c>
      <c r="F720">
        <v>91</v>
      </c>
      <c r="G720">
        <v>15</v>
      </c>
      <c r="H720" t="s">
        <v>11</v>
      </c>
      <c r="I720">
        <v>73926</v>
      </c>
      <c r="J720">
        <v>0</v>
      </c>
      <c r="K720">
        <v>0</v>
      </c>
      <c r="L720">
        <v>0</v>
      </c>
      <c r="M720">
        <v>1</v>
      </c>
      <c r="N720">
        <f t="shared" si="22"/>
        <v>1.0118285118409331</v>
      </c>
      <c r="O720">
        <f t="shared" si="23"/>
        <v>0.98303425255817967</v>
      </c>
    </row>
    <row r="721" spans="1:15">
      <c r="A721">
        <v>3759</v>
      </c>
      <c r="B721">
        <v>743</v>
      </c>
      <c r="C721">
        <v>19</v>
      </c>
      <c r="D721">
        <v>181</v>
      </c>
      <c r="E721">
        <v>12</v>
      </c>
      <c r="F721">
        <v>0</v>
      </c>
      <c r="G721">
        <v>200</v>
      </c>
      <c r="H721" t="s">
        <v>11</v>
      </c>
      <c r="I721">
        <v>65196</v>
      </c>
      <c r="J721">
        <v>0</v>
      </c>
      <c r="K721">
        <v>2</v>
      </c>
      <c r="L721">
        <v>0</v>
      </c>
      <c r="M721">
        <v>1</v>
      </c>
      <c r="N721">
        <f t="shared" si="22"/>
        <v>0.60791142794058617</v>
      </c>
      <c r="O721">
        <f t="shared" si="23"/>
        <v>0.4591581460156452</v>
      </c>
    </row>
    <row r="722" spans="1:15">
      <c r="A722">
        <v>3762</v>
      </c>
      <c r="B722">
        <v>196</v>
      </c>
      <c r="C722">
        <v>0</v>
      </c>
      <c r="D722">
        <v>512</v>
      </c>
      <c r="E722">
        <v>33</v>
      </c>
      <c r="F722">
        <v>130</v>
      </c>
      <c r="G722">
        <v>54</v>
      </c>
      <c r="H722" t="s">
        <v>12</v>
      </c>
      <c r="I722">
        <v>69867</v>
      </c>
      <c r="J722">
        <v>0</v>
      </c>
      <c r="K722">
        <v>0</v>
      </c>
      <c r="L722">
        <v>1</v>
      </c>
      <c r="M722">
        <v>0</v>
      </c>
      <c r="N722">
        <f t="shared" si="22"/>
        <v>0.82402788829551399</v>
      </c>
      <c r="O722">
        <f t="shared" si="23"/>
        <v>0.52663118421127553</v>
      </c>
    </row>
    <row r="723" spans="1:15">
      <c r="A723">
        <v>3766</v>
      </c>
      <c r="B723">
        <v>100</v>
      </c>
      <c r="C723">
        <v>71</v>
      </c>
      <c r="D723">
        <v>243</v>
      </c>
      <c r="E723">
        <v>108</v>
      </c>
      <c r="F723">
        <v>94</v>
      </c>
      <c r="G723">
        <v>219</v>
      </c>
      <c r="H723" t="s">
        <v>12</v>
      </c>
      <c r="I723">
        <v>33051</v>
      </c>
      <c r="J723">
        <v>0</v>
      </c>
      <c r="K723">
        <v>0</v>
      </c>
      <c r="L723">
        <v>1</v>
      </c>
      <c r="M723">
        <v>0</v>
      </c>
      <c r="N723">
        <f t="shared" si="22"/>
        <v>-0.87936402016670501</v>
      </c>
      <c r="O723">
        <f t="shared" si="23"/>
        <v>-0.54685571123254773</v>
      </c>
    </row>
    <row r="724" spans="1:15">
      <c r="A724">
        <v>3767</v>
      </c>
      <c r="B724">
        <v>378</v>
      </c>
      <c r="C724">
        <v>0</v>
      </c>
      <c r="D724">
        <v>189</v>
      </c>
      <c r="E724">
        <v>97</v>
      </c>
      <c r="F724">
        <v>172</v>
      </c>
      <c r="G724">
        <v>172</v>
      </c>
      <c r="H724" t="s">
        <v>11</v>
      </c>
      <c r="I724">
        <v>61314</v>
      </c>
      <c r="J724">
        <v>0</v>
      </c>
      <c r="K724">
        <v>1</v>
      </c>
      <c r="L724">
        <v>0</v>
      </c>
      <c r="M724">
        <v>1</v>
      </c>
      <c r="N724">
        <f t="shared" si="22"/>
        <v>0.4283001885704662</v>
      </c>
      <c r="O724">
        <f t="shared" si="23"/>
        <v>0.61938715752205475</v>
      </c>
    </row>
    <row r="725" spans="1:15">
      <c r="A725">
        <v>3783</v>
      </c>
      <c r="B725">
        <v>105</v>
      </c>
      <c r="C725">
        <v>0</v>
      </c>
      <c r="D725">
        <v>10</v>
      </c>
      <c r="E725">
        <v>0</v>
      </c>
      <c r="F725">
        <v>1</v>
      </c>
      <c r="G725">
        <v>0</v>
      </c>
      <c r="H725" t="s">
        <v>11</v>
      </c>
      <c r="I725">
        <v>52854</v>
      </c>
      <c r="J725">
        <v>1</v>
      </c>
      <c r="K725">
        <v>1</v>
      </c>
      <c r="L725">
        <v>0</v>
      </c>
      <c r="M725">
        <v>1</v>
      </c>
      <c r="N725">
        <f t="shared" si="22"/>
        <v>3.6875385615490849E-2</v>
      </c>
      <c r="O725">
        <f t="shared" si="23"/>
        <v>0.34118823132622605</v>
      </c>
    </row>
    <row r="726" spans="1:15">
      <c r="A726">
        <v>3790</v>
      </c>
      <c r="B726">
        <v>8</v>
      </c>
      <c r="C726">
        <v>1</v>
      </c>
      <c r="D726">
        <v>5</v>
      </c>
      <c r="E726">
        <v>0</v>
      </c>
      <c r="F726">
        <v>0</v>
      </c>
      <c r="G726">
        <v>1</v>
      </c>
      <c r="H726" t="s">
        <v>11</v>
      </c>
      <c r="I726">
        <v>34633</v>
      </c>
      <c r="J726">
        <v>2</v>
      </c>
      <c r="K726">
        <v>1</v>
      </c>
      <c r="L726">
        <v>0</v>
      </c>
      <c r="M726">
        <v>1</v>
      </c>
      <c r="N726">
        <f t="shared" si="22"/>
        <v>-0.80616850736826873</v>
      </c>
      <c r="O726">
        <f t="shared" si="23"/>
        <v>-4.1513103460951307E-2</v>
      </c>
    </row>
    <row r="727" spans="1:15">
      <c r="A727">
        <v>3798</v>
      </c>
      <c r="B727">
        <v>24</v>
      </c>
      <c r="C727">
        <v>2</v>
      </c>
      <c r="D727">
        <v>23</v>
      </c>
      <c r="E727">
        <v>0</v>
      </c>
      <c r="F727">
        <v>8</v>
      </c>
      <c r="G727">
        <v>24</v>
      </c>
      <c r="H727" t="s">
        <v>11</v>
      </c>
      <c r="I727">
        <v>41120</v>
      </c>
      <c r="J727">
        <v>1</v>
      </c>
      <c r="K727">
        <v>1</v>
      </c>
      <c r="L727">
        <v>0</v>
      </c>
      <c r="M727">
        <v>1</v>
      </c>
      <c r="N727">
        <f t="shared" si="22"/>
        <v>-0.50602989072891591</v>
      </c>
      <c r="O727">
        <f t="shared" si="23"/>
        <v>7.8416366259431755E-2</v>
      </c>
    </row>
    <row r="728" spans="1:15">
      <c r="A728">
        <v>3799</v>
      </c>
      <c r="B728">
        <v>315</v>
      </c>
      <c r="C728">
        <v>35</v>
      </c>
      <c r="D728">
        <v>322</v>
      </c>
      <c r="E728">
        <v>46</v>
      </c>
      <c r="F728">
        <v>7</v>
      </c>
      <c r="G728">
        <v>143</v>
      </c>
      <c r="H728" t="s">
        <v>11</v>
      </c>
      <c r="I728">
        <v>67225</v>
      </c>
      <c r="J728">
        <v>0</v>
      </c>
      <c r="K728">
        <v>1</v>
      </c>
      <c r="L728">
        <v>0</v>
      </c>
      <c r="M728">
        <v>1</v>
      </c>
      <c r="N728">
        <f t="shared" si="22"/>
        <v>0.70178860585969316</v>
      </c>
      <c r="O728">
        <f t="shared" si="23"/>
        <v>0.72316954030518321</v>
      </c>
    </row>
    <row r="729" spans="1:15">
      <c r="A729">
        <v>3807</v>
      </c>
      <c r="B729">
        <v>473</v>
      </c>
      <c r="C729">
        <v>21</v>
      </c>
      <c r="D729">
        <v>176</v>
      </c>
      <c r="E729">
        <v>19</v>
      </c>
      <c r="F729">
        <v>21</v>
      </c>
      <c r="G729">
        <v>56</v>
      </c>
      <c r="H729" t="s">
        <v>11</v>
      </c>
      <c r="I729">
        <v>59925</v>
      </c>
      <c r="J729">
        <v>0</v>
      </c>
      <c r="K729">
        <v>1</v>
      </c>
      <c r="L729">
        <v>0</v>
      </c>
      <c r="M729">
        <v>1</v>
      </c>
      <c r="N729">
        <f t="shared" si="22"/>
        <v>0.36403434326261036</v>
      </c>
      <c r="O729">
        <f t="shared" si="23"/>
        <v>0.5902943233983643</v>
      </c>
    </row>
    <row r="730" spans="1:15">
      <c r="A730">
        <v>3828</v>
      </c>
      <c r="B730">
        <v>533</v>
      </c>
      <c r="C730">
        <v>10</v>
      </c>
      <c r="D730">
        <v>217</v>
      </c>
      <c r="E730">
        <v>198</v>
      </c>
      <c r="F730">
        <v>174</v>
      </c>
      <c r="G730">
        <v>195</v>
      </c>
      <c r="H730" t="s">
        <v>11</v>
      </c>
      <c r="I730">
        <v>71107</v>
      </c>
      <c r="J730">
        <v>0</v>
      </c>
      <c r="K730">
        <v>1</v>
      </c>
      <c r="L730">
        <v>0</v>
      </c>
      <c r="M730">
        <v>1</v>
      </c>
      <c r="N730">
        <f t="shared" si="22"/>
        <v>0.88139984522981296</v>
      </c>
      <c r="O730">
        <f t="shared" si="23"/>
        <v>0.77440085664471714</v>
      </c>
    </row>
    <row r="731" spans="1:15">
      <c r="A731">
        <v>3829</v>
      </c>
      <c r="B731">
        <v>1</v>
      </c>
      <c r="C731">
        <v>3</v>
      </c>
      <c r="D731">
        <v>6</v>
      </c>
      <c r="E731">
        <v>10</v>
      </c>
      <c r="F731">
        <v>0</v>
      </c>
      <c r="G731">
        <v>9</v>
      </c>
      <c r="H731" t="s">
        <v>11</v>
      </c>
      <c r="I731">
        <v>24594</v>
      </c>
      <c r="J731">
        <v>1</v>
      </c>
      <c r="K731">
        <v>0</v>
      </c>
      <c r="L731">
        <v>0</v>
      </c>
      <c r="M731">
        <v>1</v>
      </c>
      <c r="N731">
        <f t="shared" si="22"/>
        <v>-1.2706500200000652</v>
      </c>
      <c r="O731">
        <f t="shared" si="23"/>
        <v>-0.25862523429273654</v>
      </c>
    </row>
    <row r="732" spans="1:15">
      <c r="A732">
        <v>3830</v>
      </c>
      <c r="B732">
        <v>295</v>
      </c>
      <c r="C732">
        <v>21</v>
      </c>
      <c r="D732">
        <v>78</v>
      </c>
      <c r="E732">
        <v>39</v>
      </c>
      <c r="F732">
        <v>13</v>
      </c>
      <c r="G732">
        <v>13</v>
      </c>
      <c r="H732" t="s">
        <v>11</v>
      </c>
      <c r="I732">
        <v>59354</v>
      </c>
      <c r="J732">
        <v>0</v>
      </c>
      <c r="K732">
        <v>2</v>
      </c>
      <c r="L732">
        <v>0</v>
      </c>
      <c r="M732">
        <v>1</v>
      </c>
      <c r="N732">
        <f t="shared" si="22"/>
        <v>0.33761548244850975</v>
      </c>
      <c r="O732">
        <f t="shared" si="23"/>
        <v>0.3715103280177488</v>
      </c>
    </row>
    <row r="733" spans="1:15">
      <c r="A733">
        <v>3834</v>
      </c>
      <c r="B733">
        <v>231</v>
      </c>
      <c r="C733">
        <v>161</v>
      </c>
      <c r="D733">
        <v>215</v>
      </c>
      <c r="E733">
        <v>171</v>
      </c>
      <c r="F733">
        <v>30</v>
      </c>
      <c r="G733">
        <v>53</v>
      </c>
      <c r="H733" t="s">
        <v>12</v>
      </c>
      <c r="I733">
        <v>69627</v>
      </c>
      <c r="J733">
        <v>0</v>
      </c>
      <c r="K733">
        <v>1</v>
      </c>
      <c r="L733">
        <v>1</v>
      </c>
      <c r="M733">
        <v>0</v>
      </c>
      <c r="N733">
        <f t="shared" si="22"/>
        <v>0.8129236385662949</v>
      </c>
      <c r="O733">
        <f t="shared" si="23"/>
        <v>0.4126984398205617</v>
      </c>
    </row>
    <row r="734" spans="1:15">
      <c r="A734">
        <v>3839</v>
      </c>
      <c r="B734">
        <v>6</v>
      </c>
      <c r="C734">
        <v>12</v>
      </c>
      <c r="D734">
        <v>3</v>
      </c>
      <c r="E734">
        <v>21</v>
      </c>
      <c r="F734">
        <v>6</v>
      </c>
      <c r="G734">
        <v>40</v>
      </c>
      <c r="H734" t="s">
        <v>12</v>
      </c>
      <c r="I734">
        <v>15056</v>
      </c>
      <c r="J734">
        <v>1</v>
      </c>
      <c r="K734">
        <v>1</v>
      </c>
      <c r="L734">
        <v>1</v>
      </c>
      <c r="M734">
        <v>0</v>
      </c>
      <c r="N734">
        <f t="shared" si="22"/>
        <v>-1.7119514113221166</v>
      </c>
      <c r="O734">
        <f t="shared" si="23"/>
        <v>-0.58214137045543768</v>
      </c>
    </row>
    <row r="735" spans="1:15">
      <c r="A735">
        <v>3846</v>
      </c>
      <c r="B735">
        <v>192</v>
      </c>
      <c r="C735">
        <v>5</v>
      </c>
      <c r="D735">
        <v>53</v>
      </c>
      <c r="E735">
        <v>0</v>
      </c>
      <c r="F735">
        <v>5</v>
      </c>
      <c r="G735">
        <v>15</v>
      </c>
      <c r="H735" t="s">
        <v>11</v>
      </c>
      <c r="I735">
        <v>42557</v>
      </c>
      <c r="J735">
        <v>0</v>
      </c>
      <c r="K735">
        <v>1</v>
      </c>
      <c r="L735">
        <v>0</v>
      </c>
      <c r="M735">
        <v>1</v>
      </c>
      <c r="N735">
        <f t="shared" si="22"/>
        <v>-0.4395431954752162</v>
      </c>
      <c r="O735">
        <f t="shared" si="23"/>
        <v>0.13272463829489789</v>
      </c>
    </row>
    <row r="736" spans="1:15">
      <c r="A736">
        <v>3850</v>
      </c>
      <c r="B736">
        <v>3</v>
      </c>
      <c r="C736">
        <v>3</v>
      </c>
      <c r="D736">
        <v>3</v>
      </c>
      <c r="E736">
        <v>15</v>
      </c>
      <c r="F736">
        <v>4</v>
      </c>
      <c r="G736">
        <v>15</v>
      </c>
      <c r="H736" t="s">
        <v>11</v>
      </c>
      <c r="I736">
        <v>14918</v>
      </c>
      <c r="J736">
        <v>0</v>
      </c>
      <c r="K736">
        <v>1</v>
      </c>
      <c r="L736">
        <v>0</v>
      </c>
      <c r="M736">
        <v>1</v>
      </c>
      <c r="N736">
        <f t="shared" si="22"/>
        <v>-1.7183363549164177</v>
      </c>
      <c r="O736">
        <f t="shared" si="23"/>
        <v>-0.38753093772872627</v>
      </c>
    </row>
    <row r="737" spans="1:15">
      <c r="A737">
        <v>3855</v>
      </c>
      <c r="B737">
        <v>30</v>
      </c>
      <c r="C737">
        <v>3</v>
      </c>
      <c r="D737">
        <v>47</v>
      </c>
      <c r="E737">
        <v>19</v>
      </c>
      <c r="F737">
        <v>21</v>
      </c>
      <c r="G737">
        <v>42</v>
      </c>
      <c r="H737" t="s">
        <v>11</v>
      </c>
      <c r="I737">
        <v>22419</v>
      </c>
      <c r="J737">
        <v>0</v>
      </c>
      <c r="K737">
        <v>0</v>
      </c>
      <c r="L737">
        <v>0</v>
      </c>
      <c r="M737">
        <v>1</v>
      </c>
      <c r="N737">
        <f t="shared" si="22"/>
        <v>-1.3712822831711138</v>
      </c>
      <c r="O737">
        <f t="shared" si="23"/>
        <v>-0.33881710274498339</v>
      </c>
    </row>
    <row r="738" spans="1:15">
      <c r="A738">
        <v>3856</v>
      </c>
      <c r="B738">
        <v>571</v>
      </c>
      <c r="C738">
        <v>50</v>
      </c>
      <c r="D738">
        <v>142</v>
      </c>
      <c r="E738">
        <v>33</v>
      </c>
      <c r="F738">
        <v>50</v>
      </c>
      <c r="G738">
        <v>159</v>
      </c>
      <c r="H738" t="s">
        <v>11</v>
      </c>
      <c r="I738">
        <v>63381</v>
      </c>
      <c r="J738">
        <v>0</v>
      </c>
      <c r="K738">
        <v>1</v>
      </c>
      <c r="L738">
        <v>0</v>
      </c>
      <c r="M738">
        <v>1</v>
      </c>
      <c r="N738">
        <f t="shared" si="22"/>
        <v>0.52393553936336623</v>
      </c>
      <c r="O738">
        <f t="shared" si="23"/>
        <v>0.65937398161844141</v>
      </c>
    </row>
    <row r="739" spans="1:15">
      <c r="A739">
        <v>3859</v>
      </c>
      <c r="B739">
        <v>410</v>
      </c>
      <c r="C739">
        <v>112</v>
      </c>
      <c r="D739">
        <v>420</v>
      </c>
      <c r="E739">
        <v>0</v>
      </c>
      <c r="F739">
        <v>82</v>
      </c>
      <c r="G739">
        <v>71</v>
      </c>
      <c r="H739" t="s">
        <v>11</v>
      </c>
      <c r="I739">
        <v>73059</v>
      </c>
      <c r="J739">
        <v>0</v>
      </c>
      <c r="K739">
        <v>1</v>
      </c>
      <c r="L739">
        <v>0</v>
      </c>
      <c r="M739">
        <v>1</v>
      </c>
      <c r="N739">
        <f t="shared" si="22"/>
        <v>0.97171440969412881</v>
      </c>
      <c r="O739">
        <f t="shared" si="23"/>
        <v>0.79565642521177005</v>
      </c>
    </row>
    <row r="740" spans="1:15">
      <c r="A740">
        <v>3865</v>
      </c>
      <c r="B740">
        <v>2</v>
      </c>
      <c r="C740">
        <v>12</v>
      </c>
      <c r="D740">
        <v>10</v>
      </c>
      <c r="E740">
        <v>6</v>
      </c>
      <c r="F740">
        <v>13</v>
      </c>
      <c r="G740">
        <v>30</v>
      </c>
      <c r="H740" t="s">
        <v>11</v>
      </c>
      <c r="I740">
        <v>20981</v>
      </c>
      <c r="J740">
        <v>0</v>
      </c>
      <c r="K740">
        <v>0</v>
      </c>
      <c r="L740">
        <v>0</v>
      </c>
      <c r="M740">
        <v>1</v>
      </c>
      <c r="N740">
        <f t="shared" si="22"/>
        <v>-1.4378152461320186</v>
      </c>
      <c r="O740">
        <f t="shared" si="23"/>
        <v>-0.35979189219095065</v>
      </c>
    </row>
    <row r="741" spans="1:15">
      <c r="A741">
        <v>3870</v>
      </c>
      <c r="B741">
        <v>359</v>
      </c>
      <c r="C741">
        <v>35</v>
      </c>
      <c r="D741">
        <v>314</v>
      </c>
      <c r="E741">
        <v>93</v>
      </c>
      <c r="F741">
        <v>116</v>
      </c>
      <c r="G741">
        <v>89</v>
      </c>
      <c r="H741" t="s">
        <v>11</v>
      </c>
      <c r="I741">
        <v>63855</v>
      </c>
      <c r="J741">
        <v>0</v>
      </c>
      <c r="K741">
        <v>0</v>
      </c>
      <c r="L741">
        <v>0</v>
      </c>
      <c r="M741">
        <v>1</v>
      </c>
      <c r="N741">
        <f t="shared" si="22"/>
        <v>0.54586643257857403</v>
      </c>
      <c r="O741">
        <f t="shared" si="23"/>
        <v>0.88879830695744866</v>
      </c>
    </row>
    <row r="742" spans="1:15">
      <c r="A742">
        <v>3878</v>
      </c>
      <c r="B742">
        <v>3</v>
      </c>
      <c r="C742">
        <v>4</v>
      </c>
      <c r="D742">
        <v>7</v>
      </c>
      <c r="E742">
        <v>15</v>
      </c>
      <c r="F742">
        <v>8</v>
      </c>
      <c r="G742">
        <v>11</v>
      </c>
      <c r="H742" t="s">
        <v>12</v>
      </c>
      <c r="I742">
        <v>31859</v>
      </c>
      <c r="J742">
        <v>1</v>
      </c>
      <c r="K742">
        <v>0</v>
      </c>
      <c r="L742">
        <v>1</v>
      </c>
      <c r="M742">
        <v>0</v>
      </c>
      <c r="N742">
        <f t="shared" si="22"/>
        <v>-0.93451512715516016</v>
      </c>
      <c r="O742">
        <f t="shared" si="23"/>
        <v>-0.4565488988738623</v>
      </c>
    </row>
    <row r="743" spans="1:15">
      <c r="A743">
        <v>3885</v>
      </c>
      <c r="B743">
        <v>16</v>
      </c>
      <c r="C743">
        <v>2</v>
      </c>
      <c r="D743">
        <v>18</v>
      </c>
      <c r="E743">
        <v>3</v>
      </c>
      <c r="F743">
        <v>0</v>
      </c>
      <c r="G743">
        <v>24</v>
      </c>
      <c r="H743" t="s">
        <v>11</v>
      </c>
      <c r="I743">
        <v>33569</v>
      </c>
      <c r="J743">
        <v>1</v>
      </c>
      <c r="K743">
        <v>0</v>
      </c>
      <c r="L743">
        <v>0</v>
      </c>
      <c r="M743">
        <v>1</v>
      </c>
      <c r="N743">
        <f t="shared" si="22"/>
        <v>-0.85539734783447374</v>
      </c>
      <c r="O743">
        <f t="shared" si="23"/>
        <v>-8.9436156290314373E-2</v>
      </c>
    </row>
    <row r="744" spans="1:15">
      <c r="A744">
        <v>3887</v>
      </c>
      <c r="B744">
        <v>3</v>
      </c>
      <c r="C744">
        <v>17</v>
      </c>
      <c r="D744">
        <v>26</v>
      </c>
      <c r="E744">
        <v>20</v>
      </c>
      <c r="F744">
        <v>1</v>
      </c>
      <c r="G744">
        <v>39</v>
      </c>
      <c r="H744" t="s">
        <v>12</v>
      </c>
      <c r="I744">
        <v>27242</v>
      </c>
      <c r="J744">
        <v>1</v>
      </c>
      <c r="K744">
        <v>0</v>
      </c>
      <c r="L744">
        <v>1</v>
      </c>
      <c r="M744">
        <v>0</v>
      </c>
      <c r="N744">
        <f t="shared" si="22"/>
        <v>-1.1481331313210137</v>
      </c>
      <c r="O744">
        <f t="shared" si="23"/>
        <v>-0.52195514896871043</v>
      </c>
    </row>
    <row r="745" spans="1:15">
      <c r="A745">
        <v>3896</v>
      </c>
      <c r="B745">
        <v>22</v>
      </c>
      <c r="C745">
        <v>1</v>
      </c>
      <c r="D745">
        <v>11</v>
      </c>
      <c r="E745">
        <v>0</v>
      </c>
      <c r="F745">
        <v>1</v>
      </c>
      <c r="G745">
        <v>2</v>
      </c>
      <c r="H745" t="s">
        <v>11</v>
      </c>
      <c r="I745">
        <v>27255</v>
      </c>
      <c r="J745">
        <v>1</v>
      </c>
      <c r="K745">
        <v>0</v>
      </c>
      <c r="L745">
        <v>0</v>
      </c>
      <c r="M745">
        <v>1</v>
      </c>
      <c r="N745">
        <f t="shared" si="22"/>
        <v>-1.1475316511273477</v>
      </c>
      <c r="O745">
        <f t="shared" si="23"/>
        <v>-0.21400035165645925</v>
      </c>
    </row>
    <row r="746" spans="1:15">
      <c r="A746">
        <v>3900</v>
      </c>
      <c r="B746">
        <v>642</v>
      </c>
      <c r="C746">
        <v>14</v>
      </c>
      <c r="D746">
        <v>49</v>
      </c>
      <c r="E746">
        <v>0</v>
      </c>
      <c r="F746">
        <v>7</v>
      </c>
      <c r="G746">
        <v>57</v>
      </c>
      <c r="H746" t="s">
        <v>11</v>
      </c>
      <c r="I746">
        <v>65685</v>
      </c>
      <c r="J746">
        <v>0</v>
      </c>
      <c r="K746">
        <v>1</v>
      </c>
      <c r="L746">
        <v>0</v>
      </c>
      <c r="M746">
        <v>1</v>
      </c>
      <c r="N746">
        <f t="shared" si="22"/>
        <v>0.63053633676387022</v>
      </c>
      <c r="O746">
        <f t="shared" si="23"/>
        <v>0.69924032997927088</v>
      </c>
    </row>
    <row r="747" spans="1:15">
      <c r="A747">
        <v>3910</v>
      </c>
      <c r="B747">
        <v>897</v>
      </c>
      <c r="C747">
        <v>161</v>
      </c>
      <c r="D747">
        <v>430</v>
      </c>
      <c r="E747">
        <v>186</v>
      </c>
      <c r="F747">
        <v>161</v>
      </c>
      <c r="G747">
        <v>27</v>
      </c>
      <c r="H747" t="s">
        <v>12</v>
      </c>
      <c r="I747">
        <v>83829</v>
      </c>
      <c r="J747">
        <v>0</v>
      </c>
      <c r="K747">
        <v>0</v>
      </c>
      <c r="L747">
        <v>1</v>
      </c>
      <c r="M747">
        <v>0</v>
      </c>
      <c r="N747">
        <f t="shared" si="22"/>
        <v>1.4700176162928387</v>
      </c>
      <c r="O747">
        <f t="shared" si="23"/>
        <v>0.68470965713412946</v>
      </c>
    </row>
    <row r="748" spans="1:15">
      <c r="A748">
        <v>3916</v>
      </c>
      <c r="B748">
        <v>639</v>
      </c>
      <c r="C748">
        <v>8</v>
      </c>
      <c r="D748">
        <v>166</v>
      </c>
      <c r="E748">
        <v>11</v>
      </c>
      <c r="F748">
        <v>8</v>
      </c>
      <c r="G748">
        <v>58</v>
      </c>
      <c r="H748" t="s">
        <v>11</v>
      </c>
      <c r="I748">
        <v>49269</v>
      </c>
      <c r="J748">
        <v>1</v>
      </c>
      <c r="K748">
        <v>0</v>
      </c>
      <c r="L748">
        <v>0</v>
      </c>
      <c r="M748">
        <v>1</v>
      </c>
      <c r="N748">
        <f t="shared" si="22"/>
        <v>-0.12899434471472035</v>
      </c>
      <c r="O748">
        <f t="shared" si="23"/>
        <v>0.31950873980667921</v>
      </c>
    </row>
    <row r="749" spans="1:15">
      <c r="A749">
        <v>3919</v>
      </c>
      <c r="B749">
        <v>960</v>
      </c>
      <c r="C749">
        <v>0</v>
      </c>
      <c r="D749">
        <v>883</v>
      </c>
      <c r="E749">
        <v>50</v>
      </c>
      <c r="F749">
        <v>38</v>
      </c>
      <c r="G749">
        <v>0</v>
      </c>
      <c r="H749" t="s">
        <v>12</v>
      </c>
      <c r="I749">
        <v>72309</v>
      </c>
      <c r="J749">
        <v>0</v>
      </c>
      <c r="K749">
        <v>0</v>
      </c>
      <c r="L749">
        <v>1</v>
      </c>
      <c r="M749">
        <v>0</v>
      </c>
      <c r="N749">
        <f t="shared" si="22"/>
        <v>0.93701362929031895</v>
      </c>
      <c r="O749">
        <f t="shared" si="23"/>
        <v>0.56622833098238212</v>
      </c>
    </row>
    <row r="750" spans="1:15">
      <c r="A750">
        <v>3921</v>
      </c>
      <c r="B750">
        <v>24</v>
      </c>
      <c r="C750">
        <v>1</v>
      </c>
      <c r="D750">
        <v>108</v>
      </c>
      <c r="E750">
        <v>29</v>
      </c>
      <c r="F750">
        <v>29</v>
      </c>
      <c r="G750">
        <v>14</v>
      </c>
      <c r="H750" t="s">
        <v>12</v>
      </c>
      <c r="I750">
        <v>28457</v>
      </c>
      <c r="J750">
        <v>0</v>
      </c>
      <c r="K750">
        <v>0</v>
      </c>
      <c r="L750">
        <v>1</v>
      </c>
      <c r="M750">
        <v>0</v>
      </c>
      <c r="N750">
        <f t="shared" si="22"/>
        <v>-1.0919178670668419</v>
      </c>
      <c r="O750">
        <f t="shared" si="23"/>
        <v>-0.6107090463895557</v>
      </c>
    </row>
    <row r="751" spans="1:15">
      <c r="A751">
        <v>3924</v>
      </c>
      <c r="B751">
        <v>801</v>
      </c>
      <c r="C751">
        <v>0</v>
      </c>
      <c r="D751">
        <v>80</v>
      </c>
      <c r="E751">
        <v>0</v>
      </c>
      <c r="F751">
        <v>0</v>
      </c>
      <c r="G751">
        <v>35</v>
      </c>
      <c r="H751" t="s">
        <v>12</v>
      </c>
      <c r="I751">
        <v>57912</v>
      </c>
      <c r="J751">
        <v>0</v>
      </c>
      <c r="K751">
        <v>1</v>
      </c>
      <c r="L751">
        <v>1</v>
      </c>
      <c r="M751">
        <v>0</v>
      </c>
      <c r="N751">
        <f t="shared" si="22"/>
        <v>0.27089744865878462</v>
      </c>
      <c r="O751">
        <f t="shared" si="23"/>
        <v>0.15579651690466828</v>
      </c>
    </row>
    <row r="752" spans="1:15">
      <c r="A752">
        <v>3933</v>
      </c>
      <c r="B752">
        <v>186</v>
      </c>
      <c r="C752">
        <v>36</v>
      </c>
      <c r="D752">
        <v>234</v>
      </c>
      <c r="E752">
        <v>86</v>
      </c>
      <c r="F752">
        <v>72</v>
      </c>
      <c r="G752">
        <v>48</v>
      </c>
      <c r="H752" t="s">
        <v>11</v>
      </c>
      <c r="I752">
        <v>44010</v>
      </c>
      <c r="J752">
        <v>1</v>
      </c>
      <c r="K752">
        <v>0</v>
      </c>
      <c r="L752">
        <v>0</v>
      </c>
      <c r="M752">
        <v>1</v>
      </c>
      <c r="N752">
        <f t="shared" si="22"/>
        <v>-0.37231621690623518</v>
      </c>
      <c r="O752">
        <f t="shared" si="23"/>
        <v>0.17247641948996548</v>
      </c>
    </row>
    <row r="753" spans="1:15">
      <c r="A753">
        <v>3945</v>
      </c>
      <c r="B753">
        <v>618</v>
      </c>
      <c r="C753">
        <v>44</v>
      </c>
      <c r="D753">
        <v>215</v>
      </c>
      <c r="E753">
        <v>0</v>
      </c>
      <c r="F753">
        <v>17</v>
      </c>
      <c r="G753">
        <v>36</v>
      </c>
      <c r="H753" t="s">
        <v>12</v>
      </c>
      <c r="I753">
        <v>68117</v>
      </c>
      <c r="J753">
        <v>0</v>
      </c>
      <c r="K753">
        <v>1</v>
      </c>
      <c r="L753">
        <v>1</v>
      </c>
      <c r="M753">
        <v>0</v>
      </c>
      <c r="N753">
        <f t="shared" si="22"/>
        <v>0.74305940068662435</v>
      </c>
      <c r="O753">
        <f t="shared" si="23"/>
        <v>0.38518056687761298</v>
      </c>
    </row>
    <row r="754" spans="1:15">
      <c r="A754">
        <v>3955</v>
      </c>
      <c r="B754">
        <v>2</v>
      </c>
      <c r="C754">
        <v>1</v>
      </c>
      <c r="D754">
        <v>1</v>
      </c>
      <c r="E754">
        <v>1</v>
      </c>
      <c r="F754">
        <v>0</v>
      </c>
      <c r="G754">
        <v>1</v>
      </c>
      <c r="H754" t="s">
        <v>12</v>
      </c>
      <c r="I754">
        <v>4861</v>
      </c>
      <c r="J754">
        <v>0</v>
      </c>
      <c r="K754">
        <v>0</v>
      </c>
      <c r="L754">
        <v>1</v>
      </c>
      <c r="M754">
        <v>0</v>
      </c>
      <c r="N754">
        <f t="shared" si="22"/>
        <v>-2.1836506862779057</v>
      </c>
      <c r="O754">
        <f t="shared" si="23"/>
        <v>-0.75292367896015622</v>
      </c>
    </row>
    <row r="755" spans="1:15">
      <c r="A755">
        <v>3967</v>
      </c>
      <c r="B755">
        <v>331</v>
      </c>
      <c r="C755">
        <v>197</v>
      </c>
      <c r="D755">
        <v>170</v>
      </c>
      <c r="E755">
        <v>58</v>
      </c>
      <c r="F755">
        <v>152</v>
      </c>
      <c r="G755">
        <v>35</v>
      </c>
      <c r="H755" t="s">
        <v>11</v>
      </c>
      <c r="I755">
        <v>78931</v>
      </c>
      <c r="J755">
        <v>0</v>
      </c>
      <c r="K755">
        <v>0</v>
      </c>
      <c r="L755">
        <v>0</v>
      </c>
      <c r="M755">
        <v>1</v>
      </c>
      <c r="N755">
        <f t="shared" si="22"/>
        <v>1.2433983864023577</v>
      </c>
      <c r="O755">
        <f t="shared" si="23"/>
        <v>0.99661746757190794</v>
      </c>
    </row>
    <row r="756" spans="1:15">
      <c r="A756">
        <v>3968</v>
      </c>
      <c r="B756">
        <v>918</v>
      </c>
      <c r="C756">
        <v>10</v>
      </c>
      <c r="D756">
        <v>129</v>
      </c>
      <c r="E756">
        <v>13</v>
      </c>
      <c r="F756">
        <v>0</v>
      </c>
      <c r="G756">
        <v>129</v>
      </c>
      <c r="H756" t="s">
        <v>12</v>
      </c>
      <c r="I756">
        <v>65706</v>
      </c>
      <c r="J756">
        <v>0</v>
      </c>
      <c r="K756">
        <v>0</v>
      </c>
      <c r="L756">
        <v>1</v>
      </c>
      <c r="M756">
        <v>0</v>
      </c>
      <c r="N756">
        <f t="shared" si="22"/>
        <v>0.63150795861517683</v>
      </c>
      <c r="O756">
        <f t="shared" si="23"/>
        <v>0.4421743124284826</v>
      </c>
    </row>
    <row r="757" spans="1:15">
      <c r="A757">
        <v>3969</v>
      </c>
      <c r="B757">
        <v>35</v>
      </c>
      <c r="C757">
        <v>4</v>
      </c>
      <c r="D757">
        <v>17</v>
      </c>
      <c r="E757">
        <v>7</v>
      </c>
      <c r="F757">
        <v>6</v>
      </c>
      <c r="G757">
        <v>64</v>
      </c>
      <c r="H757" t="s">
        <v>11</v>
      </c>
      <c r="I757">
        <v>43018</v>
      </c>
      <c r="J757">
        <v>0</v>
      </c>
      <c r="K757">
        <v>1</v>
      </c>
      <c r="L757">
        <v>0</v>
      </c>
      <c r="M757">
        <v>1</v>
      </c>
      <c r="N757">
        <f t="shared" si="22"/>
        <v>-0.41821378245367435</v>
      </c>
      <c r="O757">
        <f t="shared" si="23"/>
        <v>0.14525881853589551</v>
      </c>
    </row>
    <row r="758" spans="1:15">
      <c r="A758">
        <v>3972</v>
      </c>
      <c r="B758">
        <v>266</v>
      </c>
      <c r="C758">
        <v>6</v>
      </c>
      <c r="D758">
        <v>51</v>
      </c>
      <c r="E758">
        <v>8</v>
      </c>
      <c r="F758">
        <v>6</v>
      </c>
      <c r="G758">
        <v>64</v>
      </c>
      <c r="H758" t="s">
        <v>11</v>
      </c>
      <c r="I758">
        <v>50200</v>
      </c>
      <c r="J758">
        <v>1</v>
      </c>
      <c r="K758">
        <v>1</v>
      </c>
      <c r="L758">
        <v>0</v>
      </c>
      <c r="M758">
        <v>1</v>
      </c>
      <c r="N758">
        <f t="shared" si="22"/>
        <v>-8.5919109306791031E-2</v>
      </c>
      <c r="O758">
        <f t="shared" si="23"/>
        <v>0.282208674898972</v>
      </c>
    </row>
    <row r="759" spans="1:15">
      <c r="A759">
        <v>3979</v>
      </c>
      <c r="B759">
        <v>982</v>
      </c>
      <c r="C759">
        <v>17</v>
      </c>
      <c r="D759">
        <v>672</v>
      </c>
      <c r="E759">
        <v>23</v>
      </c>
      <c r="F759">
        <v>34</v>
      </c>
      <c r="G759">
        <v>51</v>
      </c>
      <c r="H759" t="s">
        <v>12</v>
      </c>
      <c r="I759">
        <v>90687</v>
      </c>
      <c r="J759">
        <v>0</v>
      </c>
      <c r="K759">
        <v>0</v>
      </c>
      <c r="L759">
        <v>1</v>
      </c>
      <c r="M759">
        <v>0</v>
      </c>
      <c r="N759">
        <f t="shared" si="22"/>
        <v>1.7873215523052761</v>
      </c>
      <c r="O759">
        <f t="shared" si="23"/>
        <v>0.72269407489676152</v>
      </c>
    </row>
    <row r="760" spans="1:15">
      <c r="A760">
        <v>4001</v>
      </c>
      <c r="B760">
        <v>406</v>
      </c>
      <c r="C760">
        <v>0</v>
      </c>
      <c r="D760">
        <v>30</v>
      </c>
      <c r="E760">
        <v>0</v>
      </c>
      <c r="F760">
        <v>0</v>
      </c>
      <c r="G760">
        <v>8</v>
      </c>
      <c r="H760" t="s">
        <v>11</v>
      </c>
      <c r="I760">
        <v>64014</v>
      </c>
      <c r="J760">
        <v>2</v>
      </c>
      <c r="K760">
        <v>1</v>
      </c>
      <c r="L760">
        <v>0</v>
      </c>
      <c r="M760">
        <v>1</v>
      </c>
      <c r="N760">
        <f t="shared" si="22"/>
        <v>0.55322299802418173</v>
      </c>
      <c r="O760">
        <f t="shared" si="23"/>
        <v>0.40565955246288932</v>
      </c>
    </row>
    <row r="761" spans="1:15">
      <c r="A761">
        <v>4002</v>
      </c>
      <c r="B761">
        <v>463</v>
      </c>
      <c r="C761">
        <v>96</v>
      </c>
      <c r="D761">
        <v>333</v>
      </c>
      <c r="E761">
        <v>168</v>
      </c>
      <c r="F761">
        <v>53</v>
      </c>
      <c r="G761">
        <v>10</v>
      </c>
      <c r="H761" t="s">
        <v>11</v>
      </c>
      <c r="I761">
        <v>77037</v>
      </c>
      <c r="J761">
        <v>0</v>
      </c>
      <c r="K761">
        <v>1</v>
      </c>
      <c r="L761">
        <v>0</v>
      </c>
      <c r="M761">
        <v>1</v>
      </c>
      <c r="N761">
        <f t="shared" si="22"/>
        <v>1.1557673489559364</v>
      </c>
      <c r="O761">
        <f t="shared" si="23"/>
        <v>0.83095228458772896</v>
      </c>
    </row>
    <row r="762" spans="1:15">
      <c r="A762">
        <v>4012</v>
      </c>
      <c r="B762">
        <v>799</v>
      </c>
      <c r="C762">
        <v>12</v>
      </c>
      <c r="D762">
        <v>375</v>
      </c>
      <c r="E762">
        <v>16</v>
      </c>
      <c r="F762">
        <v>12</v>
      </c>
      <c r="G762">
        <v>12</v>
      </c>
      <c r="H762" t="s">
        <v>11</v>
      </c>
      <c r="I762">
        <v>62220</v>
      </c>
      <c r="J762">
        <v>0</v>
      </c>
      <c r="K762">
        <v>1</v>
      </c>
      <c r="L762">
        <v>0</v>
      </c>
      <c r="M762">
        <v>1</v>
      </c>
      <c r="N762">
        <f t="shared" si="22"/>
        <v>0.47021873129826858</v>
      </c>
      <c r="O762">
        <f t="shared" si="23"/>
        <v>0.63740545501161971</v>
      </c>
    </row>
    <row r="763" spans="1:15">
      <c r="A763">
        <v>4023</v>
      </c>
      <c r="B763">
        <v>16</v>
      </c>
      <c r="C763">
        <v>17</v>
      </c>
      <c r="D763">
        <v>19</v>
      </c>
      <c r="E763">
        <v>20</v>
      </c>
      <c r="F763">
        <v>21</v>
      </c>
      <c r="G763">
        <v>22</v>
      </c>
      <c r="H763" t="s">
        <v>11</v>
      </c>
      <c r="I763">
        <v>22979</v>
      </c>
      <c r="J763">
        <v>1</v>
      </c>
      <c r="K763">
        <v>0</v>
      </c>
      <c r="L763">
        <v>0</v>
      </c>
      <c r="M763">
        <v>1</v>
      </c>
      <c r="N763">
        <f t="shared" si="22"/>
        <v>-1.3453723671362692</v>
      </c>
      <c r="O763">
        <f t="shared" si="23"/>
        <v>-0.28360489977610948</v>
      </c>
    </row>
    <row r="764" spans="1:15">
      <c r="A764">
        <v>4037</v>
      </c>
      <c r="B764">
        <v>3</v>
      </c>
      <c r="C764">
        <v>1</v>
      </c>
      <c r="D764">
        <v>3</v>
      </c>
      <c r="E764">
        <v>8</v>
      </c>
      <c r="F764">
        <v>0</v>
      </c>
      <c r="G764">
        <v>5</v>
      </c>
      <c r="H764" t="s">
        <v>12</v>
      </c>
      <c r="I764">
        <v>31859</v>
      </c>
      <c r="J764">
        <v>1</v>
      </c>
      <c r="K764">
        <v>0</v>
      </c>
      <c r="L764">
        <v>1</v>
      </c>
      <c r="M764">
        <v>0</v>
      </c>
      <c r="N764">
        <f t="shared" si="22"/>
        <v>-0.93451512715516016</v>
      </c>
      <c r="O764">
        <f t="shared" si="23"/>
        <v>-0.4565488988738623</v>
      </c>
    </row>
    <row r="765" spans="1:15">
      <c r="A765">
        <v>4042</v>
      </c>
      <c r="B765">
        <v>91</v>
      </c>
      <c r="C765">
        <v>3</v>
      </c>
      <c r="D765">
        <v>52</v>
      </c>
      <c r="E765">
        <v>2</v>
      </c>
      <c r="F765">
        <v>1</v>
      </c>
      <c r="G765">
        <v>31</v>
      </c>
      <c r="H765" t="s">
        <v>12</v>
      </c>
      <c r="I765">
        <v>43300</v>
      </c>
      <c r="J765">
        <v>0</v>
      </c>
      <c r="K765">
        <v>1</v>
      </c>
      <c r="L765">
        <v>1</v>
      </c>
      <c r="M765">
        <v>0</v>
      </c>
      <c r="N765">
        <f t="shared" si="22"/>
        <v>-0.40516628902184187</v>
      </c>
      <c r="O765">
        <f t="shared" si="23"/>
        <v>-0.22807700368387696</v>
      </c>
    </row>
    <row r="766" spans="1:15">
      <c r="A766">
        <v>4047</v>
      </c>
      <c r="B766">
        <v>384</v>
      </c>
      <c r="C766">
        <v>0</v>
      </c>
      <c r="D766">
        <v>102</v>
      </c>
      <c r="E766">
        <v>21</v>
      </c>
      <c r="F766">
        <v>32</v>
      </c>
      <c r="G766">
        <v>5</v>
      </c>
      <c r="H766" t="s">
        <v>11</v>
      </c>
      <c r="I766">
        <v>65324</v>
      </c>
      <c r="J766">
        <v>0</v>
      </c>
      <c r="K766">
        <v>1</v>
      </c>
      <c r="L766">
        <v>0</v>
      </c>
      <c r="M766">
        <v>1</v>
      </c>
      <c r="N766">
        <f t="shared" si="22"/>
        <v>0.61383369446283631</v>
      </c>
      <c r="O766">
        <f t="shared" si="23"/>
        <v>0.6933191298973338</v>
      </c>
    </row>
    <row r="767" spans="1:15">
      <c r="A767">
        <v>4050</v>
      </c>
      <c r="B767">
        <v>42</v>
      </c>
      <c r="C767">
        <v>16</v>
      </c>
      <c r="D767">
        <v>29</v>
      </c>
      <c r="E767">
        <v>12</v>
      </c>
      <c r="F767">
        <v>20</v>
      </c>
      <c r="G767">
        <v>8</v>
      </c>
      <c r="H767" t="s">
        <v>11</v>
      </c>
      <c r="I767">
        <v>49605</v>
      </c>
      <c r="J767">
        <v>0</v>
      </c>
      <c r="K767">
        <v>0</v>
      </c>
      <c r="L767">
        <v>0</v>
      </c>
      <c r="M767">
        <v>1</v>
      </c>
      <c r="N767">
        <f t="shared" si="22"/>
        <v>-0.11344839509381352</v>
      </c>
      <c r="O767">
        <f t="shared" si="23"/>
        <v>0.46362921803843499</v>
      </c>
    </row>
    <row r="768" spans="1:15">
      <c r="A768">
        <v>4055</v>
      </c>
      <c r="B768">
        <v>2</v>
      </c>
      <c r="C768">
        <v>10</v>
      </c>
      <c r="D768">
        <v>11</v>
      </c>
      <c r="E768">
        <v>12</v>
      </c>
      <c r="F768">
        <v>9</v>
      </c>
      <c r="G768">
        <v>20</v>
      </c>
      <c r="H768" t="s">
        <v>12</v>
      </c>
      <c r="I768">
        <v>18746</v>
      </c>
      <c r="J768">
        <v>1</v>
      </c>
      <c r="K768">
        <v>0</v>
      </c>
      <c r="L768">
        <v>1</v>
      </c>
      <c r="M768">
        <v>0</v>
      </c>
      <c r="N768">
        <f t="shared" si="22"/>
        <v>-1.5412235717353719</v>
      </c>
      <c r="O768">
        <f t="shared" si="23"/>
        <v>-0.61017034348247867</v>
      </c>
    </row>
    <row r="769" spans="1:15">
      <c r="A769">
        <v>4058</v>
      </c>
      <c r="B769">
        <v>618</v>
      </c>
      <c r="C769">
        <v>15</v>
      </c>
      <c r="D769">
        <v>106</v>
      </c>
      <c r="E769">
        <v>20</v>
      </c>
      <c r="F769">
        <v>7</v>
      </c>
      <c r="G769">
        <v>45</v>
      </c>
      <c r="H769" t="s">
        <v>12</v>
      </c>
      <c r="I769">
        <v>61284</v>
      </c>
      <c r="J769">
        <v>0</v>
      </c>
      <c r="K769">
        <v>0</v>
      </c>
      <c r="L769">
        <v>1</v>
      </c>
      <c r="M769">
        <v>0</v>
      </c>
      <c r="N769">
        <f t="shared" si="22"/>
        <v>0.42691215735431381</v>
      </c>
      <c r="O769">
        <f t="shared" si="23"/>
        <v>0.32514417541032381</v>
      </c>
    </row>
    <row r="770" spans="1:15">
      <c r="A770">
        <v>4065</v>
      </c>
      <c r="B770">
        <v>308</v>
      </c>
      <c r="C770">
        <v>0</v>
      </c>
      <c r="D770">
        <v>73</v>
      </c>
      <c r="E770">
        <v>0</v>
      </c>
      <c r="F770">
        <v>0</v>
      </c>
      <c r="G770">
        <v>23</v>
      </c>
      <c r="H770" t="s">
        <v>11</v>
      </c>
      <c r="I770">
        <v>49544</v>
      </c>
      <c r="J770">
        <v>1</v>
      </c>
      <c r="K770">
        <v>0</v>
      </c>
      <c r="L770">
        <v>0</v>
      </c>
      <c r="M770">
        <v>1</v>
      </c>
      <c r="N770">
        <f t="shared" si="22"/>
        <v>-0.11627072523332339</v>
      </c>
      <c r="O770">
        <f t="shared" si="23"/>
        <v>0.32718173926088673</v>
      </c>
    </row>
    <row r="771" spans="1:15">
      <c r="A771">
        <v>4066</v>
      </c>
      <c r="B771">
        <v>1</v>
      </c>
      <c r="C771">
        <v>5</v>
      </c>
      <c r="D771">
        <v>8</v>
      </c>
      <c r="E771">
        <v>4</v>
      </c>
      <c r="F771">
        <v>8</v>
      </c>
      <c r="G771">
        <v>20</v>
      </c>
      <c r="H771" t="s">
        <v>12</v>
      </c>
      <c r="I771">
        <v>21282</v>
      </c>
      <c r="J771">
        <v>1</v>
      </c>
      <c r="K771">
        <v>0</v>
      </c>
      <c r="L771">
        <v>1</v>
      </c>
      <c r="M771">
        <v>0</v>
      </c>
      <c r="N771">
        <f t="shared" ref="N771:N834" si="24">STANDARDIZE(I771,$Q$1,$R$1)</f>
        <v>-1.4238886662632897</v>
      </c>
      <c r="O771">
        <f t="shared" ref="O771:O834" si="25">SUMPRODUCT(J771:N771,$Q$4:$U$4) / SQRT(SUMSQ(J771:N771) * SUMSQ($Q$4:$U$4))</f>
        <v>-0.58756148925758411</v>
      </c>
    </row>
    <row r="772" spans="1:15">
      <c r="A772">
        <v>4070</v>
      </c>
      <c r="B772">
        <v>169</v>
      </c>
      <c r="C772">
        <v>24</v>
      </c>
      <c r="D772">
        <v>553</v>
      </c>
      <c r="E772">
        <v>188</v>
      </c>
      <c r="F772">
        <v>0</v>
      </c>
      <c r="G772">
        <v>144</v>
      </c>
      <c r="H772" t="s">
        <v>11</v>
      </c>
      <c r="I772">
        <v>94871</v>
      </c>
      <c r="J772">
        <v>0</v>
      </c>
      <c r="K772">
        <v>2</v>
      </c>
      <c r="L772">
        <v>0</v>
      </c>
      <c r="M772">
        <v>1</v>
      </c>
      <c r="N772">
        <f t="shared" si="24"/>
        <v>1.9809056392513302</v>
      </c>
      <c r="O772">
        <f t="shared" si="25"/>
        <v>0.73677730438481326</v>
      </c>
    </row>
    <row r="773" spans="1:15">
      <c r="A773">
        <v>4073</v>
      </c>
      <c r="B773">
        <v>769</v>
      </c>
      <c r="C773">
        <v>80</v>
      </c>
      <c r="D773">
        <v>252</v>
      </c>
      <c r="E773">
        <v>15</v>
      </c>
      <c r="F773">
        <v>34</v>
      </c>
      <c r="G773">
        <v>65</v>
      </c>
      <c r="H773" t="s">
        <v>11</v>
      </c>
      <c r="I773">
        <v>63564</v>
      </c>
      <c r="J773">
        <v>0</v>
      </c>
      <c r="K773">
        <v>0</v>
      </c>
      <c r="L773">
        <v>0</v>
      </c>
      <c r="M773">
        <v>1</v>
      </c>
      <c r="N773">
        <f t="shared" si="24"/>
        <v>0.53240252978189584</v>
      </c>
      <c r="O773">
        <f t="shared" si="25"/>
        <v>0.88396918440164285</v>
      </c>
    </row>
    <row r="774" spans="1:15">
      <c r="A774">
        <v>4084</v>
      </c>
      <c r="B774">
        <v>224</v>
      </c>
      <c r="C774">
        <v>155</v>
      </c>
      <c r="D774">
        <v>155</v>
      </c>
      <c r="E774">
        <v>192</v>
      </c>
      <c r="F774">
        <v>93</v>
      </c>
      <c r="G774">
        <v>54</v>
      </c>
      <c r="H774" t="s">
        <v>11</v>
      </c>
      <c r="I774">
        <v>60934</v>
      </c>
      <c r="J774">
        <v>0</v>
      </c>
      <c r="K774">
        <v>1</v>
      </c>
      <c r="L774">
        <v>0</v>
      </c>
      <c r="M774">
        <v>1</v>
      </c>
      <c r="N774">
        <f t="shared" si="24"/>
        <v>0.41071845983253591</v>
      </c>
      <c r="O774">
        <f t="shared" si="25"/>
        <v>0.611603319742827</v>
      </c>
    </row>
    <row r="775" spans="1:15">
      <c r="A775">
        <v>4086</v>
      </c>
      <c r="B775">
        <v>6</v>
      </c>
      <c r="C775">
        <v>1</v>
      </c>
      <c r="D775">
        <v>7</v>
      </c>
      <c r="E775">
        <v>23</v>
      </c>
      <c r="F775">
        <v>4</v>
      </c>
      <c r="G775">
        <v>19</v>
      </c>
      <c r="H775" t="s">
        <v>11</v>
      </c>
      <c r="I775">
        <v>18690</v>
      </c>
      <c r="J775">
        <v>0</v>
      </c>
      <c r="K775">
        <v>0</v>
      </c>
      <c r="L775">
        <v>0</v>
      </c>
      <c r="M775">
        <v>1</v>
      </c>
      <c r="N775">
        <f t="shared" si="24"/>
        <v>-1.5438145633388565</v>
      </c>
      <c r="O775">
        <f t="shared" si="25"/>
        <v>-0.39029764626516344</v>
      </c>
    </row>
    <row r="776" spans="1:15">
      <c r="A776">
        <v>4088</v>
      </c>
      <c r="B776">
        <v>108</v>
      </c>
      <c r="C776">
        <v>1</v>
      </c>
      <c r="D776">
        <v>28</v>
      </c>
      <c r="E776">
        <v>13</v>
      </c>
      <c r="F776">
        <v>1</v>
      </c>
      <c r="G776">
        <v>4</v>
      </c>
      <c r="H776" t="s">
        <v>11</v>
      </c>
      <c r="I776">
        <v>31497</v>
      </c>
      <c r="J776">
        <v>0</v>
      </c>
      <c r="K776">
        <v>1</v>
      </c>
      <c r="L776">
        <v>0</v>
      </c>
      <c r="M776">
        <v>1</v>
      </c>
      <c r="N776">
        <f t="shared" si="24"/>
        <v>-0.95126403716339913</v>
      </c>
      <c r="O776">
        <f t="shared" si="25"/>
        <v>-0.13330845515277667</v>
      </c>
    </row>
    <row r="777" spans="1:15">
      <c r="A777">
        <v>4093</v>
      </c>
      <c r="B777">
        <v>216</v>
      </c>
      <c r="C777">
        <v>9</v>
      </c>
      <c r="D777">
        <v>57</v>
      </c>
      <c r="E777">
        <v>20</v>
      </c>
      <c r="F777">
        <v>9</v>
      </c>
      <c r="G777">
        <v>125</v>
      </c>
      <c r="H777" t="s">
        <v>11</v>
      </c>
      <c r="I777">
        <v>53253</v>
      </c>
      <c r="J777">
        <v>1</v>
      </c>
      <c r="K777">
        <v>1</v>
      </c>
      <c r="L777">
        <v>0</v>
      </c>
      <c r="M777">
        <v>1</v>
      </c>
      <c r="N777">
        <f t="shared" si="24"/>
        <v>5.5336200790317702E-2</v>
      </c>
      <c r="O777">
        <f t="shared" si="25"/>
        <v>0.34991340405285165</v>
      </c>
    </row>
    <row r="778" spans="1:15">
      <c r="A778">
        <v>4094</v>
      </c>
      <c r="B778">
        <v>201</v>
      </c>
      <c r="C778">
        <v>2</v>
      </c>
      <c r="D778">
        <v>43</v>
      </c>
      <c r="E778">
        <v>3</v>
      </c>
      <c r="F778">
        <v>5</v>
      </c>
      <c r="G778">
        <v>35</v>
      </c>
      <c r="H778" t="s">
        <v>11</v>
      </c>
      <c r="I778">
        <v>60544</v>
      </c>
      <c r="J778">
        <v>1</v>
      </c>
      <c r="K778">
        <v>1</v>
      </c>
      <c r="L778">
        <v>0</v>
      </c>
      <c r="M778">
        <v>1</v>
      </c>
      <c r="N778">
        <f t="shared" si="24"/>
        <v>0.39267405402255473</v>
      </c>
      <c r="O778">
        <f t="shared" si="25"/>
        <v>0.49872218327219048</v>
      </c>
    </row>
    <row r="779" spans="1:15">
      <c r="A779">
        <v>4095</v>
      </c>
      <c r="B779">
        <v>167</v>
      </c>
      <c r="C779">
        <v>37</v>
      </c>
      <c r="D779">
        <v>64</v>
      </c>
      <c r="E779">
        <v>49</v>
      </c>
      <c r="F779">
        <v>34</v>
      </c>
      <c r="G779">
        <v>116</v>
      </c>
      <c r="H779" t="s">
        <v>11</v>
      </c>
      <c r="I779">
        <v>37150</v>
      </c>
      <c r="J779">
        <v>1</v>
      </c>
      <c r="K779">
        <v>0</v>
      </c>
      <c r="L779">
        <v>0</v>
      </c>
      <c r="M779">
        <v>1</v>
      </c>
      <c r="N779">
        <f t="shared" si="24"/>
        <v>-0.68971268833308286</v>
      </c>
      <c r="O779">
        <f t="shared" si="25"/>
        <v>-6.7446387660954916E-3</v>
      </c>
    </row>
    <row r="780" spans="1:15">
      <c r="A780">
        <v>4098</v>
      </c>
      <c r="B780">
        <v>20</v>
      </c>
      <c r="C780">
        <v>3</v>
      </c>
      <c r="D780">
        <v>16</v>
      </c>
      <c r="E780">
        <v>0</v>
      </c>
      <c r="F780">
        <v>4</v>
      </c>
      <c r="G780">
        <v>1</v>
      </c>
      <c r="H780" t="s">
        <v>11</v>
      </c>
      <c r="I780">
        <v>24639</v>
      </c>
      <c r="J780">
        <v>1</v>
      </c>
      <c r="K780">
        <v>1</v>
      </c>
      <c r="L780">
        <v>0</v>
      </c>
      <c r="M780">
        <v>1</v>
      </c>
      <c r="N780">
        <f t="shared" si="24"/>
        <v>-1.2685679731758366</v>
      </c>
      <c r="O780">
        <f t="shared" si="25"/>
        <v>-0.22822158080705213</v>
      </c>
    </row>
    <row r="781" spans="1:15">
      <c r="A781">
        <v>4099</v>
      </c>
      <c r="B781">
        <v>10</v>
      </c>
      <c r="C781">
        <v>2</v>
      </c>
      <c r="D781">
        <v>16</v>
      </c>
      <c r="E781">
        <v>11</v>
      </c>
      <c r="F781">
        <v>2</v>
      </c>
      <c r="G781">
        <v>21</v>
      </c>
      <c r="H781" t="s">
        <v>11</v>
      </c>
      <c r="I781">
        <v>30675</v>
      </c>
      <c r="J781">
        <v>1</v>
      </c>
      <c r="K781">
        <v>0</v>
      </c>
      <c r="L781">
        <v>0</v>
      </c>
      <c r="M781">
        <v>1</v>
      </c>
      <c r="N781">
        <f t="shared" si="24"/>
        <v>-0.98929609248597472</v>
      </c>
      <c r="O781">
        <f t="shared" si="25"/>
        <v>-0.14989517041169459</v>
      </c>
    </row>
    <row r="782" spans="1:15">
      <c r="A782">
        <v>4107</v>
      </c>
      <c r="B782">
        <v>269</v>
      </c>
      <c r="C782">
        <v>15</v>
      </c>
      <c r="D782">
        <v>69</v>
      </c>
      <c r="E782">
        <v>15</v>
      </c>
      <c r="F782">
        <v>19</v>
      </c>
      <c r="G782">
        <v>38</v>
      </c>
      <c r="H782" t="s">
        <v>11</v>
      </c>
      <c r="I782">
        <v>46681</v>
      </c>
      <c r="J782">
        <v>0</v>
      </c>
      <c r="K782">
        <v>2</v>
      </c>
      <c r="L782">
        <v>0</v>
      </c>
      <c r="M782">
        <v>1</v>
      </c>
      <c r="N782">
        <f t="shared" si="24"/>
        <v>-0.24873517096146694</v>
      </c>
      <c r="O782">
        <f t="shared" si="25"/>
        <v>0.15759634450872864</v>
      </c>
    </row>
    <row r="783" spans="1:15">
      <c r="A783">
        <v>4114</v>
      </c>
      <c r="B783">
        <v>650</v>
      </c>
      <c r="C783">
        <v>37</v>
      </c>
      <c r="D783">
        <v>780</v>
      </c>
      <c r="E783">
        <v>27</v>
      </c>
      <c r="F783">
        <v>167</v>
      </c>
      <c r="G783">
        <v>32</v>
      </c>
      <c r="H783" t="s">
        <v>11</v>
      </c>
      <c r="I783">
        <v>79143</v>
      </c>
      <c r="J783">
        <v>0</v>
      </c>
      <c r="K783">
        <v>0</v>
      </c>
      <c r="L783">
        <v>0</v>
      </c>
      <c r="M783">
        <v>1</v>
      </c>
      <c r="N783">
        <f t="shared" si="24"/>
        <v>1.2532071403298346</v>
      </c>
      <c r="O783">
        <f t="shared" si="25"/>
        <v>0.99692523483881335</v>
      </c>
    </row>
    <row r="784" spans="1:15">
      <c r="A784">
        <v>4120</v>
      </c>
      <c r="B784">
        <v>88</v>
      </c>
      <c r="C784">
        <v>39</v>
      </c>
      <c r="D784">
        <v>78</v>
      </c>
      <c r="E784">
        <v>58</v>
      </c>
      <c r="F784">
        <v>13</v>
      </c>
      <c r="G784">
        <v>93</v>
      </c>
      <c r="H784" t="s">
        <v>12</v>
      </c>
      <c r="I784">
        <v>49514</v>
      </c>
      <c r="J784">
        <v>1</v>
      </c>
      <c r="K784">
        <v>0</v>
      </c>
      <c r="L784">
        <v>1</v>
      </c>
      <c r="M784">
        <v>0</v>
      </c>
      <c r="N784">
        <f t="shared" si="24"/>
        <v>-0.11765875644947579</v>
      </c>
      <c r="O784">
        <f t="shared" si="25"/>
        <v>-6.8660069135061744E-2</v>
      </c>
    </row>
    <row r="785" spans="1:15">
      <c r="A785">
        <v>4122</v>
      </c>
      <c r="B785">
        <v>504</v>
      </c>
      <c r="C785">
        <v>23</v>
      </c>
      <c r="D785">
        <v>117</v>
      </c>
      <c r="E785">
        <v>179</v>
      </c>
      <c r="F785">
        <v>28</v>
      </c>
      <c r="G785">
        <v>44</v>
      </c>
      <c r="H785" t="s">
        <v>11</v>
      </c>
      <c r="I785">
        <v>79205</v>
      </c>
      <c r="J785">
        <v>0</v>
      </c>
      <c r="K785">
        <v>0</v>
      </c>
      <c r="L785">
        <v>0</v>
      </c>
      <c r="M785">
        <v>1</v>
      </c>
      <c r="N785">
        <f t="shared" si="24"/>
        <v>1.2560757381765495</v>
      </c>
      <c r="O785">
        <f t="shared" si="25"/>
        <v>0.99701193846929181</v>
      </c>
    </row>
    <row r="786" spans="1:15">
      <c r="A786">
        <v>4127</v>
      </c>
      <c r="B786">
        <v>1004</v>
      </c>
      <c r="C786">
        <v>59</v>
      </c>
      <c r="D786">
        <v>265</v>
      </c>
      <c r="E786">
        <v>115</v>
      </c>
      <c r="F786">
        <v>59</v>
      </c>
      <c r="G786">
        <v>27</v>
      </c>
      <c r="H786" t="s">
        <v>11</v>
      </c>
      <c r="I786">
        <v>77766</v>
      </c>
      <c r="J786">
        <v>0</v>
      </c>
      <c r="K786">
        <v>1</v>
      </c>
      <c r="L786">
        <v>0</v>
      </c>
      <c r="M786">
        <v>1</v>
      </c>
      <c r="N786">
        <f t="shared" si="24"/>
        <v>1.1894965075084396</v>
      </c>
      <c r="O786">
        <f t="shared" si="25"/>
        <v>0.83638672334208564</v>
      </c>
    </row>
    <row r="787" spans="1:15">
      <c r="A787">
        <v>4128</v>
      </c>
      <c r="B787">
        <v>517</v>
      </c>
      <c r="C787">
        <v>12</v>
      </c>
      <c r="D787">
        <v>54</v>
      </c>
      <c r="E787">
        <v>16</v>
      </c>
      <c r="F787">
        <v>6</v>
      </c>
      <c r="G787">
        <v>120</v>
      </c>
      <c r="H787" t="s">
        <v>11</v>
      </c>
      <c r="I787">
        <v>56067</v>
      </c>
      <c r="J787">
        <v>0</v>
      </c>
      <c r="K787">
        <v>1</v>
      </c>
      <c r="L787">
        <v>0</v>
      </c>
      <c r="M787">
        <v>1</v>
      </c>
      <c r="N787">
        <f t="shared" si="24"/>
        <v>0.18553352886541236</v>
      </c>
      <c r="O787">
        <f t="shared" si="25"/>
        <v>0.50072211621052642</v>
      </c>
    </row>
    <row r="788" spans="1:15">
      <c r="A788">
        <v>4136</v>
      </c>
      <c r="B788">
        <v>10</v>
      </c>
      <c r="C788">
        <v>17</v>
      </c>
      <c r="D788">
        <v>18</v>
      </c>
      <c r="E788">
        <v>8</v>
      </c>
      <c r="F788">
        <v>26</v>
      </c>
      <c r="G788">
        <v>40</v>
      </c>
      <c r="H788" t="s">
        <v>12</v>
      </c>
      <c r="I788">
        <v>7500</v>
      </c>
      <c r="J788">
        <v>1</v>
      </c>
      <c r="K788">
        <v>0</v>
      </c>
      <c r="L788">
        <v>1</v>
      </c>
      <c r="M788">
        <v>0</v>
      </c>
      <c r="N788">
        <f t="shared" si="24"/>
        <v>-2.0615502069636999</v>
      </c>
      <c r="O788">
        <f t="shared" si="25"/>
        <v>-0.68288430434933434</v>
      </c>
    </row>
    <row r="789" spans="1:15">
      <c r="A789">
        <v>4137</v>
      </c>
      <c r="B789">
        <v>398</v>
      </c>
      <c r="C789">
        <v>40</v>
      </c>
      <c r="D789">
        <v>367</v>
      </c>
      <c r="E789">
        <v>119</v>
      </c>
      <c r="F789">
        <v>122</v>
      </c>
      <c r="G789">
        <v>30</v>
      </c>
      <c r="H789" t="s">
        <v>11</v>
      </c>
      <c r="I789">
        <v>70666</v>
      </c>
      <c r="J789">
        <v>0</v>
      </c>
      <c r="K789">
        <v>0</v>
      </c>
      <c r="L789">
        <v>0</v>
      </c>
      <c r="M789">
        <v>1</v>
      </c>
      <c r="N789">
        <f t="shared" si="24"/>
        <v>0.86099578635237284</v>
      </c>
      <c r="O789">
        <f t="shared" si="25"/>
        <v>0.96511845243141092</v>
      </c>
    </row>
    <row r="790" spans="1:15">
      <c r="A790">
        <v>4138</v>
      </c>
      <c r="B790">
        <v>411</v>
      </c>
      <c r="C790">
        <v>106</v>
      </c>
      <c r="D790">
        <v>147</v>
      </c>
      <c r="E790">
        <v>54</v>
      </c>
      <c r="F790">
        <v>115</v>
      </c>
      <c r="G790">
        <v>66</v>
      </c>
      <c r="H790" t="s">
        <v>12</v>
      </c>
      <c r="I790">
        <v>76624</v>
      </c>
      <c r="J790">
        <v>0</v>
      </c>
      <c r="K790">
        <v>1</v>
      </c>
      <c r="L790">
        <v>1</v>
      </c>
      <c r="M790">
        <v>0</v>
      </c>
      <c r="N790">
        <f t="shared" si="24"/>
        <v>1.1366587858802384</v>
      </c>
      <c r="O790">
        <f t="shared" si="25"/>
        <v>0.51879227293361052</v>
      </c>
    </row>
    <row r="791" spans="1:15">
      <c r="A791">
        <v>4141</v>
      </c>
      <c r="B791">
        <v>426</v>
      </c>
      <c r="C791">
        <v>49</v>
      </c>
      <c r="D791">
        <v>127</v>
      </c>
      <c r="E791">
        <v>111</v>
      </c>
      <c r="F791">
        <v>21</v>
      </c>
      <c r="G791">
        <v>42</v>
      </c>
      <c r="H791" t="s">
        <v>11</v>
      </c>
      <c r="I791">
        <v>71613</v>
      </c>
      <c r="J791">
        <v>0</v>
      </c>
      <c r="K791">
        <v>0</v>
      </c>
      <c r="L791">
        <v>0</v>
      </c>
      <c r="M791">
        <v>1</v>
      </c>
      <c r="N791">
        <f t="shared" si="24"/>
        <v>0.90481130507558338</v>
      </c>
      <c r="O791">
        <f t="shared" si="25"/>
        <v>0.97127206701754876</v>
      </c>
    </row>
    <row r="792" spans="1:15">
      <c r="A792">
        <v>4148</v>
      </c>
      <c r="B792">
        <v>164</v>
      </c>
      <c r="C792">
        <v>24</v>
      </c>
      <c r="D792">
        <v>103</v>
      </c>
      <c r="E792">
        <v>12</v>
      </c>
      <c r="F792">
        <v>3</v>
      </c>
      <c r="G792">
        <v>42</v>
      </c>
      <c r="H792" t="s">
        <v>11</v>
      </c>
      <c r="I792">
        <v>38988</v>
      </c>
      <c r="J792">
        <v>1</v>
      </c>
      <c r="K792">
        <v>2</v>
      </c>
      <c r="L792">
        <v>0</v>
      </c>
      <c r="M792">
        <v>1</v>
      </c>
      <c r="N792">
        <f t="shared" si="24"/>
        <v>-0.60467264249014607</v>
      </c>
      <c r="O792">
        <f t="shared" si="25"/>
        <v>2.3706128013444867E-2</v>
      </c>
    </row>
    <row r="793" spans="1:15">
      <c r="A793">
        <v>4149</v>
      </c>
      <c r="B793">
        <v>586</v>
      </c>
      <c r="C793">
        <v>66</v>
      </c>
      <c r="D793">
        <v>653</v>
      </c>
      <c r="E793">
        <v>17</v>
      </c>
      <c r="F793">
        <v>0</v>
      </c>
      <c r="G793">
        <v>26</v>
      </c>
      <c r="H793" t="s">
        <v>11</v>
      </c>
      <c r="I793">
        <v>76140</v>
      </c>
      <c r="J793">
        <v>0</v>
      </c>
      <c r="K793">
        <v>0</v>
      </c>
      <c r="L793">
        <v>0</v>
      </c>
      <c r="M793">
        <v>1</v>
      </c>
      <c r="N793">
        <f t="shared" si="24"/>
        <v>1.1142652155929798</v>
      </c>
      <c r="O793">
        <f t="shared" si="25"/>
        <v>0.99071825221604204</v>
      </c>
    </row>
    <row r="794" spans="1:15">
      <c r="A794">
        <v>4168</v>
      </c>
      <c r="B794">
        <v>231</v>
      </c>
      <c r="C794">
        <v>7</v>
      </c>
      <c r="D794">
        <v>137</v>
      </c>
      <c r="E794">
        <v>4</v>
      </c>
      <c r="F794">
        <v>15</v>
      </c>
      <c r="G794">
        <v>39</v>
      </c>
      <c r="H794" t="s">
        <v>12</v>
      </c>
      <c r="I794">
        <v>37070</v>
      </c>
      <c r="J794">
        <v>1</v>
      </c>
      <c r="K794">
        <v>1</v>
      </c>
      <c r="L794">
        <v>1</v>
      </c>
      <c r="M794">
        <v>0</v>
      </c>
      <c r="N794">
        <f t="shared" si="24"/>
        <v>-0.69341410490948918</v>
      </c>
      <c r="O794">
        <f t="shared" si="25"/>
        <v>-0.30778294025534181</v>
      </c>
    </row>
    <row r="795" spans="1:15">
      <c r="A795">
        <v>4174</v>
      </c>
      <c r="B795">
        <v>97</v>
      </c>
      <c r="C795">
        <v>1</v>
      </c>
      <c r="D795">
        <v>19</v>
      </c>
      <c r="E795">
        <v>2</v>
      </c>
      <c r="F795">
        <v>0</v>
      </c>
      <c r="G795">
        <v>11</v>
      </c>
      <c r="H795" t="s">
        <v>11</v>
      </c>
      <c r="I795">
        <v>55249</v>
      </c>
      <c r="J795">
        <v>0</v>
      </c>
      <c r="K795">
        <v>1</v>
      </c>
      <c r="L795">
        <v>0</v>
      </c>
      <c r="M795">
        <v>1</v>
      </c>
      <c r="N795">
        <f t="shared" si="24"/>
        <v>0.14768654437165704</v>
      </c>
      <c r="O795">
        <f t="shared" si="25"/>
        <v>0.48023921278748438</v>
      </c>
    </row>
    <row r="796" spans="1:15">
      <c r="A796">
        <v>4179</v>
      </c>
      <c r="B796">
        <v>8</v>
      </c>
      <c r="C796">
        <v>9</v>
      </c>
      <c r="D796">
        <v>9</v>
      </c>
      <c r="E796">
        <v>2</v>
      </c>
      <c r="F796">
        <v>5</v>
      </c>
      <c r="G796">
        <v>22</v>
      </c>
      <c r="H796" t="s">
        <v>11</v>
      </c>
      <c r="I796">
        <v>24221</v>
      </c>
      <c r="J796">
        <v>0</v>
      </c>
      <c r="K796">
        <v>0</v>
      </c>
      <c r="L796">
        <v>0</v>
      </c>
      <c r="M796">
        <v>1</v>
      </c>
      <c r="N796">
        <f t="shared" si="24"/>
        <v>-1.2879078747875599</v>
      </c>
      <c r="O796">
        <f t="shared" si="25"/>
        <v>-0.31031731871261814</v>
      </c>
    </row>
    <row r="797" spans="1:15">
      <c r="A797">
        <v>4184</v>
      </c>
      <c r="B797">
        <v>189</v>
      </c>
      <c r="C797">
        <v>2</v>
      </c>
      <c r="D797">
        <v>29</v>
      </c>
      <c r="E797">
        <v>3</v>
      </c>
      <c r="F797">
        <v>2</v>
      </c>
      <c r="G797">
        <v>40</v>
      </c>
      <c r="H797" t="s">
        <v>11</v>
      </c>
      <c r="I797">
        <v>52157</v>
      </c>
      <c r="J797">
        <v>0</v>
      </c>
      <c r="K797">
        <v>1</v>
      </c>
      <c r="L797">
        <v>0</v>
      </c>
      <c r="M797">
        <v>1</v>
      </c>
      <c r="N797">
        <f t="shared" si="24"/>
        <v>4.6267936935502066E-3</v>
      </c>
      <c r="O797">
        <f t="shared" si="25"/>
        <v>0.39907732656562772</v>
      </c>
    </row>
    <row r="798" spans="1:15">
      <c r="A798">
        <v>4188</v>
      </c>
      <c r="B798">
        <v>204</v>
      </c>
      <c r="C798">
        <v>5</v>
      </c>
      <c r="D798">
        <v>39</v>
      </c>
      <c r="E798">
        <v>17</v>
      </c>
      <c r="F798">
        <v>0</v>
      </c>
      <c r="G798">
        <v>89</v>
      </c>
      <c r="H798" t="s">
        <v>12</v>
      </c>
      <c r="I798">
        <v>36864</v>
      </c>
      <c r="J798">
        <v>0</v>
      </c>
      <c r="K798">
        <v>1</v>
      </c>
      <c r="L798">
        <v>1</v>
      </c>
      <c r="M798">
        <v>0</v>
      </c>
      <c r="N798">
        <f t="shared" si="24"/>
        <v>-0.70294525259373564</v>
      </c>
      <c r="O798">
        <f t="shared" si="25"/>
        <v>-0.36859940745042025</v>
      </c>
    </row>
    <row r="799" spans="1:15">
      <c r="A799">
        <v>4198</v>
      </c>
      <c r="B799">
        <v>9</v>
      </c>
      <c r="C799">
        <v>1</v>
      </c>
      <c r="D799">
        <v>3</v>
      </c>
      <c r="E799">
        <v>0</v>
      </c>
      <c r="F799">
        <v>4</v>
      </c>
      <c r="G799">
        <v>8</v>
      </c>
      <c r="H799" t="s">
        <v>11</v>
      </c>
      <c r="I799">
        <v>29672</v>
      </c>
      <c r="J799">
        <v>1</v>
      </c>
      <c r="K799">
        <v>1</v>
      </c>
      <c r="L799">
        <v>0</v>
      </c>
      <c r="M799">
        <v>1</v>
      </c>
      <c r="N799">
        <f t="shared" si="24"/>
        <v>-1.0357026028126699</v>
      </c>
      <c r="O799">
        <f t="shared" si="25"/>
        <v>-0.1472349700837291</v>
      </c>
    </row>
    <row r="800" spans="1:15">
      <c r="A800">
        <v>4200</v>
      </c>
      <c r="B800">
        <v>167</v>
      </c>
      <c r="C800">
        <v>2</v>
      </c>
      <c r="D800">
        <v>62</v>
      </c>
      <c r="E800">
        <v>24</v>
      </c>
      <c r="F800">
        <v>13</v>
      </c>
      <c r="G800">
        <v>7</v>
      </c>
      <c r="H800" t="s">
        <v>11</v>
      </c>
      <c r="I800">
        <v>44159</v>
      </c>
      <c r="J800">
        <v>1</v>
      </c>
      <c r="K800">
        <v>0</v>
      </c>
      <c r="L800">
        <v>0</v>
      </c>
      <c r="M800">
        <v>1</v>
      </c>
      <c r="N800">
        <f t="shared" si="24"/>
        <v>-0.36542232853267831</v>
      </c>
      <c r="O800">
        <f t="shared" si="25"/>
        <v>0.17659034580995095</v>
      </c>
    </row>
    <row r="801" spans="1:15">
      <c r="A801">
        <v>4201</v>
      </c>
      <c r="B801">
        <v>229</v>
      </c>
      <c r="C801">
        <v>7</v>
      </c>
      <c r="D801">
        <v>137</v>
      </c>
      <c r="E801">
        <v>4</v>
      </c>
      <c r="F801">
        <v>0</v>
      </c>
      <c r="G801">
        <v>91</v>
      </c>
      <c r="H801" t="s">
        <v>12</v>
      </c>
      <c r="I801">
        <v>57967</v>
      </c>
      <c r="J801">
        <v>0</v>
      </c>
      <c r="K801">
        <v>1</v>
      </c>
      <c r="L801">
        <v>1</v>
      </c>
      <c r="M801">
        <v>0</v>
      </c>
      <c r="N801">
        <f t="shared" si="24"/>
        <v>0.27344217255506403</v>
      </c>
      <c r="O801">
        <f t="shared" si="25"/>
        <v>0.15720751441692768</v>
      </c>
    </row>
    <row r="802" spans="1:15">
      <c r="A802">
        <v>4207</v>
      </c>
      <c r="B802">
        <v>1001</v>
      </c>
      <c r="C802">
        <v>44</v>
      </c>
      <c r="D802">
        <v>107</v>
      </c>
      <c r="E802">
        <v>58</v>
      </c>
      <c r="F802">
        <v>44</v>
      </c>
      <c r="G802">
        <v>44</v>
      </c>
      <c r="H802" t="s">
        <v>11</v>
      </c>
      <c r="I802">
        <v>87171</v>
      </c>
      <c r="J802">
        <v>0</v>
      </c>
      <c r="K802">
        <v>0</v>
      </c>
      <c r="L802">
        <v>0</v>
      </c>
      <c r="M802">
        <v>1</v>
      </c>
      <c r="N802">
        <f t="shared" si="24"/>
        <v>1.6246442937722154</v>
      </c>
      <c r="O802">
        <f t="shared" si="25"/>
        <v>0.99906271964705351</v>
      </c>
    </row>
    <row r="803" spans="1:15">
      <c r="A803">
        <v>4216</v>
      </c>
      <c r="B803">
        <v>822</v>
      </c>
      <c r="C803">
        <v>114</v>
      </c>
      <c r="D803">
        <v>108</v>
      </c>
      <c r="E803">
        <v>179</v>
      </c>
      <c r="F803">
        <v>137</v>
      </c>
      <c r="G803">
        <v>114</v>
      </c>
      <c r="H803" t="s">
        <v>12</v>
      </c>
      <c r="I803">
        <v>91065</v>
      </c>
      <c r="J803">
        <v>0</v>
      </c>
      <c r="K803">
        <v>0</v>
      </c>
      <c r="L803">
        <v>1</v>
      </c>
      <c r="M803">
        <v>0</v>
      </c>
      <c r="N803">
        <f t="shared" si="24"/>
        <v>1.8048107456287963</v>
      </c>
      <c r="O803">
        <f t="shared" si="25"/>
        <v>0.72436132987948199</v>
      </c>
    </row>
    <row r="804" spans="1:15">
      <c r="A804">
        <v>4220</v>
      </c>
      <c r="B804">
        <v>73</v>
      </c>
      <c r="C804">
        <v>0</v>
      </c>
      <c r="D804">
        <v>13</v>
      </c>
      <c r="E804">
        <v>0</v>
      </c>
      <c r="F804">
        <v>1</v>
      </c>
      <c r="G804">
        <v>0</v>
      </c>
      <c r="H804" t="s">
        <v>11</v>
      </c>
      <c r="I804">
        <v>59892</v>
      </c>
      <c r="J804">
        <v>0</v>
      </c>
      <c r="K804">
        <v>1</v>
      </c>
      <c r="L804">
        <v>0</v>
      </c>
      <c r="M804">
        <v>1</v>
      </c>
      <c r="N804">
        <f t="shared" si="24"/>
        <v>0.36250750892484268</v>
      </c>
      <c r="O804">
        <f t="shared" si="25"/>
        <v>0.5895818487354787</v>
      </c>
    </row>
    <row r="805" spans="1:15">
      <c r="A805">
        <v>4227</v>
      </c>
      <c r="B805">
        <v>28</v>
      </c>
      <c r="C805">
        <v>0</v>
      </c>
      <c r="D805">
        <v>13</v>
      </c>
      <c r="E805">
        <v>4</v>
      </c>
      <c r="F805">
        <v>2</v>
      </c>
      <c r="G805">
        <v>8</v>
      </c>
      <c r="H805" t="s">
        <v>11</v>
      </c>
      <c r="I805">
        <v>32889</v>
      </c>
      <c r="J805">
        <v>1</v>
      </c>
      <c r="K805">
        <v>1</v>
      </c>
      <c r="L805">
        <v>0</v>
      </c>
      <c r="M805">
        <v>1</v>
      </c>
      <c r="N805">
        <f t="shared" si="24"/>
        <v>-0.886859388733928</v>
      </c>
      <c r="O805">
        <f t="shared" si="25"/>
        <v>-8.935371593881937E-2</v>
      </c>
    </row>
    <row r="806" spans="1:15">
      <c r="A806">
        <v>4240</v>
      </c>
      <c r="B806">
        <v>4</v>
      </c>
      <c r="C806">
        <v>9</v>
      </c>
      <c r="D806">
        <v>16</v>
      </c>
      <c r="E806">
        <v>17</v>
      </c>
      <c r="F806">
        <v>0</v>
      </c>
      <c r="G806">
        <v>12</v>
      </c>
      <c r="H806" t="s">
        <v>11</v>
      </c>
      <c r="I806">
        <v>17345</v>
      </c>
      <c r="J806">
        <v>1</v>
      </c>
      <c r="K806">
        <v>0</v>
      </c>
      <c r="L806">
        <v>0</v>
      </c>
      <c r="M806">
        <v>1</v>
      </c>
      <c r="N806">
        <f t="shared" si="24"/>
        <v>-1.6060446295296888</v>
      </c>
      <c r="O806">
        <f t="shared" si="25"/>
        <v>-0.35956208771088949</v>
      </c>
    </row>
    <row r="807" spans="1:15">
      <c r="A807">
        <v>4246</v>
      </c>
      <c r="B807">
        <v>67</v>
      </c>
      <c r="C807">
        <v>11</v>
      </c>
      <c r="D807">
        <v>26</v>
      </c>
      <c r="E807">
        <v>4</v>
      </c>
      <c r="F807">
        <v>3</v>
      </c>
      <c r="G807">
        <v>262</v>
      </c>
      <c r="H807" t="s">
        <v>12</v>
      </c>
      <c r="I807">
        <v>6560</v>
      </c>
      <c r="J807">
        <v>0</v>
      </c>
      <c r="K807">
        <v>0</v>
      </c>
      <c r="L807">
        <v>1</v>
      </c>
      <c r="M807">
        <v>0</v>
      </c>
      <c r="N807">
        <f t="shared" si="24"/>
        <v>-2.1050418517364751</v>
      </c>
      <c r="O807">
        <f t="shared" si="25"/>
        <v>-0.74800696058182503</v>
      </c>
    </row>
    <row r="808" spans="1:15">
      <c r="A808">
        <v>4248</v>
      </c>
      <c r="B808">
        <v>1000</v>
      </c>
      <c r="C808">
        <v>19</v>
      </c>
      <c r="D808">
        <v>711</v>
      </c>
      <c r="E808">
        <v>125</v>
      </c>
      <c r="F808">
        <v>115</v>
      </c>
      <c r="G808">
        <v>38</v>
      </c>
      <c r="H808" t="s">
        <v>12</v>
      </c>
      <c r="I808">
        <v>98777</v>
      </c>
      <c r="J808">
        <v>0</v>
      </c>
      <c r="K808">
        <v>0</v>
      </c>
      <c r="L808">
        <v>1</v>
      </c>
      <c r="M808">
        <v>0</v>
      </c>
      <c r="N808">
        <f t="shared" si="24"/>
        <v>2.1616273035943721</v>
      </c>
      <c r="O808">
        <f t="shared" si="25"/>
        <v>0.75159059900168956</v>
      </c>
    </row>
    <row r="809" spans="1:15">
      <c r="A809">
        <v>4252</v>
      </c>
      <c r="B809">
        <v>213</v>
      </c>
      <c r="C809">
        <v>5</v>
      </c>
      <c r="D809">
        <v>28</v>
      </c>
      <c r="E809">
        <v>7</v>
      </c>
      <c r="F809">
        <v>7</v>
      </c>
      <c r="G809">
        <v>41</v>
      </c>
      <c r="H809" t="s">
        <v>11</v>
      </c>
      <c r="I809">
        <v>44375</v>
      </c>
      <c r="J809">
        <v>0</v>
      </c>
      <c r="K809">
        <v>1</v>
      </c>
      <c r="L809">
        <v>0</v>
      </c>
      <c r="M809">
        <v>1</v>
      </c>
      <c r="N809">
        <f t="shared" si="24"/>
        <v>-0.35542850377638102</v>
      </c>
      <c r="O809">
        <f t="shared" si="25"/>
        <v>0.18256480676252537</v>
      </c>
    </row>
    <row r="810" spans="1:15">
      <c r="A810">
        <v>4259</v>
      </c>
      <c r="B810">
        <v>6</v>
      </c>
      <c r="C810">
        <v>0</v>
      </c>
      <c r="D810">
        <v>4</v>
      </c>
      <c r="E810">
        <v>0</v>
      </c>
      <c r="F810">
        <v>0</v>
      </c>
      <c r="G810">
        <v>0</v>
      </c>
      <c r="H810" t="s">
        <v>12</v>
      </c>
      <c r="I810">
        <v>19485</v>
      </c>
      <c r="J810">
        <v>2</v>
      </c>
      <c r="K810">
        <v>0</v>
      </c>
      <c r="L810">
        <v>1</v>
      </c>
      <c r="M810">
        <v>0</v>
      </c>
      <c r="N810">
        <f t="shared" si="24"/>
        <v>-1.5070317361108181</v>
      </c>
      <c r="O810">
        <f t="shared" si="25"/>
        <v>-0.46282185206904564</v>
      </c>
    </row>
    <row r="811" spans="1:15">
      <c r="A811">
        <v>4268</v>
      </c>
      <c r="B811">
        <v>129</v>
      </c>
      <c r="C811">
        <v>0</v>
      </c>
      <c r="D811">
        <v>21</v>
      </c>
      <c r="E811">
        <v>0</v>
      </c>
      <c r="F811">
        <v>1</v>
      </c>
      <c r="G811">
        <v>7</v>
      </c>
      <c r="H811" t="s">
        <v>11</v>
      </c>
      <c r="I811">
        <v>53154</v>
      </c>
      <c r="J811">
        <v>0</v>
      </c>
      <c r="K811">
        <v>1</v>
      </c>
      <c r="L811">
        <v>0</v>
      </c>
      <c r="M811">
        <v>1</v>
      </c>
      <c r="N811">
        <f t="shared" si="24"/>
        <v>5.0755697777014802E-2</v>
      </c>
      <c r="O811">
        <f t="shared" si="25"/>
        <v>0.42581695174009876</v>
      </c>
    </row>
    <row r="812" spans="1:15">
      <c r="A812">
        <v>4271</v>
      </c>
      <c r="B812">
        <v>46</v>
      </c>
      <c r="C812">
        <v>35</v>
      </c>
      <c r="D812">
        <v>69</v>
      </c>
      <c r="E812">
        <v>84</v>
      </c>
      <c r="F812">
        <v>41</v>
      </c>
      <c r="G812">
        <v>66</v>
      </c>
      <c r="H812" t="s">
        <v>11</v>
      </c>
      <c r="I812">
        <v>38683</v>
      </c>
      <c r="J812">
        <v>1</v>
      </c>
      <c r="K812">
        <v>0</v>
      </c>
      <c r="L812">
        <v>0</v>
      </c>
      <c r="M812">
        <v>1</v>
      </c>
      <c r="N812">
        <f t="shared" si="24"/>
        <v>-0.61878429318769546</v>
      </c>
      <c r="O812">
        <f t="shared" si="25"/>
        <v>3.1175792070911333E-2</v>
      </c>
    </row>
    <row r="813" spans="1:15">
      <c r="A813">
        <v>4278</v>
      </c>
      <c r="B813">
        <v>910</v>
      </c>
      <c r="C813">
        <v>111</v>
      </c>
      <c r="D813">
        <v>724</v>
      </c>
      <c r="E813">
        <v>49</v>
      </c>
      <c r="F813">
        <v>74</v>
      </c>
      <c r="G813">
        <v>55</v>
      </c>
      <c r="H813" t="s">
        <v>12</v>
      </c>
      <c r="I813">
        <v>87188</v>
      </c>
      <c r="J813">
        <v>0</v>
      </c>
      <c r="K813">
        <v>0</v>
      </c>
      <c r="L813">
        <v>1</v>
      </c>
      <c r="M813">
        <v>0</v>
      </c>
      <c r="N813">
        <f t="shared" si="24"/>
        <v>1.6254308447947017</v>
      </c>
      <c r="O813">
        <f t="shared" si="25"/>
        <v>0.70532594595304099</v>
      </c>
    </row>
    <row r="814" spans="1:15">
      <c r="A814">
        <v>4279</v>
      </c>
      <c r="B814">
        <v>15</v>
      </c>
      <c r="C814">
        <v>4</v>
      </c>
      <c r="D814">
        <v>10</v>
      </c>
      <c r="E814">
        <v>3</v>
      </c>
      <c r="F814">
        <v>4</v>
      </c>
      <c r="G814">
        <v>18</v>
      </c>
      <c r="H814" t="s">
        <v>12</v>
      </c>
      <c r="I814">
        <v>39548</v>
      </c>
      <c r="J814">
        <v>1</v>
      </c>
      <c r="K814">
        <v>1</v>
      </c>
      <c r="L814">
        <v>1</v>
      </c>
      <c r="M814">
        <v>0</v>
      </c>
      <c r="N814">
        <f t="shared" si="24"/>
        <v>-0.57876272645530136</v>
      </c>
      <c r="O814">
        <f t="shared" si="25"/>
        <v>-0.26245066625506575</v>
      </c>
    </row>
    <row r="815" spans="1:15">
      <c r="A815">
        <v>4286</v>
      </c>
      <c r="B815">
        <v>580</v>
      </c>
      <c r="C815">
        <v>6</v>
      </c>
      <c r="D815">
        <v>58</v>
      </c>
      <c r="E815">
        <v>8</v>
      </c>
      <c r="F815">
        <v>0</v>
      </c>
      <c r="G815">
        <v>27</v>
      </c>
      <c r="H815" t="s">
        <v>12</v>
      </c>
      <c r="I815">
        <v>57642</v>
      </c>
      <c r="J815">
        <v>0</v>
      </c>
      <c r="K815">
        <v>1</v>
      </c>
      <c r="L815">
        <v>1</v>
      </c>
      <c r="M815">
        <v>0</v>
      </c>
      <c r="N815">
        <f t="shared" si="24"/>
        <v>0.2584051677134131</v>
      </c>
      <c r="O815">
        <f t="shared" si="25"/>
        <v>0.14884958594208403</v>
      </c>
    </row>
    <row r="816" spans="1:15">
      <c r="A816">
        <v>4290</v>
      </c>
      <c r="B816">
        <v>1</v>
      </c>
      <c r="C816">
        <v>3</v>
      </c>
      <c r="D816">
        <v>8</v>
      </c>
      <c r="E816">
        <v>2</v>
      </c>
      <c r="F816">
        <v>5</v>
      </c>
      <c r="G816">
        <v>5</v>
      </c>
      <c r="H816" t="s">
        <v>11</v>
      </c>
      <c r="I816">
        <v>30467</v>
      </c>
      <c r="J816">
        <v>1</v>
      </c>
      <c r="K816">
        <v>0</v>
      </c>
      <c r="L816">
        <v>0</v>
      </c>
      <c r="M816">
        <v>1</v>
      </c>
      <c r="N816">
        <f t="shared" si="24"/>
        <v>-0.9989197755846313</v>
      </c>
      <c r="O816">
        <f t="shared" si="25"/>
        <v>-0.15401892816522753</v>
      </c>
    </row>
    <row r="817" spans="1:15">
      <c r="A817">
        <v>4297</v>
      </c>
      <c r="B817">
        <v>13</v>
      </c>
      <c r="C817">
        <v>2</v>
      </c>
      <c r="D817">
        <v>18</v>
      </c>
      <c r="E817">
        <v>6</v>
      </c>
      <c r="F817">
        <v>1</v>
      </c>
      <c r="G817">
        <v>0</v>
      </c>
      <c r="H817" t="s">
        <v>11</v>
      </c>
      <c r="I817">
        <v>23228</v>
      </c>
      <c r="J817">
        <v>1</v>
      </c>
      <c r="K817">
        <v>0</v>
      </c>
      <c r="L817">
        <v>0</v>
      </c>
      <c r="M817">
        <v>1</v>
      </c>
      <c r="N817">
        <f t="shared" si="24"/>
        <v>-1.3338517080422043</v>
      </c>
      <c r="O817">
        <f t="shared" si="25"/>
        <v>-0.27985308315935731</v>
      </c>
    </row>
    <row r="818" spans="1:15">
      <c r="A818">
        <v>4298</v>
      </c>
      <c r="B818">
        <v>5</v>
      </c>
      <c r="C818">
        <v>0</v>
      </c>
      <c r="D818">
        <v>4</v>
      </c>
      <c r="E818">
        <v>0</v>
      </c>
      <c r="F818">
        <v>0</v>
      </c>
      <c r="G818">
        <v>1</v>
      </c>
      <c r="H818" t="s">
        <v>11</v>
      </c>
      <c r="I818">
        <v>20427</v>
      </c>
      <c r="J818">
        <v>1</v>
      </c>
      <c r="K818">
        <v>0</v>
      </c>
      <c r="L818">
        <v>0</v>
      </c>
      <c r="M818">
        <v>1</v>
      </c>
      <c r="N818">
        <f t="shared" si="24"/>
        <v>-1.4634475559236328</v>
      </c>
      <c r="O818">
        <f t="shared" si="25"/>
        <v>-0.32005959514467169</v>
      </c>
    </row>
    <row r="819" spans="1:15">
      <c r="A819">
        <v>4299</v>
      </c>
      <c r="B819">
        <v>1001</v>
      </c>
      <c r="C819">
        <v>17</v>
      </c>
      <c r="D819">
        <v>572</v>
      </c>
      <c r="E819">
        <v>93</v>
      </c>
      <c r="F819">
        <v>125</v>
      </c>
      <c r="G819">
        <v>17</v>
      </c>
      <c r="H819" t="s">
        <v>11</v>
      </c>
      <c r="I819">
        <v>70971</v>
      </c>
      <c r="J819">
        <v>0</v>
      </c>
      <c r="K819">
        <v>1</v>
      </c>
      <c r="L819">
        <v>0</v>
      </c>
      <c r="M819">
        <v>1</v>
      </c>
      <c r="N819">
        <f t="shared" si="24"/>
        <v>0.87510743704992211</v>
      </c>
      <c r="O819">
        <f t="shared" si="25"/>
        <v>0.77281335920532424</v>
      </c>
    </row>
    <row r="820" spans="1:15">
      <c r="A820">
        <v>4303</v>
      </c>
      <c r="B820">
        <v>107</v>
      </c>
      <c r="C820">
        <v>2</v>
      </c>
      <c r="D820">
        <v>12</v>
      </c>
      <c r="E820">
        <v>2</v>
      </c>
      <c r="F820">
        <v>2</v>
      </c>
      <c r="G820">
        <v>12</v>
      </c>
      <c r="H820" t="s">
        <v>11</v>
      </c>
      <c r="I820">
        <v>6835</v>
      </c>
      <c r="J820">
        <v>0</v>
      </c>
      <c r="K820">
        <v>1</v>
      </c>
      <c r="L820">
        <v>0</v>
      </c>
      <c r="M820">
        <v>1</v>
      </c>
      <c r="N820">
        <f t="shared" si="24"/>
        <v>-2.092318232255078</v>
      </c>
      <c r="O820">
        <f t="shared" si="25"/>
        <v>-0.4641336070910736</v>
      </c>
    </row>
    <row r="821" spans="1:15">
      <c r="A821">
        <v>4310</v>
      </c>
      <c r="B821">
        <v>507</v>
      </c>
      <c r="C821">
        <v>93</v>
      </c>
      <c r="D821">
        <v>520</v>
      </c>
      <c r="E821">
        <v>242</v>
      </c>
      <c r="F821">
        <v>40</v>
      </c>
      <c r="G821">
        <v>26</v>
      </c>
      <c r="H821" t="s">
        <v>11</v>
      </c>
      <c r="I821">
        <v>80589</v>
      </c>
      <c r="J821">
        <v>0</v>
      </c>
      <c r="K821">
        <v>0</v>
      </c>
      <c r="L821">
        <v>0</v>
      </c>
      <c r="M821">
        <v>1</v>
      </c>
      <c r="N821">
        <f t="shared" si="24"/>
        <v>1.3201102449483799</v>
      </c>
      <c r="O821">
        <f t="shared" si="25"/>
        <v>0.99858311208934269</v>
      </c>
    </row>
    <row r="822" spans="1:15">
      <c r="A822">
        <v>4320</v>
      </c>
      <c r="B822">
        <v>325</v>
      </c>
      <c r="C822">
        <v>83</v>
      </c>
      <c r="D822">
        <v>300</v>
      </c>
      <c r="E822">
        <v>86</v>
      </c>
      <c r="F822">
        <v>58</v>
      </c>
      <c r="G822">
        <v>91</v>
      </c>
      <c r="H822" t="s">
        <v>12</v>
      </c>
      <c r="I822">
        <v>60152</v>
      </c>
      <c r="J822">
        <v>0</v>
      </c>
      <c r="K822">
        <v>1</v>
      </c>
      <c r="L822">
        <v>1</v>
      </c>
      <c r="M822">
        <v>0</v>
      </c>
      <c r="N822">
        <f t="shared" si="24"/>
        <v>0.37453711279816349</v>
      </c>
      <c r="O822">
        <f t="shared" si="25"/>
        <v>0.21200817610285974</v>
      </c>
    </row>
    <row r="823" spans="1:15">
      <c r="A823">
        <v>4322</v>
      </c>
      <c r="B823">
        <v>881</v>
      </c>
      <c r="C823">
        <v>38</v>
      </c>
      <c r="D823">
        <v>319</v>
      </c>
      <c r="E823">
        <v>16</v>
      </c>
      <c r="F823">
        <v>25</v>
      </c>
      <c r="G823">
        <v>12</v>
      </c>
      <c r="H823" t="s">
        <v>11</v>
      </c>
      <c r="I823">
        <v>77863</v>
      </c>
      <c r="J823">
        <v>0</v>
      </c>
      <c r="K823">
        <v>0</v>
      </c>
      <c r="L823">
        <v>0</v>
      </c>
      <c r="M823">
        <v>1</v>
      </c>
      <c r="N823">
        <f t="shared" si="24"/>
        <v>1.1939844751073323</v>
      </c>
      <c r="O823">
        <f t="shared" si="25"/>
        <v>0.99478633842974018</v>
      </c>
    </row>
    <row r="824" spans="1:15">
      <c r="A824">
        <v>4324</v>
      </c>
      <c r="B824">
        <v>235</v>
      </c>
      <c r="C824">
        <v>0</v>
      </c>
      <c r="D824">
        <v>235</v>
      </c>
      <c r="E824">
        <v>19</v>
      </c>
      <c r="F824">
        <v>4</v>
      </c>
      <c r="G824">
        <v>191</v>
      </c>
      <c r="H824" t="s">
        <v>11</v>
      </c>
      <c r="I824">
        <v>42387</v>
      </c>
      <c r="J824">
        <v>1</v>
      </c>
      <c r="K824">
        <v>0</v>
      </c>
      <c r="L824">
        <v>0</v>
      </c>
      <c r="M824">
        <v>1</v>
      </c>
      <c r="N824">
        <f t="shared" si="24"/>
        <v>-0.44740870570007973</v>
      </c>
      <c r="O824">
        <f t="shared" si="25"/>
        <v>0.12812276858487753</v>
      </c>
    </row>
    <row r="825" spans="1:15">
      <c r="A825">
        <v>4328</v>
      </c>
      <c r="B825">
        <v>5</v>
      </c>
      <c r="C825">
        <v>1</v>
      </c>
      <c r="D825">
        <v>7</v>
      </c>
      <c r="E825">
        <v>17</v>
      </c>
      <c r="F825">
        <v>14</v>
      </c>
      <c r="G825">
        <v>11</v>
      </c>
      <c r="H825" t="s">
        <v>11</v>
      </c>
      <c r="I825">
        <v>21955</v>
      </c>
      <c r="J825">
        <v>1</v>
      </c>
      <c r="K825">
        <v>0</v>
      </c>
      <c r="L825">
        <v>0</v>
      </c>
      <c r="M825">
        <v>1</v>
      </c>
      <c r="N825">
        <f t="shared" si="24"/>
        <v>-1.392750499314271</v>
      </c>
      <c r="O825">
        <f t="shared" si="25"/>
        <v>-0.29866337826324707</v>
      </c>
    </row>
    <row r="826" spans="1:15">
      <c r="A826">
        <v>4329</v>
      </c>
      <c r="B826">
        <v>6</v>
      </c>
      <c r="C826">
        <v>0</v>
      </c>
      <c r="D826">
        <v>6</v>
      </c>
      <c r="E826">
        <v>2</v>
      </c>
      <c r="F826">
        <v>1</v>
      </c>
      <c r="G826">
        <v>1</v>
      </c>
      <c r="H826" t="s">
        <v>11</v>
      </c>
      <c r="I826">
        <v>18988</v>
      </c>
      <c r="J826">
        <v>1</v>
      </c>
      <c r="K826">
        <v>0</v>
      </c>
      <c r="L826">
        <v>0</v>
      </c>
      <c r="M826">
        <v>1</v>
      </c>
      <c r="N826">
        <f t="shared" si="24"/>
        <v>-1.5300267865917427</v>
      </c>
      <c r="O826">
        <f t="shared" si="25"/>
        <v>-0.33908889146479648</v>
      </c>
    </row>
    <row r="827" spans="1:15">
      <c r="A827">
        <v>4331</v>
      </c>
      <c r="B827">
        <v>913</v>
      </c>
      <c r="C827">
        <v>26</v>
      </c>
      <c r="D827">
        <v>376</v>
      </c>
      <c r="E827">
        <v>17</v>
      </c>
      <c r="F827">
        <v>26</v>
      </c>
      <c r="G827">
        <v>13</v>
      </c>
      <c r="H827" t="s">
        <v>11</v>
      </c>
      <c r="I827">
        <v>85738</v>
      </c>
      <c r="J827">
        <v>0</v>
      </c>
      <c r="K827">
        <v>0</v>
      </c>
      <c r="L827">
        <v>0</v>
      </c>
      <c r="M827">
        <v>1</v>
      </c>
      <c r="N827">
        <f t="shared" si="24"/>
        <v>1.5583426693473361</v>
      </c>
      <c r="O827">
        <f t="shared" si="25"/>
        <v>0.9996991846814991</v>
      </c>
    </row>
    <row r="828" spans="1:15">
      <c r="A828">
        <v>4333</v>
      </c>
      <c r="B828">
        <v>41</v>
      </c>
      <c r="C828">
        <v>0</v>
      </c>
      <c r="D828">
        <v>10</v>
      </c>
      <c r="E828">
        <v>0</v>
      </c>
      <c r="F828">
        <v>0</v>
      </c>
      <c r="G828">
        <v>3</v>
      </c>
      <c r="H828" t="s">
        <v>11</v>
      </c>
      <c r="I828">
        <v>32144</v>
      </c>
      <c r="J828">
        <v>1</v>
      </c>
      <c r="K828">
        <v>1</v>
      </c>
      <c r="L828">
        <v>0</v>
      </c>
      <c r="M828">
        <v>1</v>
      </c>
      <c r="N828">
        <f t="shared" si="24"/>
        <v>-0.92132883060171245</v>
      </c>
      <c r="O828">
        <f t="shared" si="25"/>
        <v>-0.10317723703983449</v>
      </c>
    </row>
    <row r="829" spans="1:15">
      <c r="A829">
        <v>4338</v>
      </c>
      <c r="B829">
        <v>23</v>
      </c>
      <c r="C829">
        <v>0</v>
      </c>
      <c r="D829">
        <v>9</v>
      </c>
      <c r="E829">
        <v>0</v>
      </c>
      <c r="F829">
        <v>0</v>
      </c>
      <c r="G829">
        <v>12</v>
      </c>
      <c r="H829" t="s">
        <v>12</v>
      </c>
      <c r="I829">
        <v>39062</v>
      </c>
      <c r="J829">
        <v>1</v>
      </c>
      <c r="K829">
        <v>0</v>
      </c>
      <c r="L829">
        <v>1</v>
      </c>
      <c r="M829">
        <v>0</v>
      </c>
      <c r="N829">
        <f t="shared" si="24"/>
        <v>-0.60124883215697023</v>
      </c>
      <c r="O829">
        <f t="shared" si="25"/>
        <v>-0.32400604019224988</v>
      </c>
    </row>
    <row r="830" spans="1:15">
      <c r="A830">
        <v>4339</v>
      </c>
      <c r="B830">
        <v>702</v>
      </c>
      <c r="C830">
        <v>17</v>
      </c>
      <c r="D830">
        <v>151</v>
      </c>
      <c r="E830">
        <v>0</v>
      </c>
      <c r="F830">
        <v>8</v>
      </c>
      <c r="G830">
        <v>35</v>
      </c>
      <c r="H830" t="s">
        <v>11</v>
      </c>
      <c r="I830">
        <v>67353</v>
      </c>
      <c r="J830">
        <v>0</v>
      </c>
      <c r="K830">
        <v>1</v>
      </c>
      <c r="L830">
        <v>0</v>
      </c>
      <c r="M830">
        <v>1</v>
      </c>
      <c r="N830">
        <f t="shared" si="24"/>
        <v>0.7077108723819433</v>
      </c>
      <c r="O830">
        <f t="shared" si="25"/>
        <v>0.72506287098518041</v>
      </c>
    </row>
    <row r="831" spans="1:15">
      <c r="A831">
        <v>4351</v>
      </c>
      <c r="B831">
        <v>18</v>
      </c>
      <c r="C831">
        <v>2</v>
      </c>
      <c r="D831">
        <v>10</v>
      </c>
      <c r="E831">
        <v>0</v>
      </c>
      <c r="F831">
        <v>0</v>
      </c>
      <c r="G831">
        <v>25</v>
      </c>
      <c r="H831" t="s">
        <v>12</v>
      </c>
      <c r="I831">
        <v>37244</v>
      </c>
      <c r="J831">
        <v>1</v>
      </c>
      <c r="K831">
        <v>1</v>
      </c>
      <c r="L831">
        <v>1</v>
      </c>
      <c r="M831">
        <v>0</v>
      </c>
      <c r="N831">
        <f t="shared" si="24"/>
        <v>-0.68536352385580535</v>
      </c>
      <c r="O831">
        <f t="shared" si="25"/>
        <v>-0.30469576963057798</v>
      </c>
    </row>
    <row r="832" spans="1:15">
      <c r="A832">
        <v>4356</v>
      </c>
      <c r="B832">
        <v>1224</v>
      </c>
      <c r="C832">
        <v>28</v>
      </c>
      <c r="D832">
        <v>140</v>
      </c>
      <c r="E832">
        <v>0</v>
      </c>
      <c r="F832">
        <v>14</v>
      </c>
      <c r="G832">
        <v>168</v>
      </c>
      <c r="H832" t="s">
        <v>11</v>
      </c>
      <c r="I832">
        <v>71819</v>
      </c>
      <c r="J832">
        <v>0</v>
      </c>
      <c r="K832">
        <v>1</v>
      </c>
      <c r="L832">
        <v>0</v>
      </c>
      <c r="M832">
        <v>1</v>
      </c>
      <c r="N832">
        <f t="shared" si="24"/>
        <v>0.91434245275982984</v>
      </c>
      <c r="O832">
        <f t="shared" si="25"/>
        <v>0.78248099255094705</v>
      </c>
    </row>
    <row r="833" spans="1:15">
      <c r="A833">
        <v>4368</v>
      </c>
      <c r="B833">
        <v>42</v>
      </c>
      <c r="C833">
        <v>7</v>
      </c>
      <c r="D833">
        <v>43</v>
      </c>
      <c r="E833">
        <v>20</v>
      </c>
      <c r="F833">
        <v>12</v>
      </c>
      <c r="G833">
        <v>10</v>
      </c>
      <c r="H833" t="s">
        <v>11</v>
      </c>
      <c r="I833">
        <v>47850</v>
      </c>
      <c r="J833">
        <v>1</v>
      </c>
      <c r="K833">
        <v>0</v>
      </c>
      <c r="L833">
        <v>0</v>
      </c>
      <c r="M833">
        <v>1</v>
      </c>
      <c r="N833">
        <f t="shared" si="24"/>
        <v>-0.19464822123872863</v>
      </c>
      <c r="O833">
        <f t="shared" si="25"/>
        <v>0.27975286925592896</v>
      </c>
    </row>
    <row r="834" spans="1:15">
      <c r="A834">
        <v>4369</v>
      </c>
      <c r="B834">
        <v>240</v>
      </c>
      <c r="C834">
        <v>67</v>
      </c>
      <c r="D834">
        <v>500</v>
      </c>
      <c r="E834">
        <v>199</v>
      </c>
      <c r="F834">
        <v>0</v>
      </c>
      <c r="G834">
        <v>163</v>
      </c>
      <c r="H834" t="s">
        <v>12</v>
      </c>
      <c r="I834">
        <v>65487</v>
      </c>
      <c r="J834">
        <v>0</v>
      </c>
      <c r="K834">
        <v>0</v>
      </c>
      <c r="L834">
        <v>1</v>
      </c>
      <c r="M834">
        <v>0</v>
      </c>
      <c r="N834">
        <f t="shared" si="24"/>
        <v>0.62137533073726436</v>
      </c>
      <c r="O834">
        <f t="shared" si="25"/>
        <v>0.43706741742540184</v>
      </c>
    </row>
    <row r="835" spans="1:15">
      <c r="A835">
        <v>4370</v>
      </c>
      <c r="B835">
        <v>18</v>
      </c>
      <c r="C835">
        <v>1</v>
      </c>
      <c r="D835">
        <v>32</v>
      </c>
      <c r="E835">
        <v>6</v>
      </c>
      <c r="F835">
        <v>3</v>
      </c>
      <c r="G835">
        <v>28</v>
      </c>
      <c r="H835" t="s">
        <v>11</v>
      </c>
      <c r="I835">
        <v>43482</v>
      </c>
      <c r="J835">
        <v>2</v>
      </c>
      <c r="K835">
        <v>1</v>
      </c>
      <c r="L835">
        <v>0</v>
      </c>
      <c r="M835">
        <v>1</v>
      </c>
      <c r="N835">
        <f t="shared" ref="N835:N898" si="26">STANDARDIZE(I835,$Q$1,$R$1)</f>
        <v>-0.39674556631051733</v>
      </c>
      <c r="O835">
        <f t="shared" ref="O835:O898" si="27">SUMPRODUCT(J835:N835,$Q$4:$U$4) / SQRT(SUMSQ(J835:N835) * SUMSQ($Q$4:$U$4))</f>
        <v>9.3494915179515747E-2</v>
      </c>
    </row>
    <row r="836" spans="1:15">
      <c r="A836">
        <v>4376</v>
      </c>
      <c r="B836">
        <v>10</v>
      </c>
      <c r="C836">
        <v>24</v>
      </c>
      <c r="D836">
        <v>15</v>
      </c>
      <c r="E836">
        <v>13</v>
      </c>
      <c r="F836">
        <v>1</v>
      </c>
      <c r="G836">
        <v>30</v>
      </c>
      <c r="H836" t="s">
        <v>12</v>
      </c>
      <c r="I836">
        <v>32218</v>
      </c>
      <c r="J836">
        <v>0</v>
      </c>
      <c r="K836">
        <v>0</v>
      </c>
      <c r="L836">
        <v>1</v>
      </c>
      <c r="M836">
        <v>0</v>
      </c>
      <c r="N836">
        <f t="shared" si="26"/>
        <v>-0.9179050202685366</v>
      </c>
      <c r="O836">
        <f t="shared" si="27"/>
        <v>-0.55999093710131553</v>
      </c>
    </row>
    <row r="837" spans="1:15">
      <c r="A837">
        <v>4377</v>
      </c>
      <c r="B837">
        <v>254</v>
      </c>
      <c r="C837">
        <v>10</v>
      </c>
      <c r="D837">
        <v>44</v>
      </c>
      <c r="E837">
        <v>30</v>
      </c>
      <c r="F837">
        <v>10</v>
      </c>
      <c r="G837">
        <v>227</v>
      </c>
      <c r="H837" t="s">
        <v>11</v>
      </c>
      <c r="I837">
        <v>52914</v>
      </c>
      <c r="J837">
        <v>0</v>
      </c>
      <c r="K837">
        <v>1</v>
      </c>
      <c r="L837">
        <v>0</v>
      </c>
      <c r="M837">
        <v>1</v>
      </c>
      <c r="N837">
        <f t="shared" si="26"/>
        <v>3.9651448047795641E-2</v>
      </c>
      <c r="O837">
        <f t="shared" si="27"/>
        <v>0.41942397743205007</v>
      </c>
    </row>
    <row r="838" spans="1:15">
      <c r="A838">
        <v>4381</v>
      </c>
      <c r="B838">
        <v>163</v>
      </c>
      <c r="C838">
        <v>2</v>
      </c>
      <c r="D838">
        <v>40</v>
      </c>
      <c r="E838">
        <v>8</v>
      </c>
      <c r="F838">
        <v>11</v>
      </c>
      <c r="G838">
        <v>11</v>
      </c>
      <c r="H838" t="s">
        <v>11</v>
      </c>
      <c r="I838">
        <v>46463</v>
      </c>
      <c r="J838">
        <v>1</v>
      </c>
      <c r="K838">
        <v>1</v>
      </c>
      <c r="L838">
        <v>0</v>
      </c>
      <c r="M838">
        <v>1</v>
      </c>
      <c r="N838">
        <f t="shared" si="26"/>
        <v>-0.25882153113217438</v>
      </c>
      <c r="O838">
        <f t="shared" si="27"/>
        <v>0.19769344816891402</v>
      </c>
    </row>
    <row r="839" spans="1:15">
      <c r="A839">
        <v>4385</v>
      </c>
      <c r="B839">
        <v>23</v>
      </c>
      <c r="C839">
        <v>0</v>
      </c>
      <c r="D839">
        <v>15</v>
      </c>
      <c r="E839">
        <v>0</v>
      </c>
      <c r="F839">
        <v>2</v>
      </c>
      <c r="G839">
        <v>7</v>
      </c>
      <c r="H839" t="s">
        <v>12</v>
      </c>
      <c r="I839">
        <v>36038</v>
      </c>
      <c r="J839">
        <v>1</v>
      </c>
      <c r="K839">
        <v>0</v>
      </c>
      <c r="L839">
        <v>1</v>
      </c>
      <c r="M839">
        <v>0</v>
      </c>
      <c r="N839">
        <f t="shared" si="26"/>
        <v>-0.74116237874513158</v>
      </c>
      <c r="O839">
        <f t="shared" si="27"/>
        <v>-0.3844093103807546</v>
      </c>
    </row>
    <row r="840" spans="1:15">
      <c r="A840">
        <v>4390</v>
      </c>
      <c r="B840">
        <v>459</v>
      </c>
      <c r="C840">
        <v>15</v>
      </c>
      <c r="D840">
        <v>171</v>
      </c>
      <c r="E840">
        <v>142</v>
      </c>
      <c r="F840">
        <v>23</v>
      </c>
      <c r="G840">
        <v>31</v>
      </c>
      <c r="H840" t="s">
        <v>11</v>
      </c>
      <c r="I840">
        <v>75315</v>
      </c>
      <c r="J840">
        <v>0</v>
      </c>
      <c r="K840">
        <v>1</v>
      </c>
      <c r="L840">
        <v>0</v>
      </c>
      <c r="M840">
        <v>1</v>
      </c>
      <c r="N840">
        <f t="shared" si="26"/>
        <v>1.0760943571487889</v>
      </c>
      <c r="O840">
        <f t="shared" si="27"/>
        <v>0.81689868582501945</v>
      </c>
    </row>
    <row r="841" spans="1:15">
      <c r="A841">
        <v>4394</v>
      </c>
      <c r="B841">
        <v>1142</v>
      </c>
      <c r="C841">
        <v>29</v>
      </c>
      <c r="D841">
        <v>249</v>
      </c>
      <c r="E841">
        <v>38</v>
      </c>
      <c r="F841">
        <v>29</v>
      </c>
      <c r="G841">
        <v>14</v>
      </c>
      <c r="H841" t="s">
        <v>11</v>
      </c>
      <c r="I841">
        <v>81051</v>
      </c>
      <c r="J841">
        <v>0</v>
      </c>
      <c r="K841">
        <v>0</v>
      </c>
      <c r="L841">
        <v>0</v>
      </c>
      <c r="M841">
        <v>1</v>
      </c>
      <c r="N841">
        <f t="shared" si="26"/>
        <v>1.3414859256771268</v>
      </c>
      <c r="O841">
        <f t="shared" si="27"/>
        <v>0.99896390059957985</v>
      </c>
    </row>
    <row r="842" spans="1:15">
      <c r="A842">
        <v>4399</v>
      </c>
      <c r="B842">
        <v>458</v>
      </c>
      <c r="C842">
        <v>81</v>
      </c>
      <c r="D842">
        <v>356</v>
      </c>
      <c r="E842">
        <v>106</v>
      </c>
      <c r="F842">
        <v>50</v>
      </c>
      <c r="G842">
        <v>40</v>
      </c>
      <c r="H842" t="s">
        <v>11</v>
      </c>
      <c r="I842">
        <v>68695</v>
      </c>
      <c r="J842">
        <v>0</v>
      </c>
      <c r="K842">
        <v>0</v>
      </c>
      <c r="L842">
        <v>0</v>
      </c>
      <c r="M842">
        <v>1</v>
      </c>
      <c r="N842">
        <f t="shared" si="26"/>
        <v>0.7698021354511605</v>
      </c>
      <c r="O842">
        <f t="shared" si="27"/>
        <v>0.94933302805437703</v>
      </c>
    </row>
    <row r="843" spans="1:15">
      <c r="A843">
        <v>4405</v>
      </c>
      <c r="B843">
        <v>622</v>
      </c>
      <c r="C843">
        <v>7</v>
      </c>
      <c r="D843">
        <v>115</v>
      </c>
      <c r="E843">
        <v>30</v>
      </c>
      <c r="F843">
        <v>0</v>
      </c>
      <c r="G843">
        <v>15</v>
      </c>
      <c r="H843" t="s">
        <v>11</v>
      </c>
      <c r="I843">
        <v>63915</v>
      </c>
      <c r="J843">
        <v>0</v>
      </c>
      <c r="K843">
        <v>2</v>
      </c>
      <c r="L843">
        <v>0</v>
      </c>
      <c r="M843">
        <v>1</v>
      </c>
      <c r="N843">
        <f t="shared" si="26"/>
        <v>0.54864249501087892</v>
      </c>
      <c r="O843">
        <f t="shared" si="27"/>
        <v>0.4407995960738143</v>
      </c>
    </row>
    <row r="844" spans="1:15">
      <c r="A844">
        <v>4406</v>
      </c>
      <c r="B844">
        <v>846</v>
      </c>
      <c r="C844">
        <v>84</v>
      </c>
      <c r="D844">
        <v>352</v>
      </c>
      <c r="E844">
        <v>91</v>
      </c>
      <c r="F844">
        <v>56</v>
      </c>
      <c r="G844">
        <v>42</v>
      </c>
      <c r="H844" t="s">
        <v>11</v>
      </c>
      <c r="I844">
        <v>67419</v>
      </c>
      <c r="J844">
        <v>0</v>
      </c>
      <c r="K844">
        <v>1</v>
      </c>
      <c r="L844">
        <v>0</v>
      </c>
      <c r="M844">
        <v>1</v>
      </c>
      <c r="N844">
        <f t="shared" si="26"/>
        <v>0.71076454105747855</v>
      </c>
      <c r="O844">
        <f t="shared" si="27"/>
        <v>0.7260334686023987</v>
      </c>
    </row>
    <row r="845" spans="1:15">
      <c r="A845">
        <v>4415</v>
      </c>
      <c r="B845">
        <v>10</v>
      </c>
      <c r="C845">
        <v>4</v>
      </c>
      <c r="D845">
        <v>4</v>
      </c>
      <c r="E845">
        <v>3</v>
      </c>
      <c r="F845">
        <v>3</v>
      </c>
      <c r="G845">
        <v>14</v>
      </c>
      <c r="H845" t="s">
        <v>11</v>
      </c>
      <c r="I845">
        <v>16860</v>
      </c>
      <c r="J845">
        <v>1</v>
      </c>
      <c r="K845">
        <v>1</v>
      </c>
      <c r="L845">
        <v>0</v>
      </c>
      <c r="M845">
        <v>1</v>
      </c>
      <c r="N845">
        <f t="shared" si="26"/>
        <v>-1.6284844675241525</v>
      </c>
      <c r="O845">
        <f t="shared" si="27"/>
        <v>-0.33146799380604314</v>
      </c>
    </row>
    <row r="846" spans="1:15">
      <c r="A846">
        <v>4418</v>
      </c>
      <c r="B846">
        <v>671</v>
      </c>
      <c r="C846">
        <v>47</v>
      </c>
      <c r="D846">
        <v>655</v>
      </c>
      <c r="E846">
        <v>145</v>
      </c>
      <c r="F846">
        <v>111</v>
      </c>
      <c r="G846">
        <v>15</v>
      </c>
      <c r="H846" t="s">
        <v>12</v>
      </c>
      <c r="I846">
        <v>89616</v>
      </c>
      <c r="J846">
        <v>0</v>
      </c>
      <c r="K846">
        <v>0</v>
      </c>
      <c r="L846">
        <v>1</v>
      </c>
      <c r="M846">
        <v>0</v>
      </c>
      <c r="N846">
        <f t="shared" si="26"/>
        <v>1.7377688378886356</v>
      </c>
      <c r="O846">
        <f t="shared" si="27"/>
        <v>0.71776196805746861</v>
      </c>
    </row>
    <row r="847" spans="1:15">
      <c r="A847">
        <v>4426</v>
      </c>
      <c r="B847">
        <v>367</v>
      </c>
      <c r="C847">
        <v>4</v>
      </c>
      <c r="D847">
        <v>51</v>
      </c>
      <c r="E847">
        <v>6</v>
      </c>
      <c r="F847">
        <v>4</v>
      </c>
      <c r="G847">
        <v>95</v>
      </c>
      <c r="H847" t="s">
        <v>12</v>
      </c>
      <c r="I847">
        <v>55801</v>
      </c>
      <c r="J847">
        <v>1</v>
      </c>
      <c r="K847">
        <v>1</v>
      </c>
      <c r="L847">
        <v>1</v>
      </c>
      <c r="M847">
        <v>0</v>
      </c>
      <c r="N847">
        <f t="shared" si="26"/>
        <v>0.1732263187488611</v>
      </c>
      <c r="O847">
        <f t="shared" si="27"/>
        <v>8.2410943233869535E-2</v>
      </c>
    </row>
    <row r="848" spans="1:15">
      <c r="A848">
        <v>4427</v>
      </c>
      <c r="B848">
        <v>536</v>
      </c>
      <c r="C848">
        <v>27</v>
      </c>
      <c r="D848">
        <v>590</v>
      </c>
      <c r="E848">
        <v>38</v>
      </c>
      <c r="F848">
        <v>107</v>
      </c>
      <c r="G848">
        <v>67</v>
      </c>
      <c r="H848" t="s">
        <v>12</v>
      </c>
      <c r="I848">
        <v>83257</v>
      </c>
      <c r="J848">
        <v>0</v>
      </c>
      <c r="K848">
        <v>0</v>
      </c>
      <c r="L848">
        <v>1</v>
      </c>
      <c r="M848">
        <v>0</v>
      </c>
      <c r="N848">
        <f t="shared" si="26"/>
        <v>1.4435524877715329</v>
      </c>
      <c r="O848">
        <f t="shared" si="27"/>
        <v>0.68073682463994445</v>
      </c>
    </row>
    <row r="849" spans="1:15">
      <c r="A849">
        <v>4432</v>
      </c>
      <c r="B849">
        <v>2</v>
      </c>
      <c r="C849">
        <v>3</v>
      </c>
      <c r="D849">
        <v>20</v>
      </c>
      <c r="E849">
        <v>6</v>
      </c>
      <c r="F849">
        <v>11</v>
      </c>
      <c r="G849">
        <v>9</v>
      </c>
      <c r="H849" t="s">
        <v>12</v>
      </c>
      <c r="I849">
        <v>31615</v>
      </c>
      <c r="J849">
        <v>1</v>
      </c>
      <c r="K849">
        <v>0</v>
      </c>
      <c r="L849">
        <v>1</v>
      </c>
      <c r="M849">
        <v>0</v>
      </c>
      <c r="N849">
        <f t="shared" si="26"/>
        <v>-0.94580444771319971</v>
      </c>
      <c r="O849">
        <f t="shared" si="27"/>
        <v>-0.46036677239047763</v>
      </c>
    </row>
    <row r="850" spans="1:15">
      <c r="A850">
        <v>4437</v>
      </c>
      <c r="B850">
        <v>112</v>
      </c>
      <c r="C850">
        <v>6</v>
      </c>
      <c r="D850">
        <v>92</v>
      </c>
      <c r="E850">
        <v>3</v>
      </c>
      <c r="F850">
        <v>9</v>
      </c>
      <c r="G850">
        <v>38</v>
      </c>
      <c r="H850" t="s">
        <v>11</v>
      </c>
      <c r="I850">
        <v>65316</v>
      </c>
      <c r="J850">
        <v>1</v>
      </c>
      <c r="K850">
        <v>1</v>
      </c>
      <c r="L850">
        <v>0</v>
      </c>
      <c r="M850">
        <v>1</v>
      </c>
      <c r="N850">
        <f t="shared" si="26"/>
        <v>0.61346355280519571</v>
      </c>
      <c r="O850">
        <f t="shared" si="27"/>
        <v>0.58154224112257302</v>
      </c>
    </row>
    <row r="851" spans="1:15">
      <c r="A851">
        <v>4440</v>
      </c>
      <c r="B851">
        <v>509</v>
      </c>
      <c r="C851">
        <v>0</v>
      </c>
      <c r="D851">
        <v>27</v>
      </c>
      <c r="E851">
        <v>0</v>
      </c>
      <c r="F851">
        <v>0</v>
      </c>
      <c r="G851">
        <v>10</v>
      </c>
      <c r="H851" t="s">
        <v>11</v>
      </c>
      <c r="I851">
        <v>64100</v>
      </c>
      <c r="J851">
        <v>0</v>
      </c>
      <c r="K851">
        <v>1</v>
      </c>
      <c r="L851">
        <v>0</v>
      </c>
      <c r="M851">
        <v>1</v>
      </c>
      <c r="N851">
        <f t="shared" si="26"/>
        <v>0.55720202084381865</v>
      </c>
      <c r="O851">
        <f t="shared" si="27"/>
        <v>0.67234562677119358</v>
      </c>
    </row>
    <row r="852" spans="1:15">
      <c r="A852">
        <v>4442</v>
      </c>
      <c r="B852">
        <v>31</v>
      </c>
      <c r="C852">
        <v>19</v>
      </c>
      <c r="D852">
        <v>35</v>
      </c>
      <c r="E852">
        <v>26</v>
      </c>
      <c r="F852">
        <v>14</v>
      </c>
      <c r="G852">
        <v>52</v>
      </c>
      <c r="H852" t="s">
        <v>12</v>
      </c>
      <c r="I852">
        <v>46524</v>
      </c>
      <c r="J852">
        <v>0</v>
      </c>
      <c r="K852">
        <v>1</v>
      </c>
      <c r="L852">
        <v>1</v>
      </c>
      <c r="M852">
        <v>0</v>
      </c>
      <c r="N852">
        <f t="shared" si="26"/>
        <v>-0.25599920099266449</v>
      </c>
      <c r="O852">
        <f t="shared" si="27"/>
        <v>-0.14750784513564033</v>
      </c>
    </row>
    <row r="853" spans="1:15">
      <c r="A853">
        <v>4444</v>
      </c>
      <c r="B853">
        <v>11</v>
      </c>
      <c r="C853">
        <v>0</v>
      </c>
      <c r="D853">
        <v>16</v>
      </c>
      <c r="E853">
        <v>7</v>
      </c>
      <c r="F853">
        <v>6</v>
      </c>
      <c r="G853">
        <v>21</v>
      </c>
      <c r="H853" t="s">
        <v>11</v>
      </c>
      <c r="I853">
        <v>30023</v>
      </c>
      <c r="J853">
        <v>1</v>
      </c>
      <c r="K853">
        <v>0</v>
      </c>
      <c r="L853">
        <v>0</v>
      </c>
      <c r="M853">
        <v>1</v>
      </c>
      <c r="N853">
        <f t="shared" si="26"/>
        <v>-1.0194626375836868</v>
      </c>
      <c r="O853">
        <f t="shared" si="27"/>
        <v>-0.16272286050733581</v>
      </c>
    </row>
    <row r="854" spans="1:15">
      <c r="A854">
        <v>4452</v>
      </c>
      <c r="B854">
        <v>292</v>
      </c>
      <c r="C854">
        <v>6</v>
      </c>
      <c r="D854">
        <v>37</v>
      </c>
      <c r="E854">
        <v>0</v>
      </c>
      <c r="F854">
        <v>3</v>
      </c>
      <c r="G854">
        <v>34</v>
      </c>
      <c r="H854" t="s">
        <v>12</v>
      </c>
      <c r="I854">
        <v>50388</v>
      </c>
      <c r="J854">
        <v>0</v>
      </c>
      <c r="K854">
        <v>1</v>
      </c>
      <c r="L854">
        <v>1</v>
      </c>
      <c r="M854">
        <v>0</v>
      </c>
      <c r="N854">
        <f t="shared" si="26"/>
        <v>-7.7220780352236021E-2</v>
      </c>
      <c r="O854">
        <f t="shared" si="27"/>
        <v>-4.5150812695690101E-2</v>
      </c>
    </row>
    <row r="855" spans="1:15">
      <c r="A855">
        <v>4459</v>
      </c>
      <c r="B855">
        <v>10</v>
      </c>
      <c r="C855">
        <v>4</v>
      </c>
      <c r="D855">
        <v>14</v>
      </c>
      <c r="E855">
        <v>4</v>
      </c>
      <c r="F855">
        <v>4</v>
      </c>
      <c r="G855">
        <v>1</v>
      </c>
      <c r="H855" t="s">
        <v>12</v>
      </c>
      <c r="I855">
        <v>30279</v>
      </c>
      <c r="J855">
        <v>1</v>
      </c>
      <c r="K855">
        <v>0</v>
      </c>
      <c r="L855">
        <v>1</v>
      </c>
      <c r="M855">
        <v>0</v>
      </c>
      <c r="N855">
        <f t="shared" si="26"/>
        <v>-1.0076181045391863</v>
      </c>
      <c r="O855">
        <f t="shared" si="27"/>
        <v>-0.48053382463903505</v>
      </c>
    </row>
    <row r="856" spans="1:15">
      <c r="A856">
        <v>4470</v>
      </c>
      <c r="B856">
        <v>62</v>
      </c>
      <c r="C856">
        <v>1</v>
      </c>
      <c r="D856">
        <v>44</v>
      </c>
      <c r="E856">
        <v>6</v>
      </c>
      <c r="F856">
        <v>5</v>
      </c>
      <c r="G856">
        <v>22</v>
      </c>
      <c r="H856" t="s">
        <v>11</v>
      </c>
      <c r="I856">
        <v>58646</v>
      </c>
      <c r="J856">
        <v>0</v>
      </c>
      <c r="K856">
        <v>1</v>
      </c>
      <c r="L856">
        <v>0</v>
      </c>
      <c r="M856">
        <v>1</v>
      </c>
      <c r="N856">
        <f t="shared" si="26"/>
        <v>0.30485794574731323</v>
      </c>
      <c r="O856">
        <f t="shared" si="27"/>
        <v>0.56197639969946178</v>
      </c>
    </row>
    <row r="857" spans="1:15">
      <c r="A857">
        <v>4472</v>
      </c>
      <c r="B857">
        <v>23</v>
      </c>
      <c r="C857">
        <v>0</v>
      </c>
      <c r="D857">
        <v>8</v>
      </c>
      <c r="E857">
        <v>6</v>
      </c>
      <c r="F857">
        <v>2</v>
      </c>
      <c r="G857">
        <v>18</v>
      </c>
      <c r="H857" t="s">
        <v>12</v>
      </c>
      <c r="I857">
        <v>35682</v>
      </c>
      <c r="J857">
        <v>1</v>
      </c>
      <c r="K857">
        <v>0</v>
      </c>
      <c r="L857">
        <v>1</v>
      </c>
      <c r="M857">
        <v>0</v>
      </c>
      <c r="N857">
        <f t="shared" si="26"/>
        <v>-0.75763368251014007</v>
      </c>
      <c r="O857">
        <f t="shared" si="27"/>
        <v>-0.39106334509915042</v>
      </c>
    </row>
    <row r="858" spans="1:15">
      <c r="A858">
        <v>4475</v>
      </c>
      <c r="B858">
        <v>1315</v>
      </c>
      <c r="C858">
        <v>22</v>
      </c>
      <c r="D858">
        <v>780</v>
      </c>
      <c r="E858">
        <v>145</v>
      </c>
      <c r="F858">
        <v>0</v>
      </c>
      <c r="G858">
        <v>178</v>
      </c>
      <c r="H858" t="s">
        <v>11</v>
      </c>
      <c r="I858">
        <v>69098</v>
      </c>
      <c r="J858">
        <v>0</v>
      </c>
      <c r="K858">
        <v>0</v>
      </c>
      <c r="L858">
        <v>0</v>
      </c>
      <c r="M858">
        <v>1</v>
      </c>
      <c r="N858">
        <f t="shared" si="26"/>
        <v>0.78844802145480763</v>
      </c>
      <c r="O858">
        <f t="shared" si="27"/>
        <v>0.9529154675336684</v>
      </c>
    </row>
    <row r="859" spans="1:15">
      <c r="A859">
        <v>4477</v>
      </c>
      <c r="B859">
        <v>247</v>
      </c>
      <c r="C859">
        <v>49</v>
      </c>
      <c r="D859">
        <v>159</v>
      </c>
      <c r="E859">
        <v>7</v>
      </c>
      <c r="F859">
        <v>82</v>
      </c>
      <c r="G859">
        <v>109</v>
      </c>
      <c r="H859" t="s">
        <v>11</v>
      </c>
      <c r="I859">
        <v>69096</v>
      </c>
      <c r="J859">
        <v>0</v>
      </c>
      <c r="K859">
        <v>1</v>
      </c>
      <c r="L859">
        <v>0</v>
      </c>
      <c r="M859">
        <v>1</v>
      </c>
      <c r="N859">
        <f t="shared" si="26"/>
        <v>0.78835548604039751</v>
      </c>
      <c r="O859">
        <f t="shared" si="27"/>
        <v>0.74942859172980147</v>
      </c>
    </row>
    <row r="860" spans="1:15">
      <c r="A860">
        <v>4478</v>
      </c>
      <c r="B860">
        <v>457</v>
      </c>
      <c r="C860">
        <v>5</v>
      </c>
      <c r="D860">
        <v>106</v>
      </c>
      <c r="E860">
        <v>15</v>
      </c>
      <c r="F860">
        <v>17</v>
      </c>
      <c r="G860">
        <v>53</v>
      </c>
      <c r="H860" t="s">
        <v>11</v>
      </c>
      <c r="I860">
        <v>63777</v>
      </c>
      <c r="J860">
        <v>1</v>
      </c>
      <c r="K860">
        <v>1</v>
      </c>
      <c r="L860">
        <v>0</v>
      </c>
      <c r="M860">
        <v>1</v>
      </c>
      <c r="N860">
        <f t="shared" si="26"/>
        <v>0.54225755141657783</v>
      </c>
      <c r="O860">
        <f t="shared" si="27"/>
        <v>0.55627206018965925</v>
      </c>
    </row>
    <row r="861" spans="1:15">
      <c r="A861">
        <v>4480</v>
      </c>
      <c r="B861">
        <v>365</v>
      </c>
      <c r="C861">
        <v>3</v>
      </c>
      <c r="D861">
        <v>15</v>
      </c>
      <c r="E861">
        <v>4</v>
      </c>
      <c r="F861">
        <v>3</v>
      </c>
      <c r="G861">
        <v>11</v>
      </c>
      <c r="H861" t="s">
        <v>11</v>
      </c>
      <c r="I861">
        <v>60432</v>
      </c>
      <c r="J861">
        <v>0</v>
      </c>
      <c r="K861">
        <v>1</v>
      </c>
      <c r="L861">
        <v>0</v>
      </c>
      <c r="M861">
        <v>1</v>
      </c>
      <c r="N861">
        <f t="shared" si="26"/>
        <v>0.38749207081558579</v>
      </c>
      <c r="O861">
        <f t="shared" si="27"/>
        <v>0.60111724762750929</v>
      </c>
    </row>
    <row r="862" spans="1:15">
      <c r="A862">
        <v>4483</v>
      </c>
      <c r="B862">
        <v>315</v>
      </c>
      <c r="C862">
        <v>26</v>
      </c>
      <c r="D862">
        <v>473</v>
      </c>
      <c r="E862">
        <v>220</v>
      </c>
      <c r="F862">
        <v>12</v>
      </c>
      <c r="G862">
        <v>182</v>
      </c>
      <c r="H862" t="s">
        <v>12</v>
      </c>
      <c r="I862">
        <v>72354</v>
      </c>
      <c r="J862">
        <v>0</v>
      </c>
      <c r="K862">
        <v>0</v>
      </c>
      <c r="L862">
        <v>1</v>
      </c>
      <c r="M862">
        <v>0</v>
      </c>
      <c r="N862">
        <f t="shared" si="26"/>
        <v>0.93909567611454758</v>
      </c>
      <c r="O862">
        <f t="shared" si="27"/>
        <v>0.56689723724824204</v>
      </c>
    </row>
    <row r="863" spans="1:15">
      <c r="A863">
        <v>4487</v>
      </c>
      <c r="B863">
        <v>15</v>
      </c>
      <c r="C863">
        <v>20</v>
      </c>
      <c r="D863">
        <v>25</v>
      </c>
      <c r="E863">
        <v>2</v>
      </c>
      <c r="F863">
        <v>7</v>
      </c>
      <c r="G863">
        <v>26</v>
      </c>
      <c r="H863" t="s">
        <v>12</v>
      </c>
      <c r="I863">
        <v>39858</v>
      </c>
      <c r="J863">
        <v>1</v>
      </c>
      <c r="K863">
        <v>0</v>
      </c>
      <c r="L863">
        <v>1</v>
      </c>
      <c r="M863">
        <v>0</v>
      </c>
      <c r="N863">
        <f t="shared" si="26"/>
        <v>-0.56441973722172667</v>
      </c>
      <c r="O863">
        <f t="shared" si="27"/>
        <v>-0.30696225033675889</v>
      </c>
    </row>
    <row r="864" spans="1:15">
      <c r="A864">
        <v>4501</v>
      </c>
      <c r="B864">
        <v>292</v>
      </c>
      <c r="C864">
        <v>127</v>
      </c>
      <c r="D864">
        <v>635</v>
      </c>
      <c r="E864">
        <v>132</v>
      </c>
      <c r="F864">
        <v>127</v>
      </c>
      <c r="G864">
        <v>165</v>
      </c>
      <c r="H864" t="s">
        <v>12</v>
      </c>
      <c r="I864">
        <v>69882</v>
      </c>
      <c r="J864">
        <v>0</v>
      </c>
      <c r="K864">
        <v>0</v>
      </c>
      <c r="L864">
        <v>1</v>
      </c>
      <c r="M864">
        <v>0</v>
      </c>
      <c r="N864">
        <f t="shared" si="26"/>
        <v>0.82472190390359024</v>
      </c>
      <c r="O864">
        <f t="shared" si="27"/>
        <v>0.52689521565097652</v>
      </c>
    </row>
    <row r="865" spans="1:15">
      <c r="A865">
        <v>4507</v>
      </c>
      <c r="B865">
        <v>631</v>
      </c>
      <c r="C865">
        <v>28</v>
      </c>
      <c r="D865">
        <v>491</v>
      </c>
      <c r="E865">
        <v>30</v>
      </c>
      <c r="F865">
        <v>14</v>
      </c>
      <c r="G865">
        <v>56</v>
      </c>
      <c r="H865" t="s">
        <v>12</v>
      </c>
      <c r="I865">
        <v>72228</v>
      </c>
      <c r="J865">
        <v>0</v>
      </c>
      <c r="K865">
        <v>0</v>
      </c>
      <c r="L865">
        <v>1</v>
      </c>
      <c r="M865">
        <v>0</v>
      </c>
      <c r="N865">
        <f t="shared" si="26"/>
        <v>0.93326594500670745</v>
      </c>
      <c r="O865">
        <f t="shared" si="27"/>
        <v>0.56501903407709531</v>
      </c>
    </row>
    <row r="866" spans="1:15">
      <c r="A866">
        <v>4508</v>
      </c>
      <c r="B866">
        <v>203</v>
      </c>
      <c r="C866">
        <v>35</v>
      </c>
      <c r="D866">
        <v>305</v>
      </c>
      <c r="E866">
        <v>46</v>
      </c>
      <c r="F866">
        <v>17</v>
      </c>
      <c r="G866">
        <v>227</v>
      </c>
      <c r="H866" t="s">
        <v>12</v>
      </c>
      <c r="I866">
        <v>75127</v>
      </c>
      <c r="J866">
        <v>0</v>
      </c>
      <c r="K866">
        <v>0</v>
      </c>
      <c r="L866">
        <v>1</v>
      </c>
      <c r="M866">
        <v>0</v>
      </c>
      <c r="N866">
        <f t="shared" si="26"/>
        <v>1.0673960281942338</v>
      </c>
      <c r="O866">
        <f t="shared" si="27"/>
        <v>0.6043368929234334</v>
      </c>
    </row>
    <row r="867" spans="1:15">
      <c r="A867">
        <v>4518</v>
      </c>
      <c r="B867">
        <v>386</v>
      </c>
      <c r="C867">
        <v>172</v>
      </c>
      <c r="D867">
        <v>183</v>
      </c>
      <c r="E867">
        <v>185</v>
      </c>
      <c r="F867">
        <v>132</v>
      </c>
      <c r="G867">
        <v>111</v>
      </c>
      <c r="H867" t="s">
        <v>11</v>
      </c>
      <c r="I867">
        <v>85693</v>
      </c>
      <c r="J867">
        <v>0</v>
      </c>
      <c r="K867">
        <v>1</v>
      </c>
      <c r="L867">
        <v>0</v>
      </c>
      <c r="M867">
        <v>1</v>
      </c>
      <c r="N867">
        <f t="shared" si="26"/>
        <v>1.5562606225231075</v>
      </c>
      <c r="O867">
        <f t="shared" si="27"/>
        <v>0.87943877301062989</v>
      </c>
    </row>
    <row r="868" spans="1:15">
      <c r="A868">
        <v>4530</v>
      </c>
      <c r="B868">
        <v>972</v>
      </c>
      <c r="C868">
        <v>19</v>
      </c>
      <c r="D868">
        <v>595</v>
      </c>
      <c r="E868">
        <v>180</v>
      </c>
      <c r="F868">
        <v>26</v>
      </c>
      <c r="G868">
        <v>138</v>
      </c>
      <c r="H868" t="s">
        <v>12</v>
      </c>
      <c r="I868">
        <v>78427</v>
      </c>
      <c r="J868">
        <v>0</v>
      </c>
      <c r="K868">
        <v>0</v>
      </c>
      <c r="L868">
        <v>1</v>
      </c>
      <c r="M868">
        <v>0</v>
      </c>
      <c r="N868">
        <f t="shared" si="26"/>
        <v>1.2200794619709974</v>
      </c>
      <c r="O868">
        <f t="shared" si="27"/>
        <v>0.6404776085359255</v>
      </c>
    </row>
    <row r="869" spans="1:15">
      <c r="A869">
        <v>4541</v>
      </c>
      <c r="B869">
        <v>116</v>
      </c>
      <c r="C869">
        <v>6</v>
      </c>
      <c r="D869">
        <v>82</v>
      </c>
      <c r="E869">
        <v>6</v>
      </c>
      <c r="F869">
        <v>6</v>
      </c>
      <c r="G869">
        <v>41</v>
      </c>
      <c r="H869" t="s">
        <v>11</v>
      </c>
      <c r="I869">
        <v>38946</v>
      </c>
      <c r="J869">
        <v>0</v>
      </c>
      <c r="K869">
        <v>1</v>
      </c>
      <c r="L869">
        <v>0</v>
      </c>
      <c r="M869">
        <v>1</v>
      </c>
      <c r="N869">
        <f t="shared" si="26"/>
        <v>-0.60661588619275941</v>
      </c>
      <c r="O869">
        <f t="shared" si="27"/>
        <v>3.7822226586732913E-2</v>
      </c>
    </row>
    <row r="870" spans="1:15">
      <c r="A870">
        <v>4543</v>
      </c>
      <c r="B870">
        <v>777</v>
      </c>
      <c r="C870">
        <v>129</v>
      </c>
      <c r="D870">
        <v>573</v>
      </c>
      <c r="E870">
        <v>216</v>
      </c>
      <c r="F870">
        <v>21</v>
      </c>
      <c r="G870">
        <v>203</v>
      </c>
      <c r="H870" t="s">
        <v>11</v>
      </c>
      <c r="I870">
        <v>82497</v>
      </c>
      <c r="J870">
        <v>0</v>
      </c>
      <c r="K870">
        <v>0</v>
      </c>
      <c r="L870">
        <v>0</v>
      </c>
      <c r="M870">
        <v>1</v>
      </c>
      <c r="N870">
        <f t="shared" si="26"/>
        <v>1.4083890302956723</v>
      </c>
      <c r="O870">
        <f t="shared" si="27"/>
        <v>0.99974970624241</v>
      </c>
    </row>
    <row r="871" spans="1:15">
      <c r="A871">
        <v>4547</v>
      </c>
      <c r="B871">
        <v>6</v>
      </c>
      <c r="C871">
        <v>2</v>
      </c>
      <c r="D871">
        <v>9</v>
      </c>
      <c r="E871">
        <v>2</v>
      </c>
      <c r="F871">
        <v>1</v>
      </c>
      <c r="G871">
        <v>5</v>
      </c>
      <c r="H871" t="s">
        <v>11</v>
      </c>
      <c r="I871">
        <v>13672</v>
      </c>
      <c r="J871">
        <v>1</v>
      </c>
      <c r="K871">
        <v>1</v>
      </c>
      <c r="L871">
        <v>0</v>
      </c>
      <c r="M871">
        <v>1</v>
      </c>
      <c r="N871">
        <f t="shared" si="26"/>
        <v>-1.775985918093947</v>
      </c>
      <c r="O871">
        <f t="shared" si="27"/>
        <v>-0.36689532314528889</v>
      </c>
    </row>
    <row r="872" spans="1:15">
      <c r="A872">
        <v>4548</v>
      </c>
      <c r="B872">
        <v>23</v>
      </c>
      <c r="C872">
        <v>4</v>
      </c>
      <c r="D872">
        <v>10</v>
      </c>
      <c r="E872">
        <v>0</v>
      </c>
      <c r="F872">
        <v>2</v>
      </c>
      <c r="G872">
        <v>15</v>
      </c>
      <c r="H872" t="s">
        <v>12</v>
      </c>
      <c r="I872">
        <v>41967</v>
      </c>
      <c r="J872">
        <v>1</v>
      </c>
      <c r="K872">
        <v>1</v>
      </c>
      <c r="L872">
        <v>1</v>
      </c>
      <c r="M872">
        <v>0</v>
      </c>
      <c r="N872">
        <f t="shared" si="26"/>
        <v>-0.4668411427262133</v>
      </c>
      <c r="O872">
        <f t="shared" si="27"/>
        <v>-0.21551274495039138</v>
      </c>
    </row>
    <row r="873" spans="1:15">
      <c r="A873">
        <v>4550</v>
      </c>
      <c r="B873">
        <v>61</v>
      </c>
      <c r="C873">
        <v>0</v>
      </c>
      <c r="D873">
        <v>3</v>
      </c>
      <c r="E873">
        <v>0</v>
      </c>
      <c r="F873">
        <v>0</v>
      </c>
      <c r="G873">
        <v>7</v>
      </c>
      <c r="H873" t="s">
        <v>11</v>
      </c>
      <c r="I873">
        <v>33564</v>
      </c>
      <c r="J873">
        <v>0</v>
      </c>
      <c r="K873">
        <v>1</v>
      </c>
      <c r="L873">
        <v>0</v>
      </c>
      <c r="M873">
        <v>1</v>
      </c>
      <c r="N873">
        <f t="shared" si="26"/>
        <v>-0.85562868637049905</v>
      </c>
      <c r="O873">
        <f t="shared" si="27"/>
        <v>-8.9545579727336774E-2</v>
      </c>
    </row>
    <row r="874" spans="1:15">
      <c r="A874">
        <v>4552</v>
      </c>
      <c r="B874">
        <v>83</v>
      </c>
      <c r="C874">
        <v>2</v>
      </c>
      <c r="D874">
        <v>101</v>
      </c>
      <c r="E874">
        <v>64</v>
      </c>
      <c r="F874">
        <v>26</v>
      </c>
      <c r="G874">
        <v>117</v>
      </c>
      <c r="H874" t="s">
        <v>11</v>
      </c>
      <c r="I874">
        <v>51373</v>
      </c>
      <c r="J874">
        <v>0</v>
      </c>
      <c r="K874">
        <v>0</v>
      </c>
      <c r="L874">
        <v>0</v>
      </c>
      <c r="M874">
        <v>1</v>
      </c>
      <c r="N874">
        <f t="shared" si="26"/>
        <v>-3.164708875523238E-2</v>
      </c>
      <c r="O874">
        <f t="shared" si="27"/>
        <v>0.53407710746742409</v>
      </c>
    </row>
    <row r="875" spans="1:15">
      <c r="A875">
        <v>4554</v>
      </c>
      <c r="B875">
        <v>171</v>
      </c>
      <c r="C875">
        <v>45</v>
      </c>
      <c r="D875">
        <v>73</v>
      </c>
      <c r="E875">
        <v>59</v>
      </c>
      <c r="F875">
        <v>10</v>
      </c>
      <c r="G875">
        <v>90</v>
      </c>
      <c r="H875" t="s">
        <v>11</v>
      </c>
      <c r="I875">
        <v>47009</v>
      </c>
      <c r="J875">
        <v>0</v>
      </c>
      <c r="K875">
        <v>1</v>
      </c>
      <c r="L875">
        <v>0</v>
      </c>
      <c r="M875">
        <v>1</v>
      </c>
      <c r="N875">
        <f t="shared" si="26"/>
        <v>-0.23355936299820076</v>
      </c>
      <c r="O875">
        <f t="shared" si="27"/>
        <v>0.25613555664461601</v>
      </c>
    </row>
    <row r="876" spans="1:15">
      <c r="A876">
        <v>4557</v>
      </c>
      <c r="B876">
        <v>10</v>
      </c>
      <c r="C876">
        <v>7</v>
      </c>
      <c r="D876">
        <v>19</v>
      </c>
      <c r="E876">
        <v>8</v>
      </c>
      <c r="F876">
        <v>2</v>
      </c>
      <c r="G876">
        <v>21</v>
      </c>
      <c r="H876" t="s">
        <v>11</v>
      </c>
      <c r="I876">
        <v>22070</v>
      </c>
      <c r="J876">
        <v>1</v>
      </c>
      <c r="K876">
        <v>0</v>
      </c>
      <c r="L876">
        <v>0</v>
      </c>
      <c r="M876">
        <v>1</v>
      </c>
      <c r="N876">
        <f t="shared" si="26"/>
        <v>-1.3874297129856867</v>
      </c>
      <c r="O876">
        <f t="shared" si="27"/>
        <v>-0.29700158062041665</v>
      </c>
    </row>
    <row r="877" spans="1:15">
      <c r="A877">
        <v>4580</v>
      </c>
      <c r="B877">
        <v>1394</v>
      </c>
      <c r="C877">
        <v>22</v>
      </c>
      <c r="D877">
        <v>708</v>
      </c>
      <c r="E877">
        <v>89</v>
      </c>
      <c r="F877">
        <v>91</v>
      </c>
      <c r="G877">
        <v>182</v>
      </c>
      <c r="H877" t="s">
        <v>11</v>
      </c>
      <c r="I877">
        <v>75759</v>
      </c>
      <c r="J877">
        <v>0</v>
      </c>
      <c r="K877">
        <v>0</v>
      </c>
      <c r="L877">
        <v>0</v>
      </c>
      <c r="M877">
        <v>1</v>
      </c>
      <c r="N877">
        <f t="shared" si="26"/>
        <v>1.0966372191478444</v>
      </c>
      <c r="O877">
        <f t="shared" si="27"/>
        <v>0.98960868495304233</v>
      </c>
    </row>
    <row r="878" spans="1:15">
      <c r="A878">
        <v>4587</v>
      </c>
      <c r="B878">
        <v>162</v>
      </c>
      <c r="C878">
        <v>25</v>
      </c>
      <c r="D878">
        <v>53</v>
      </c>
      <c r="E878">
        <v>16</v>
      </c>
      <c r="F878">
        <v>0</v>
      </c>
      <c r="G878">
        <v>10</v>
      </c>
      <c r="H878" t="s">
        <v>12</v>
      </c>
      <c r="I878">
        <v>45006</v>
      </c>
      <c r="J878">
        <v>0</v>
      </c>
      <c r="K878">
        <v>0</v>
      </c>
      <c r="L878">
        <v>1</v>
      </c>
      <c r="M878">
        <v>0</v>
      </c>
      <c r="N878">
        <f t="shared" si="26"/>
        <v>-0.32623358052997564</v>
      </c>
      <c r="O878">
        <f t="shared" si="27"/>
        <v>-0.25683834658272403</v>
      </c>
    </row>
    <row r="879" spans="1:15">
      <c r="A879">
        <v>4597</v>
      </c>
      <c r="B879">
        <v>889</v>
      </c>
      <c r="C879">
        <v>55</v>
      </c>
      <c r="D879">
        <v>685</v>
      </c>
      <c r="E879">
        <v>168</v>
      </c>
      <c r="F879">
        <v>92</v>
      </c>
      <c r="G879">
        <v>129</v>
      </c>
      <c r="H879" t="s">
        <v>11</v>
      </c>
      <c r="I879">
        <v>82072</v>
      </c>
      <c r="J879">
        <v>0</v>
      </c>
      <c r="K879">
        <v>0</v>
      </c>
      <c r="L879">
        <v>0</v>
      </c>
      <c r="M879">
        <v>1</v>
      </c>
      <c r="N879">
        <f t="shared" si="26"/>
        <v>1.3887252547335134</v>
      </c>
      <c r="O879">
        <f t="shared" si="27"/>
        <v>0.99957875662150264</v>
      </c>
    </row>
    <row r="880" spans="1:15">
      <c r="A880">
        <v>4603</v>
      </c>
      <c r="B880">
        <v>371</v>
      </c>
      <c r="C880">
        <v>32</v>
      </c>
      <c r="D880">
        <v>189</v>
      </c>
      <c r="E880">
        <v>0</v>
      </c>
      <c r="F880">
        <v>58</v>
      </c>
      <c r="G880">
        <v>6</v>
      </c>
      <c r="H880" t="s">
        <v>11</v>
      </c>
      <c r="I880">
        <v>65695</v>
      </c>
      <c r="J880">
        <v>0</v>
      </c>
      <c r="K880">
        <v>1</v>
      </c>
      <c r="L880">
        <v>0</v>
      </c>
      <c r="M880">
        <v>1</v>
      </c>
      <c r="N880">
        <f t="shared" si="26"/>
        <v>0.63099901383592094</v>
      </c>
      <c r="O880">
        <f t="shared" si="27"/>
        <v>0.69940264969692323</v>
      </c>
    </row>
    <row r="881" spans="1:15">
      <c r="A881">
        <v>4607</v>
      </c>
      <c r="B881">
        <v>227</v>
      </c>
      <c r="C881">
        <v>23</v>
      </c>
      <c r="D881">
        <v>389</v>
      </c>
      <c r="E881">
        <v>42</v>
      </c>
      <c r="F881">
        <v>21</v>
      </c>
      <c r="G881">
        <v>75</v>
      </c>
      <c r="H881" t="s">
        <v>11</v>
      </c>
      <c r="I881">
        <v>71367</v>
      </c>
      <c r="J881">
        <v>0</v>
      </c>
      <c r="K881">
        <v>0</v>
      </c>
      <c r="L881">
        <v>0</v>
      </c>
      <c r="M881">
        <v>1</v>
      </c>
      <c r="N881">
        <f t="shared" si="26"/>
        <v>0.89342944910313382</v>
      </c>
      <c r="O881">
        <f t="shared" si="27"/>
        <v>0.96975508077106298</v>
      </c>
    </row>
    <row r="882" spans="1:15">
      <c r="A882">
        <v>4609</v>
      </c>
      <c r="B882">
        <v>383</v>
      </c>
      <c r="C882">
        <v>0</v>
      </c>
      <c r="D882">
        <v>53</v>
      </c>
      <c r="E882">
        <v>6</v>
      </c>
      <c r="F882">
        <v>4</v>
      </c>
      <c r="G882">
        <v>40</v>
      </c>
      <c r="H882" t="s">
        <v>11</v>
      </c>
      <c r="I882">
        <v>57705</v>
      </c>
      <c r="J882">
        <v>0</v>
      </c>
      <c r="K882">
        <v>1</v>
      </c>
      <c r="L882">
        <v>0</v>
      </c>
      <c r="M882">
        <v>1</v>
      </c>
      <c r="N882">
        <f t="shared" si="26"/>
        <v>0.26132003326733311</v>
      </c>
      <c r="O882">
        <f t="shared" si="27"/>
        <v>0.54024531105121176</v>
      </c>
    </row>
    <row r="883" spans="1:15">
      <c r="A883">
        <v>4611</v>
      </c>
      <c r="B883">
        <v>1009</v>
      </c>
      <c r="C883">
        <v>181</v>
      </c>
      <c r="D883">
        <v>104</v>
      </c>
      <c r="E883">
        <v>202</v>
      </c>
      <c r="F883">
        <v>21</v>
      </c>
      <c r="G883">
        <v>207</v>
      </c>
      <c r="H883" t="s">
        <v>11</v>
      </c>
      <c r="I883">
        <v>105471</v>
      </c>
      <c r="J883">
        <v>0</v>
      </c>
      <c r="K883">
        <v>0</v>
      </c>
      <c r="L883">
        <v>0</v>
      </c>
      <c r="M883">
        <v>1</v>
      </c>
      <c r="N883">
        <f t="shared" si="26"/>
        <v>2.4713433356251762</v>
      </c>
      <c r="O883">
        <f t="shared" si="27"/>
        <v>0.97791531234388873</v>
      </c>
    </row>
    <row r="884" spans="1:15">
      <c r="A884">
        <v>4619</v>
      </c>
      <c r="B884">
        <v>6</v>
      </c>
      <c r="C884">
        <v>2</v>
      </c>
      <c r="D884">
        <v>3</v>
      </c>
      <c r="E884">
        <v>1</v>
      </c>
      <c r="F884">
        <v>262</v>
      </c>
      <c r="G884">
        <v>3</v>
      </c>
      <c r="H884" t="s">
        <v>12</v>
      </c>
      <c r="I884">
        <v>113734</v>
      </c>
      <c r="J884">
        <v>0</v>
      </c>
      <c r="K884">
        <v>0</v>
      </c>
      <c r="L884">
        <v>1</v>
      </c>
      <c r="M884">
        <v>0</v>
      </c>
      <c r="N884">
        <f t="shared" si="26"/>
        <v>2.8536534002607512</v>
      </c>
      <c r="O884">
        <f t="shared" si="27"/>
        <v>0.78152287217594052</v>
      </c>
    </row>
    <row r="885" spans="1:15">
      <c r="A885">
        <v>4637</v>
      </c>
      <c r="B885">
        <v>960</v>
      </c>
      <c r="C885">
        <v>64</v>
      </c>
      <c r="D885">
        <v>464</v>
      </c>
      <c r="E885">
        <v>146</v>
      </c>
      <c r="F885">
        <v>0</v>
      </c>
      <c r="G885">
        <v>16</v>
      </c>
      <c r="H885" t="s">
        <v>12</v>
      </c>
      <c r="I885">
        <v>74637</v>
      </c>
      <c r="J885">
        <v>0</v>
      </c>
      <c r="K885">
        <v>0</v>
      </c>
      <c r="L885">
        <v>1</v>
      </c>
      <c r="M885">
        <v>0</v>
      </c>
      <c r="N885">
        <f t="shared" si="26"/>
        <v>1.0447248516637448</v>
      </c>
      <c r="O885">
        <f t="shared" si="27"/>
        <v>0.59823391595302855</v>
      </c>
    </row>
    <row r="886" spans="1:15">
      <c r="A886">
        <v>4640</v>
      </c>
      <c r="B886">
        <v>561</v>
      </c>
      <c r="C886">
        <v>85</v>
      </c>
      <c r="D886">
        <v>171</v>
      </c>
      <c r="E886">
        <v>25</v>
      </c>
      <c r="F886">
        <v>123</v>
      </c>
      <c r="G886">
        <v>114</v>
      </c>
      <c r="H886" t="s">
        <v>12</v>
      </c>
      <c r="I886">
        <v>70647</v>
      </c>
      <c r="J886">
        <v>0</v>
      </c>
      <c r="K886">
        <v>1</v>
      </c>
      <c r="L886">
        <v>1</v>
      </c>
      <c r="M886">
        <v>0</v>
      </c>
      <c r="N886">
        <f t="shared" si="26"/>
        <v>0.86011669991547635</v>
      </c>
      <c r="O886">
        <f t="shared" si="27"/>
        <v>0.43031921696623399</v>
      </c>
    </row>
    <row r="887" spans="1:15">
      <c r="A887">
        <v>4643</v>
      </c>
      <c r="B887">
        <v>8</v>
      </c>
      <c r="C887">
        <v>26</v>
      </c>
      <c r="D887">
        <v>46</v>
      </c>
      <c r="E887">
        <v>38</v>
      </c>
      <c r="F887">
        <v>9</v>
      </c>
      <c r="G887">
        <v>49</v>
      </c>
      <c r="H887" t="s">
        <v>11</v>
      </c>
      <c r="I887">
        <v>27803</v>
      </c>
      <c r="J887">
        <v>1</v>
      </c>
      <c r="K887">
        <v>0</v>
      </c>
      <c r="L887">
        <v>0</v>
      </c>
      <c r="M887">
        <v>1</v>
      </c>
      <c r="N887">
        <f t="shared" si="26"/>
        <v>-1.122176947578964</v>
      </c>
      <c r="O887">
        <f t="shared" si="27"/>
        <v>-0.204251054966163</v>
      </c>
    </row>
    <row r="888" spans="1:15">
      <c r="A888">
        <v>4646</v>
      </c>
      <c r="B888">
        <v>207</v>
      </c>
      <c r="C888">
        <v>26</v>
      </c>
      <c r="D888">
        <v>447</v>
      </c>
      <c r="E888">
        <v>75</v>
      </c>
      <c r="F888">
        <v>0</v>
      </c>
      <c r="G888">
        <v>223</v>
      </c>
      <c r="H888" t="s">
        <v>11</v>
      </c>
      <c r="I888">
        <v>78497</v>
      </c>
      <c r="J888">
        <v>0</v>
      </c>
      <c r="K888">
        <v>0</v>
      </c>
      <c r="L888">
        <v>0</v>
      </c>
      <c r="M888">
        <v>1</v>
      </c>
      <c r="N888">
        <f t="shared" si="26"/>
        <v>1.223318201475353</v>
      </c>
      <c r="O888">
        <f t="shared" si="27"/>
        <v>0.9959313148380663</v>
      </c>
    </row>
    <row r="889" spans="1:15">
      <c r="A889">
        <v>4653</v>
      </c>
      <c r="B889">
        <v>131</v>
      </c>
      <c r="C889">
        <v>0</v>
      </c>
      <c r="D889">
        <v>16</v>
      </c>
      <c r="E889">
        <v>2</v>
      </c>
      <c r="F889">
        <v>1</v>
      </c>
      <c r="G889">
        <v>39</v>
      </c>
      <c r="H889" t="s">
        <v>11</v>
      </c>
      <c r="I889">
        <v>42011</v>
      </c>
      <c r="J889">
        <v>1</v>
      </c>
      <c r="K889">
        <v>0</v>
      </c>
      <c r="L889">
        <v>0</v>
      </c>
      <c r="M889">
        <v>1</v>
      </c>
      <c r="N889">
        <f t="shared" si="26"/>
        <v>-0.46480536360918978</v>
      </c>
      <c r="O889">
        <f t="shared" si="27"/>
        <v>0.11798554920722729</v>
      </c>
    </row>
    <row r="890" spans="1:15">
      <c r="A890">
        <v>4654</v>
      </c>
      <c r="B890">
        <v>571</v>
      </c>
      <c r="C890">
        <v>12</v>
      </c>
      <c r="D890">
        <v>523</v>
      </c>
      <c r="E890">
        <v>63</v>
      </c>
      <c r="F890">
        <v>60</v>
      </c>
      <c r="G890">
        <v>24</v>
      </c>
      <c r="H890" t="s">
        <v>11</v>
      </c>
      <c r="I890">
        <v>75114</v>
      </c>
      <c r="J890">
        <v>0</v>
      </c>
      <c r="K890">
        <v>0</v>
      </c>
      <c r="L890">
        <v>0</v>
      </c>
      <c r="M890">
        <v>1</v>
      </c>
      <c r="N890">
        <f t="shared" si="26"/>
        <v>1.0667945480005678</v>
      </c>
      <c r="O890">
        <f t="shared" si="27"/>
        <v>0.98753777925956487</v>
      </c>
    </row>
    <row r="891" spans="1:15">
      <c r="A891">
        <v>4656</v>
      </c>
      <c r="B891">
        <v>342</v>
      </c>
      <c r="C891">
        <v>32</v>
      </c>
      <c r="D891">
        <v>230</v>
      </c>
      <c r="E891">
        <v>34</v>
      </c>
      <c r="F891">
        <v>32</v>
      </c>
      <c r="G891">
        <v>40</v>
      </c>
      <c r="H891" t="s">
        <v>12</v>
      </c>
      <c r="I891">
        <v>51250</v>
      </c>
      <c r="J891">
        <v>1</v>
      </c>
      <c r="K891">
        <v>0</v>
      </c>
      <c r="L891">
        <v>1</v>
      </c>
      <c r="M891">
        <v>0</v>
      </c>
      <c r="N891">
        <f t="shared" si="26"/>
        <v>-3.7338016741457203E-2</v>
      </c>
      <c r="O891">
        <f t="shared" si="27"/>
        <v>-2.1856357498477582E-2</v>
      </c>
    </row>
    <row r="892" spans="1:15">
      <c r="A892">
        <v>4669</v>
      </c>
      <c r="B892">
        <v>4</v>
      </c>
      <c r="C892">
        <v>19</v>
      </c>
      <c r="D892">
        <v>9</v>
      </c>
      <c r="E892">
        <v>28</v>
      </c>
      <c r="F892">
        <v>25</v>
      </c>
      <c r="G892">
        <v>17</v>
      </c>
      <c r="H892" t="s">
        <v>11</v>
      </c>
      <c r="I892">
        <v>24480</v>
      </c>
      <c r="J892">
        <v>1</v>
      </c>
      <c r="K892">
        <v>0</v>
      </c>
      <c r="L892">
        <v>0</v>
      </c>
      <c r="M892">
        <v>1</v>
      </c>
      <c r="N892">
        <f t="shared" si="26"/>
        <v>-1.2759245386214444</v>
      </c>
      <c r="O892">
        <f t="shared" si="27"/>
        <v>-0.26043923948490416</v>
      </c>
    </row>
    <row r="893" spans="1:15">
      <c r="A893">
        <v>4673</v>
      </c>
      <c r="B893">
        <v>1004</v>
      </c>
      <c r="C893">
        <v>12</v>
      </c>
      <c r="D893">
        <v>145</v>
      </c>
      <c r="E893">
        <v>32</v>
      </c>
      <c r="F893">
        <v>12</v>
      </c>
      <c r="G893">
        <v>36</v>
      </c>
      <c r="H893" t="s">
        <v>11</v>
      </c>
      <c r="I893">
        <v>81300</v>
      </c>
      <c r="J893">
        <v>0</v>
      </c>
      <c r="K893">
        <v>1</v>
      </c>
      <c r="L893">
        <v>0</v>
      </c>
      <c r="M893">
        <v>1</v>
      </c>
      <c r="N893">
        <f t="shared" si="26"/>
        <v>1.3530065847711918</v>
      </c>
      <c r="O893">
        <f t="shared" si="27"/>
        <v>0.85888201216210103</v>
      </c>
    </row>
    <row r="894" spans="1:15">
      <c r="A894">
        <v>4676</v>
      </c>
      <c r="B894">
        <v>612</v>
      </c>
      <c r="C894">
        <v>91</v>
      </c>
      <c r="D894">
        <v>520</v>
      </c>
      <c r="E894">
        <v>258</v>
      </c>
      <c r="F894">
        <v>107</v>
      </c>
      <c r="G894">
        <v>107</v>
      </c>
      <c r="H894" t="s">
        <v>12</v>
      </c>
      <c r="I894">
        <v>73705</v>
      </c>
      <c r="J894">
        <v>0</v>
      </c>
      <c r="K894">
        <v>2</v>
      </c>
      <c r="L894">
        <v>1</v>
      </c>
      <c r="M894">
        <v>0</v>
      </c>
      <c r="N894">
        <f t="shared" si="26"/>
        <v>1.0016033485486104</v>
      </c>
      <c r="O894">
        <f t="shared" si="27"/>
        <v>0.33852977809865359</v>
      </c>
    </row>
    <row r="895" spans="1:15">
      <c r="A895">
        <v>4679</v>
      </c>
      <c r="B895">
        <v>721</v>
      </c>
      <c r="C895">
        <v>0</v>
      </c>
      <c r="D895">
        <v>152</v>
      </c>
      <c r="E895">
        <v>119</v>
      </c>
      <c r="F895">
        <v>50</v>
      </c>
      <c r="G895">
        <v>50</v>
      </c>
      <c r="H895" t="s">
        <v>11</v>
      </c>
      <c r="I895">
        <v>78710</v>
      </c>
      <c r="J895">
        <v>0</v>
      </c>
      <c r="K895">
        <v>1</v>
      </c>
      <c r="L895">
        <v>0</v>
      </c>
      <c r="M895">
        <v>1</v>
      </c>
      <c r="N895">
        <f t="shared" si="26"/>
        <v>1.233173223110035</v>
      </c>
      <c r="O895">
        <f t="shared" si="27"/>
        <v>0.84299860280051042</v>
      </c>
    </row>
    <row r="896" spans="1:15">
      <c r="A896">
        <v>4682</v>
      </c>
      <c r="B896">
        <v>99</v>
      </c>
      <c r="C896">
        <v>27</v>
      </c>
      <c r="D896">
        <v>102</v>
      </c>
      <c r="E896">
        <v>28</v>
      </c>
      <c r="F896">
        <v>48</v>
      </c>
      <c r="G896">
        <v>6</v>
      </c>
      <c r="H896" t="s">
        <v>11</v>
      </c>
      <c r="I896">
        <v>51876</v>
      </c>
      <c r="J896">
        <v>0</v>
      </c>
      <c r="K896">
        <v>0</v>
      </c>
      <c r="L896">
        <v>0</v>
      </c>
      <c r="M896">
        <v>1</v>
      </c>
      <c r="N896">
        <f t="shared" si="26"/>
        <v>-8.3744320310772252E-3</v>
      </c>
      <c r="O896">
        <f t="shared" si="27"/>
        <v>0.55359761169017807</v>
      </c>
    </row>
    <row r="897" spans="1:15">
      <c r="A897">
        <v>4686</v>
      </c>
      <c r="B897">
        <v>861</v>
      </c>
      <c r="C897">
        <v>31</v>
      </c>
      <c r="D897">
        <v>558</v>
      </c>
      <c r="E897">
        <v>62</v>
      </c>
      <c r="F897">
        <v>95</v>
      </c>
      <c r="G897">
        <v>79</v>
      </c>
      <c r="H897" t="s">
        <v>12</v>
      </c>
      <c r="I897">
        <v>82571</v>
      </c>
      <c r="J897">
        <v>0</v>
      </c>
      <c r="K897">
        <v>0</v>
      </c>
      <c r="L897">
        <v>1</v>
      </c>
      <c r="M897">
        <v>0</v>
      </c>
      <c r="N897">
        <f t="shared" si="26"/>
        <v>1.4118128406288482</v>
      </c>
      <c r="O897">
        <f t="shared" si="27"/>
        <v>0.67577323232959741</v>
      </c>
    </row>
    <row r="898" spans="1:15">
      <c r="A898">
        <v>4687</v>
      </c>
      <c r="B898">
        <v>674</v>
      </c>
      <c r="C898">
        <v>92</v>
      </c>
      <c r="D898">
        <v>736</v>
      </c>
      <c r="E898">
        <v>39</v>
      </c>
      <c r="F898">
        <v>0</v>
      </c>
      <c r="G898">
        <v>92</v>
      </c>
      <c r="H898" t="s">
        <v>11</v>
      </c>
      <c r="I898">
        <v>80739</v>
      </c>
      <c r="J898">
        <v>0</v>
      </c>
      <c r="K898">
        <v>0</v>
      </c>
      <c r="L898">
        <v>0</v>
      </c>
      <c r="M898">
        <v>1</v>
      </c>
      <c r="N898">
        <f t="shared" si="26"/>
        <v>1.327050401029142</v>
      </c>
      <c r="O898">
        <f t="shared" si="27"/>
        <v>0.99871414225227118</v>
      </c>
    </row>
    <row r="899" spans="1:15">
      <c r="A899">
        <v>4690</v>
      </c>
      <c r="B899">
        <v>443</v>
      </c>
      <c r="C899">
        <v>10</v>
      </c>
      <c r="D899">
        <v>75</v>
      </c>
      <c r="E899">
        <v>0</v>
      </c>
      <c r="F899">
        <v>10</v>
      </c>
      <c r="G899">
        <v>48</v>
      </c>
      <c r="H899" t="s">
        <v>11</v>
      </c>
      <c r="I899">
        <v>50725</v>
      </c>
      <c r="J899">
        <v>0</v>
      </c>
      <c r="K899">
        <v>1</v>
      </c>
      <c r="L899">
        <v>0</v>
      </c>
      <c r="M899">
        <v>1</v>
      </c>
      <c r="N899">
        <f t="shared" ref="N899:N962" si="28">STANDARDIZE(I899,$Q$1,$R$1)</f>
        <v>-6.162856302412411E-2</v>
      </c>
      <c r="O899">
        <f t="shared" ref="O899:O962" si="29">SUMPRODUCT(J899:N899,$Q$4:$U$4) / SQRT(SUMSQ(J899:N899) * SUMSQ($Q$4:$U$4))</f>
        <v>0.35994079059270873</v>
      </c>
    </row>
    <row r="900" spans="1:15">
      <c r="A900">
        <v>4692</v>
      </c>
      <c r="B900">
        <v>7</v>
      </c>
      <c r="C900">
        <v>0</v>
      </c>
      <c r="D900">
        <v>12</v>
      </c>
      <c r="E900">
        <v>13</v>
      </c>
      <c r="F900">
        <v>7</v>
      </c>
      <c r="G900">
        <v>32</v>
      </c>
      <c r="H900" t="s">
        <v>11</v>
      </c>
      <c r="I900">
        <v>7500</v>
      </c>
      <c r="J900">
        <v>1</v>
      </c>
      <c r="K900">
        <v>0</v>
      </c>
      <c r="L900">
        <v>0</v>
      </c>
      <c r="M900">
        <v>1</v>
      </c>
      <c r="N900">
        <f t="shared" si="28"/>
        <v>-2.0615502069636999</v>
      </c>
      <c r="O900">
        <f t="shared" si="29"/>
        <v>-0.45866329104289905</v>
      </c>
    </row>
    <row r="901" spans="1:15">
      <c r="A901">
        <v>4697</v>
      </c>
      <c r="B901">
        <v>248</v>
      </c>
      <c r="C901">
        <v>3</v>
      </c>
      <c r="D901">
        <v>81</v>
      </c>
      <c r="E901">
        <v>4</v>
      </c>
      <c r="F901">
        <v>3</v>
      </c>
      <c r="G901">
        <v>51</v>
      </c>
      <c r="H901" t="s">
        <v>12</v>
      </c>
      <c r="I901">
        <v>35416</v>
      </c>
      <c r="J901">
        <v>0</v>
      </c>
      <c r="K901">
        <v>0</v>
      </c>
      <c r="L901">
        <v>1</v>
      </c>
      <c r="M901">
        <v>0</v>
      </c>
      <c r="N901">
        <f t="shared" si="28"/>
        <v>-0.7699408926266913</v>
      </c>
      <c r="O901">
        <f t="shared" si="29"/>
        <v>-0.50520587104896197</v>
      </c>
    </row>
    <row r="902" spans="1:15">
      <c r="A902">
        <v>4702</v>
      </c>
      <c r="B902">
        <v>1000</v>
      </c>
      <c r="C902">
        <v>155</v>
      </c>
      <c r="D902">
        <v>379</v>
      </c>
      <c r="E902">
        <v>224</v>
      </c>
      <c r="F902">
        <v>17</v>
      </c>
      <c r="G902">
        <v>120</v>
      </c>
      <c r="H902" t="s">
        <v>12</v>
      </c>
      <c r="I902">
        <v>61839</v>
      </c>
      <c r="J902">
        <v>0</v>
      </c>
      <c r="K902">
        <v>0</v>
      </c>
      <c r="L902">
        <v>1</v>
      </c>
      <c r="M902">
        <v>0</v>
      </c>
      <c r="N902">
        <f t="shared" si="28"/>
        <v>0.45259073485313311</v>
      </c>
      <c r="O902">
        <f t="shared" si="29"/>
        <v>0.34145550097317789</v>
      </c>
    </row>
    <row r="903" spans="1:15">
      <c r="A903">
        <v>4706</v>
      </c>
      <c r="B903">
        <v>29</v>
      </c>
      <c r="C903">
        <v>0</v>
      </c>
      <c r="D903">
        <v>5</v>
      </c>
      <c r="E903">
        <v>0</v>
      </c>
      <c r="F903">
        <v>1</v>
      </c>
      <c r="G903">
        <v>5</v>
      </c>
      <c r="H903" t="s">
        <v>12</v>
      </c>
      <c r="I903">
        <v>34704</v>
      </c>
      <c r="J903">
        <v>0</v>
      </c>
      <c r="K903">
        <v>1</v>
      </c>
      <c r="L903">
        <v>1</v>
      </c>
      <c r="M903">
        <v>0</v>
      </c>
      <c r="N903">
        <f t="shared" si="28"/>
        <v>-0.80288350015670806</v>
      </c>
      <c r="O903">
        <f t="shared" si="29"/>
        <v>-0.40884960913454721</v>
      </c>
    </row>
    <row r="904" spans="1:15">
      <c r="A904">
        <v>4712</v>
      </c>
      <c r="B904">
        <v>8</v>
      </c>
      <c r="C904">
        <v>8</v>
      </c>
      <c r="D904">
        <v>22</v>
      </c>
      <c r="E904">
        <v>24</v>
      </c>
      <c r="F904">
        <v>11</v>
      </c>
      <c r="G904">
        <v>9</v>
      </c>
      <c r="H904" t="s">
        <v>11</v>
      </c>
      <c r="I904">
        <v>20193</v>
      </c>
      <c r="J904">
        <v>0</v>
      </c>
      <c r="K904">
        <v>0</v>
      </c>
      <c r="L904">
        <v>0</v>
      </c>
      <c r="M904">
        <v>1</v>
      </c>
      <c r="N904">
        <f t="shared" si="28"/>
        <v>-1.4742741994096216</v>
      </c>
      <c r="O904">
        <f t="shared" si="29"/>
        <v>-0.37067052068501682</v>
      </c>
    </row>
    <row r="905" spans="1:15">
      <c r="A905">
        <v>4713</v>
      </c>
      <c r="B905">
        <v>74</v>
      </c>
      <c r="C905">
        <v>0</v>
      </c>
      <c r="D905">
        <v>42</v>
      </c>
      <c r="E905">
        <v>2</v>
      </c>
      <c r="F905">
        <v>1</v>
      </c>
      <c r="G905">
        <v>6</v>
      </c>
      <c r="H905" t="s">
        <v>11</v>
      </c>
      <c r="I905">
        <v>31605</v>
      </c>
      <c r="J905">
        <v>1</v>
      </c>
      <c r="K905">
        <v>0</v>
      </c>
      <c r="L905">
        <v>0</v>
      </c>
      <c r="M905">
        <v>1</v>
      </c>
      <c r="N905">
        <f t="shared" si="28"/>
        <v>-0.94626712478525044</v>
      </c>
      <c r="O905">
        <f t="shared" si="29"/>
        <v>-0.13109469236335117</v>
      </c>
    </row>
    <row r="906" spans="1:15">
      <c r="A906">
        <v>4725</v>
      </c>
      <c r="B906">
        <v>30</v>
      </c>
      <c r="C906">
        <v>2</v>
      </c>
      <c r="D906">
        <v>25</v>
      </c>
      <c r="E906">
        <v>0</v>
      </c>
      <c r="F906">
        <v>1</v>
      </c>
      <c r="G906">
        <v>9</v>
      </c>
      <c r="H906" t="s">
        <v>11</v>
      </c>
      <c r="I906">
        <v>50616</v>
      </c>
      <c r="J906">
        <v>0</v>
      </c>
      <c r="K906">
        <v>1</v>
      </c>
      <c r="L906">
        <v>0</v>
      </c>
      <c r="M906">
        <v>1</v>
      </c>
      <c r="N906">
        <f t="shared" si="28"/>
        <v>-6.6671743109477807E-2</v>
      </c>
      <c r="O906">
        <f t="shared" si="29"/>
        <v>0.35693283876403303</v>
      </c>
    </row>
    <row r="907" spans="1:15">
      <c r="A907">
        <v>4741</v>
      </c>
      <c r="B907">
        <v>391</v>
      </c>
      <c r="C907">
        <v>32</v>
      </c>
      <c r="D907">
        <v>70</v>
      </c>
      <c r="E907">
        <v>21</v>
      </c>
      <c r="F907">
        <v>32</v>
      </c>
      <c r="G907">
        <v>16</v>
      </c>
      <c r="H907" t="s">
        <v>11</v>
      </c>
      <c r="I907">
        <v>65463</v>
      </c>
      <c r="J907">
        <v>1</v>
      </c>
      <c r="K907">
        <v>0</v>
      </c>
      <c r="L907">
        <v>0</v>
      </c>
      <c r="M907">
        <v>1</v>
      </c>
      <c r="N907">
        <f t="shared" si="28"/>
        <v>0.62026490576434246</v>
      </c>
      <c r="O907">
        <f t="shared" si="29"/>
        <v>0.69561321645465513</v>
      </c>
    </row>
    <row r="908" spans="1:15">
      <c r="A908">
        <v>4743</v>
      </c>
      <c r="B908">
        <v>689</v>
      </c>
      <c r="C908">
        <v>8</v>
      </c>
      <c r="D908">
        <v>167</v>
      </c>
      <c r="E908">
        <v>11</v>
      </c>
      <c r="F908">
        <v>8</v>
      </c>
      <c r="G908">
        <v>88</v>
      </c>
      <c r="H908" t="s">
        <v>11</v>
      </c>
      <c r="I908">
        <v>56242</v>
      </c>
      <c r="J908">
        <v>0</v>
      </c>
      <c r="K908">
        <v>1</v>
      </c>
      <c r="L908">
        <v>0</v>
      </c>
      <c r="M908">
        <v>1</v>
      </c>
      <c r="N908">
        <f t="shared" si="28"/>
        <v>0.19363037762630131</v>
      </c>
      <c r="O908">
        <f t="shared" si="29"/>
        <v>0.50504217318481082</v>
      </c>
    </row>
    <row r="909" spans="1:15">
      <c r="A909">
        <v>4754</v>
      </c>
      <c r="B909">
        <v>30</v>
      </c>
      <c r="C909">
        <v>11</v>
      </c>
      <c r="D909">
        <v>33</v>
      </c>
      <c r="E909">
        <v>13</v>
      </c>
      <c r="F909">
        <v>6</v>
      </c>
      <c r="G909">
        <v>29</v>
      </c>
      <c r="H909" t="s">
        <v>11</v>
      </c>
      <c r="I909">
        <v>33585</v>
      </c>
      <c r="J909">
        <v>0</v>
      </c>
      <c r="K909">
        <v>1</v>
      </c>
      <c r="L909">
        <v>0</v>
      </c>
      <c r="M909">
        <v>1</v>
      </c>
      <c r="N909">
        <f t="shared" si="28"/>
        <v>-0.85465706451919243</v>
      </c>
      <c r="O909">
        <f t="shared" si="29"/>
        <v>-8.9085886131457834E-2</v>
      </c>
    </row>
    <row r="910" spans="1:15">
      <c r="A910">
        <v>4756</v>
      </c>
      <c r="B910">
        <v>176</v>
      </c>
      <c r="C910">
        <v>29</v>
      </c>
      <c r="D910">
        <v>818</v>
      </c>
      <c r="E910">
        <v>0</v>
      </c>
      <c r="F910">
        <v>33</v>
      </c>
      <c r="G910">
        <v>112</v>
      </c>
      <c r="H910" t="s">
        <v>12</v>
      </c>
      <c r="I910">
        <v>63998</v>
      </c>
      <c r="J910">
        <v>0</v>
      </c>
      <c r="K910">
        <v>0</v>
      </c>
      <c r="L910">
        <v>1</v>
      </c>
      <c r="M910">
        <v>0</v>
      </c>
      <c r="N910">
        <f t="shared" si="28"/>
        <v>0.55248271470890054</v>
      </c>
      <c r="O910">
        <f t="shared" si="29"/>
        <v>0.40046709001318881</v>
      </c>
    </row>
    <row r="911" spans="1:15">
      <c r="A911">
        <v>4764</v>
      </c>
      <c r="B911">
        <v>45</v>
      </c>
      <c r="C911">
        <v>12</v>
      </c>
      <c r="D911">
        <v>52</v>
      </c>
      <c r="E911">
        <v>25</v>
      </c>
      <c r="F911">
        <v>22</v>
      </c>
      <c r="G911">
        <v>13</v>
      </c>
      <c r="H911" t="s">
        <v>11</v>
      </c>
      <c r="I911">
        <v>40442</v>
      </c>
      <c r="J911">
        <v>1</v>
      </c>
      <c r="K911">
        <v>1</v>
      </c>
      <c r="L911">
        <v>0</v>
      </c>
      <c r="M911">
        <v>1</v>
      </c>
      <c r="N911">
        <f t="shared" si="28"/>
        <v>-0.53739939621396005</v>
      </c>
      <c r="O911">
        <f t="shared" si="29"/>
        <v>6.3700589269906474E-2</v>
      </c>
    </row>
    <row r="912" spans="1:15">
      <c r="A912">
        <v>4767</v>
      </c>
      <c r="B912">
        <v>635</v>
      </c>
      <c r="C912">
        <v>114</v>
      </c>
      <c r="D912">
        <v>254</v>
      </c>
      <c r="E912">
        <v>132</v>
      </c>
      <c r="F912">
        <v>152</v>
      </c>
      <c r="G912">
        <v>76</v>
      </c>
      <c r="H912" t="s">
        <v>11</v>
      </c>
      <c r="I912">
        <v>70924</v>
      </c>
      <c r="J912">
        <v>0</v>
      </c>
      <c r="K912">
        <v>0</v>
      </c>
      <c r="L912">
        <v>0</v>
      </c>
      <c r="M912">
        <v>1</v>
      </c>
      <c r="N912">
        <f t="shared" si="28"/>
        <v>0.87293285481128335</v>
      </c>
      <c r="O912">
        <f t="shared" si="29"/>
        <v>0.96688025549215317</v>
      </c>
    </row>
    <row r="913" spans="1:15">
      <c r="A913">
        <v>4769</v>
      </c>
      <c r="B913">
        <v>456</v>
      </c>
      <c r="C913">
        <v>4</v>
      </c>
      <c r="D913">
        <v>24</v>
      </c>
      <c r="E913">
        <v>0</v>
      </c>
      <c r="F913">
        <v>0</v>
      </c>
      <c r="G913">
        <v>9</v>
      </c>
      <c r="H913" t="s">
        <v>11</v>
      </c>
      <c r="I913">
        <v>57954</v>
      </c>
      <c r="J913">
        <v>1</v>
      </c>
      <c r="K913">
        <v>1</v>
      </c>
      <c r="L913">
        <v>0</v>
      </c>
      <c r="M913">
        <v>1</v>
      </c>
      <c r="N913">
        <f t="shared" si="28"/>
        <v>0.27284069236139796</v>
      </c>
      <c r="O913">
        <f t="shared" si="29"/>
        <v>0.44855296354943069</v>
      </c>
    </row>
    <row r="914" spans="1:15">
      <c r="A914">
        <v>4785</v>
      </c>
      <c r="B914">
        <v>520</v>
      </c>
      <c r="C914">
        <v>7</v>
      </c>
      <c r="D914">
        <v>154</v>
      </c>
      <c r="E914">
        <v>19</v>
      </c>
      <c r="F914">
        <v>0</v>
      </c>
      <c r="G914">
        <v>14</v>
      </c>
      <c r="H914" t="s">
        <v>11</v>
      </c>
      <c r="I914">
        <v>77622</v>
      </c>
      <c r="J914">
        <v>0</v>
      </c>
      <c r="K914">
        <v>2</v>
      </c>
      <c r="L914">
        <v>0</v>
      </c>
      <c r="M914">
        <v>1</v>
      </c>
      <c r="N914">
        <f t="shared" si="28"/>
        <v>1.1828339576709082</v>
      </c>
      <c r="O914">
        <f t="shared" si="29"/>
        <v>0.60881288675261469</v>
      </c>
    </row>
    <row r="915" spans="1:15">
      <c r="A915">
        <v>4786</v>
      </c>
      <c r="B915">
        <v>555</v>
      </c>
      <c r="C915">
        <v>82</v>
      </c>
      <c r="D915">
        <v>257</v>
      </c>
      <c r="E915">
        <v>93</v>
      </c>
      <c r="F915">
        <v>61</v>
      </c>
      <c r="G915">
        <v>61</v>
      </c>
      <c r="H915" t="s">
        <v>11</v>
      </c>
      <c r="I915">
        <v>75330</v>
      </c>
      <c r="J915">
        <v>1</v>
      </c>
      <c r="K915">
        <v>1</v>
      </c>
      <c r="L915">
        <v>0</v>
      </c>
      <c r="M915">
        <v>1</v>
      </c>
      <c r="N915">
        <f t="shared" si="28"/>
        <v>1.0767883727568652</v>
      </c>
      <c r="O915">
        <f t="shared" si="29"/>
        <v>0.7120747075891255</v>
      </c>
    </row>
    <row r="916" spans="1:15">
      <c r="A916">
        <v>4789</v>
      </c>
      <c r="B916">
        <v>769</v>
      </c>
      <c r="C916">
        <v>22</v>
      </c>
      <c r="D916">
        <v>500</v>
      </c>
      <c r="E916">
        <v>210</v>
      </c>
      <c r="F916">
        <v>143</v>
      </c>
      <c r="G916">
        <v>33</v>
      </c>
      <c r="H916" t="s">
        <v>11</v>
      </c>
      <c r="I916">
        <v>80812</v>
      </c>
      <c r="J916">
        <v>0</v>
      </c>
      <c r="K916">
        <v>0</v>
      </c>
      <c r="L916">
        <v>0</v>
      </c>
      <c r="M916">
        <v>1</v>
      </c>
      <c r="N916">
        <f t="shared" si="28"/>
        <v>1.3304279436551127</v>
      </c>
      <c r="O916">
        <f t="shared" si="29"/>
        <v>0.99877531182326806</v>
      </c>
    </row>
    <row r="917" spans="1:15">
      <c r="A917">
        <v>4790</v>
      </c>
      <c r="B917">
        <v>574</v>
      </c>
      <c r="C917">
        <v>8</v>
      </c>
      <c r="D917">
        <v>216</v>
      </c>
      <c r="E917">
        <v>21</v>
      </c>
      <c r="F917">
        <v>16</v>
      </c>
      <c r="G917">
        <v>33</v>
      </c>
      <c r="H917" t="s">
        <v>12</v>
      </c>
      <c r="I917">
        <v>79803</v>
      </c>
      <c r="J917">
        <v>0</v>
      </c>
      <c r="K917">
        <v>1</v>
      </c>
      <c r="L917">
        <v>1</v>
      </c>
      <c r="M917">
        <v>0</v>
      </c>
      <c r="N917">
        <f t="shared" si="28"/>
        <v>1.2837438270851873</v>
      </c>
      <c r="O917">
        <f t="shared" si="29"/>
        <v>0.55660090735583101</v>
      </c>
    </row>
    <row r="918" spans="1:15">
      <c r="A918">
        <v>4791</v>
      </c>
      <c r="B918">
        <v>19</v>
      </c>
      <c r="C918">
        <v>1</v>
      </c>
      <c r="D918">
        <v>17</v>
      </c>
      <c r="E918">
        <v>2</v>
      </c>
      <c r="F918">
        <v>0</v>
      </c>
      <c r="G918">
        <v>2</v>
      </c>
      <c r="H918" t="s">
        <v>11</v>
      </c>
      <c r="I918">
        <v>44964</v>
      </c>
      <c r="J918">
        <v>1</v>
      </c>
      <c r="K918">
        <v>1</v>
      </c>
      <c r="L918">
        <v>0</v>
      </c>
      <c r="M918">
        <v>1</v>
      </c>
      <c r="N918">
        <f t="shared" si="28"/>
        <v>-0.32817682423258904</v>
      </c>
      <c r="O918">
        <f t="shared" si="29"/>
        <v>0.16381413125412914</v>
      </c>
    </row>
    <row r="919" spans="1:15">
      <c r="A919">
        <v>4796</v>
      </c>
      <c r="B919">
        <v>18</v>
      </c>
      <c r="C919">
        <v>10</v>
      </c>
      <c r="D919">
        <v>3</v>
      </c>
      <c r="E919">
        <v>3</v>
      </c>
      <c r="F919">
        <v>5</v>
      </c>
      <c r="G919">
        <v>0</v>
      </c>
      <c r="H919" t="s">
        <v>12</v>
      </c>
      <c r="I919">
        <v>49638</v>
      </c>
      <c r="J919">
        <v>0</v>
      </c>
      <c r="K919">
        <v>1</v>
      </c>
      <c r="L919">
        <v>1</v>
      </c>
      <c r="M919">
        <v>0</v>
      </c>
      <c r="N919">
        <f t="shared" si="28"/>
        <v>-0.1119215607560459</v>
      </c>
      <c r="O919">
        <f t="shared" si="29"/>
        <v>-6.5333482931873521E-2</v>
      </c>
    </row>
    <row r="920" spans="1:15">
      <c r="A920">
        <v>4808</v>
      </c>
      <c r="B920">
        <v>1</v>
      </c>
      <c r="C920">
        <v>2</v>
      </c>
      <c r="D920">
        <v>5</v>
      </c>
      <c r="E920">
        <v>6</v>
      </c>
      <c r="F920">
        <v>0</v>
      </c>
      <c r="G920">
        <v>3</v>
      </c>
      <c r="H920" t="s">
        <v>11</v>
      </c>
      <c r="I920">
        <v>15759</v>
      </c>
      <c r="J920">
        <v>0</v>
      </c>
      <c r="K920">
        <v>0</v>
      </c>
      <c r="L920">
        <v>0</v>
      </c>
      <c r="M920">
        <v>1</v>
      </c>
      <c r="N920">
        <f t="shared" si="28"/>
        <v>-1.6794252131569456</v>
      </c>
      <c r="O920">
        <f t="shared" si="29"/>
        <v>-0.4247474386896688</v>
      </c>
    </row>
    <row r="921" spans="1:15">
      <c r="A921">
        <v>4817</v>
      </c>
      <c r="B921">
        <v>3</v>
      </c>
      <c r="C921">
        <v>2</v>
      </c>
      <c r="D921">
        <v>7</v>
      </c>
      <c r="E921">
        <v>0</v>
      </c>
      <c r="F921">
        <v>4</v>
      </c>
      <c r="G921">
        <v>2</v>
      </c>
      <c r="H921" t="s">
        <v>12</v>
      </c>
      <c r="I921">
        <v>22304</v>
      </c>
      <c r="J921">
        <v>0</v>
      </c>
      <c r="K921">
        <v>0</v>
      </c>
      <c r="L921">
        <v>1</v>
      </c>
      <c r="M921">
        <v>0</v>
      </c>
      <c r="N921">
        <f t="shared" si="28"/>
        <v>-1.376603069499698</v>
      </c>
      <c r="O921">
        <f t="shared" si="29"/>
        <v>-0.66999968520519992</v>
      </c>
    </row>
    <row r="922" spans="1:15">
      <c r="A922">
        <v>4827</v>
      </c>
      <c r="B922">
        <v>154</v>
      </c>
      <c r="C922">
        <v>22</v>
      </c>
      <c r="D922">
        <v>202</v>
      </c>
      <c r="E922">
        <v>39</v>
      </c>
      <c r="F922">
        <v>30</v>
      </c>
      <c r="G922">
        <v>8</v>
      </c>
      <c r="H922" t="s">
        <v>12</v>
      </c>
      <c r="I922">
        <v>54998</v>
      </c>
      <c r="J922">
        <v>0</v>
      </c>
      <c r="K922">
        <v>1</v>
      </c>
      <c r="L922">
        <v>1</v>
      </c>
      <c r="M922">
        <v>0</v>
      </c>
      <c r="N922">
        <f t="shared" si="28"/>
        <v>0.13607334986318201</v>
      </c>
      <c r="O922">
        <f t="shared" si="29"/>
        <v>7.9313996377705129E-2</v>
      </c>
    </row>
    <row r="923" spans="1:15">
      <c r="A923">
        <v>4828</v>
      </c>
      <c r="B923">
        <v>71</v>
      </c>
      <c r="C923">
        <v>99</v>
      </c>
      <c r="D923">
        <v>278</v>
      </c>
      <c r="E923">
        <v>185</v>
      </c>
      <c r="F923">
        <v>121</v>
      </c>
      <c r="G923">
        <v>38</v>
      </c>
      <c r="H923" t="s">
        <v>12</v>
      </c>
      <c r="I923">
        <v>79865</v>
      </c>
      <c r="J923">
        <v>0</v>
      </c>
      <c r="K923">
        <v>1</v>
      </c>
      <c r="L923">
        <v>1</v>
      </c>
      <c r="M923">
        <v>0</v>
      </c>
      <c r="N923">
        <f t="shared" si="28"/>
        <v>1.2866124249319022</v>
      </c>
      <c r="O923">
        <f t="shared" si="29"/>
        <v>0.55728175995007323</v>
      </c>
    </row>
    <row r="924" spans="1:15">
      <c r="A924">
        <v>4832</v>
      </c>
      <c r="B924">
        <v>6</v>
      </c>
      <c r="C924">
        <v>5</v>
      </c>
      <c r="D924">
        <v>17</v>
      </c>
      <c r="E924">
        <v>3</v>
      </c>
      <c r="F924">
        <v>24</v>
      </c>
      <c r="G924">
        <v>46</v>
      </c>
      <c r="H924" t="s">
        <v>11</v>
      </c>
      <c r="I924">
        <v>27244</v>
      </c>
      <c r="J924">
        <v>1</v>
      </c>
      <c r="K924">
        <v>0</v>
      </c>
      <c r="L924">
        <v>0</v>
      </c>
      <c r="M924">
        <v>1</v>
      </c>
      <c r="N924">
        <f t="shared" si="28"/>
        <v>-1.1480405959066036</v>
      </c>
      <c r="O924">
        <f t="shared" si="29"/>
        <v>-0.21419405171235331</v>
      </c>
    </row>
    <row r="925" spans="1:15">
      <c r="A925">
        <v>4837</v>
      </c>
      <c r="B925">
        <v>753</v>
      </c>
      <c r="C925">
        <v>43</v>
      </c>
      <c r="D925">
        <v>226</v>
      </c>
      <c r="E925">
        <v>69</v>
      </c>
      <c r="F925">
        <v>10</v>
      </c>
      <c r="G925">
        <v>204</v>
      </c>
      <c r="H925" t="s">
        <v>11</v>
      </c>
      <c r="I925">
        <v>71322</v>
      </c>
      <c r="J925">
        <v>0</v>
      </c>
      <c r="K925">
        <v>1</v>
      </c>
      <c r="L925">
        <v>0</v>
      </c>
      <c r="M925">
        <v>1</v>
      </c>
      <c r="N925">
        <f t="shared" si="28"/>
        <v>0.89134740227890519</v>
      </c>
      <c r="O925">
        <f t="shared" si="29"/>
        <v>0.77688143461510828</v>
      </c>
    </row>
    <row r="926" spans="1:15">
      <c r="A926">
        <v>4838</v>
      </c>
      <c r="B926">
        <v>5</v>
      </c>
      <c r="C926">
        <v>1</v>
      </c>
      <c r="D926">
        <v>8</v>
      </c>
      <c r="E926">
        <v>0</v>
      </c>
      <c r="F926">
        <v>0</v>
      </c>
      <c r="G926">
        <v>1</v>
      </c>
      <c r="H926" t="s">
        <v>11</v>
      </c>
      <c r="I926">
        <v>22775</v>
      </c>
      <c r="J926">
        <v>1</v>
      </c>
      <c r="K926">
        <v>0</v>
      </c>
      <c r="L926">
        <v>0</v>
      </c>
      <c r="M926">
        <v>1</v>
      </c>
      <c r="N926">
        <f t="shared" si="28"/>
        <v>-1.3548109794061054</v>
      </c>
      <c r="O926">
        <f t="shared" si="29"/>
        <v>-0.28665215835573121</v>
      </c>
    </row>
    <row r="927" spans="1:15">
      <c r="A927">
        <v>4855</v>
      </c>
      <c r="B927">
        <v>14</v>
      </c>
      <c r="C927">
        <v>0</v>
      </c>
      <c r="D927">
        <v>24</v>
      </c>
      <c r="E927">
        <v>3</v>
      </c>
      <c r="F927">
        <v>3</v>
      </c>
      <c r="G927">
        <v>2</v>
      </c>
      <c r="H927" t="s">
        <v>11</v>
      </c>
      <c r="I927">
        <v>30351</v>
      </c>
      <c r="J927">
        <v>1</v>
      </c>
      <c r="K927">
        <v>0</v>
      </c>
      <c r="L927">
        <v>0</v>
      </c>
      <c r="M927">
        <v>1</v>
      </c>
      <c r="N927">
        <f t="shared" si="28"/>
        <v>-1.0042868296204206</v>
      </c>
      <c r="O927">
        <f t="shared" si="29"/>
        <v>-0.15630588704446571</v>
      </c>
    </row>
    <row r="928" spans="1:15">
      <c r="A928">
        <v>4856</v>
      </c>
      <c r="B928">
        <v>556</v>
      </c>
      <c r="C928">
        <v>54</v>
      </c>
      <c r="D928">
        <v>845</v>
      </c>
      <c r="E928">
        <v>202</v>
      </c>
      <c r="F928">
        <v>133</v>
      </c>
      <c r="G928">
        <v>63</v>
      </c>
      <c r="H928" t="s">
        <v>11</v>
      </c>
      <c r="I928">
        <v>82347</v>
      </c>
      <c r="J928">
        <v>0</v>
      </c>
      <c r="K928">
        <v>0</v>
      </c>
      <c r="L928">
        <v>0</v>
      </c>
      <c r="M928">
        <v>1</v>
      </c>
      <c r="N928">
        <f t="shared" si="28"/>
        <v>1.4014488742149103</v>
      </c>
      <c r="O928">
        <f t="shared" si="29"/>
        <v>0.99969477155901976</v>
      </c>
    </row>
    <row r="929" spans="1:15">
      <c r="A929">
        <v>4860</v>
      </c>
      <c r="B929">
        <v>7</v>
      </c>
      <c r="C929">
        <v>2</v>
      </c>
      <c r="D929">
        <v>8</v>
      </c>
      <c r="E929">
        <v>3</v>
      </c>
      <c r="F929">
        <v>2</v>
      </c>
      <c r="G929">
        <v>3</v>
      </c>
      <c r="H929" t="s">
        <v>12</v>
      </c>
      <c r="I929">
        <v>24206</v>
      </c>
      <c r="J929">
        <v>1</v>
      </c>
      <c r="K929">
        <v>0</v>
      </c>
      <c r="L929">
        <v>1</v>
      </c>
      <c r="M929">
        <v>0</v>
      </c>
      <c r="N929">
        <f t="shared" si="28"/>
        <v>-1.2886018903956362</v>
      </c>
      <c r="O929">
        <f t="shared" si="29"/>
        <v>-0.55775274361914506</v>
      </c>
    </row>
    <row r="930" spans="1:15">
      <c r="A930">
        <v>4864</v>
      </c>
      <c r="B930">
        <v>72</v>
      </c>
      <c r="C930">
        <v>7</v>
      </c>
      <c r="D930">
        <v>58</v>
      </c>
      <c r="E930">
        <v>13</v>
      </c>
      <c r="F930">
        <v>1</v>
      </c>
      <c r="G930">
        <v>24</v>
      </c>
      <c r="H930" t="s">
        <v>11</v>
      </c>
      <c r="I930">
        <v>34380</v>
      </c>
      <c r="J930">
        <v>1</v>
      </c>
      <c r="K930">
        <v>0</v>
      </c>
      <c r="L930">
        <v>0</v>
      </c>
      <c r="M930">
        <v>1</v>
      </c>
      <c r="N930">
        <f t="shared" si="28"/>
        <v>-0.81787423729115394</v>
      </c>
      <c r="O930">
        <f t="shared" si="29"/>
        <v>-7.146144193798884E-2</v>
      </c>
    </row>
    <row r="931" spans="1:15">
      <c r="A931">
        <v>4865</v>
      </c>
      <c r="B931">
        <v>229</v>
      </c>
      <c r="C931">
        <v>7</v>
      </c>
      <c r="D931">
        <v>140</v>
      </c>
      <c r="E931">
        <v>10</v>
      </c>
      <c r="F931">
        <v>3</v>
      </c>
      <c r="G931">
        <v>11</v>
      </c>
      <c r="H931" t="s">
        <v>12</v>
      </c>
      <c r="I931">
        <v>53367</v>
      </c>
      <c r="J931">
        <v>1</v>
      </c>
      <c r="K931">
        <v>1</v>
      </c>
      <c r="L931">
        <v>1</v>
      </c>
      <c r="M931">
        <v>0</v>
      </c>
      <c r="N931">
        <f t="shared" si="28"/>
        <v>6.0610719411696802E-2</v>
      </c>
      <c r="O931">
        <f t="shared" si="29"/>
        <v>2.8961157536440536E-2</v>
      </c>
    </row>
    <row r="932" spans="1:15">
      <c r="A932">
        <v>4867</v>
      </c>
      <c r="B932">
        <v>58</v>
      </c>
      <c r="C932">
        <v>0</v>
      </c>
      <c r="D932">
        <v>18</v>
      </c>
      <c r="E932">
        <v>2</v>
      </c>
      <c r="F932">
        <v>0</v>
      </c>
      <c r="G932">
        <v>10</v>
      </c>
      <c r="H932" t="s">
        <v>12</v>
      </c>
      <c r="I932">
        <v>38236</v>
      </c>
      <c r="J932">
        <v>1</v>
      </c>
      <c r="K932">
        <v>1</v>
      </c>
      <c r="L932">
        <v>1</v>
      </c>
      <c r="M932">
        <v>0</v>
      </c>
      <c r="N932">
        <f t="shared" si="28"/>
        <v>-0.63946595830836617</v>
      </c>
      <c r="O932">
        <f t="shared" si="29"/>
        <v>-0.28681514815349735</v>
      </c>
    </row>
    <row r="933" spans="1:15">
      <c r="A933">
        <v>4877</v>
      </c>
      <c r="B933">
        <v>34</v>
      </c>
      <c r="C933">
        <v>0</v>
      </c>
      <c r="D933">
        <v>7</v>
      </c>
      <c r="E933">
        <v>0</v>
      </c>
      <c r="F933">
        <v>0</v>
      </c>
      <c r="G933">
        <v>0</v>
      </c>
      <c r="H933" t="s">
        <v>11</v>
      </c>
      <c r="I933">
        <v>38576</v>
      </c>
      <c r="J933">
        <v>0</v>
      </c>
      <c r="K933">
        <v>1</v>
      </c>
      <c r="L933">
        <v>0</v>
      </c>
      <c r="M933">
        <v>1</v>
      </c>
      <c r="N933">
        <f t="shared" si="28"/>
        <v>-0.62373493785863898</v>
      </c>
      <c r="O933">
        <f t="shared" si="29"/>
        <v>2.8483210016788472E-2</v>
      </c>
    </row>
    <row r="934" spans="1:15">
      <c r="A934">
        <v>4887</v>
      </c>
      <c r="B934">
        <v>10</v>
      </c>
      <c r="C934">
        <v>5</v>
      </c>
      <c r="D934">
        <v>28</v>
      </c>
      <c r="E934">
        <v>11</v>
      </c>
      <c r="F934">
        <v>1</v>
      </c>
      <c r="G934">
        <v>8</v>
      </c>
      <c r="H934" t="s">
        <v>12</v>
      </c>
      <c r="I934">
        <v>55412</v>
      </c>
      <c r="J934">
        <v>1</v>
      </c>
      <c r="K934">
        <v>1</v>
      </c>
      <c r="L934">
        <v>1</v>
      </c>
      <c r="M934">
        <v>0</v>
      </c>
      <c r="N934">
        <f t="shared" si="28"/>
        <v>0.15522818064608507</v>
      </c>
      <c r="O934">
        <f t="shared" si="29"/>
        <v>7.3920627670153713E-2</v>
      </c>
    </row>
    <row r="935" spans="1:15">
      <c r="A935">
        <v>4910</v>
      </c>
      <c r="B935">
        <v>1132</v>
      </c>
      <c r="C935">
        <v>134</v>
      </c>
      <c r="D935">
        <v>384</v>
      </c>
      <c r="E935">
        <v>175</v>
      </c>
      <c r="F935">
        <v>134</v>
      </c>
      <c r="G935">
        <v>115</v>
      </c>
      <c r="H935" t="s">
        <v>12</v>
      </c>
      <c r="I935">
        <v>68743</v>
      </c>
      <c r="J935">
        <v>0</v>
      </c>
      <c r="K935">
        <v>0</v>
      </c>
      <c r="L935">
        <v>1</v>
      </c>
      <c r="M935">
        <v>0</v>
      </c>
      <c r="N935">
        <f t="shared" si="28"/>
        <v>0.77202298539700431</v>
      </c>
      <c r="O935">
        <f t="shared" si="29"/>
        <v>0.50606230081338355</v>
      </c>
    </row>
    <row r="936" spans="1:15">
      <c r="A936">
        <v>4915</v>
      </c>
      <c r="B936">
        <v>176</v>
      </c>
      <c r="C936">
        <v>72</v>
      </c>
      <c r="D936">
        <v>98</v>
      </c>
      <c r="E936">
        <v>136</v>
      </c>
      <c r="F936">
        <v>21</v>
      </c>
      <c r="G936">
        <v>229</v>
      </c>
      <c r="H936" t="s">
        <v>11</v>
      </c>
      <c r="I936">
        <v>53230</v>
      </c>
      <c r="J936">
        <v>0</v>
      </c>
      <c r="K936">
        <v>1</v>
      </c>
      <c r="L936">
        <v>0</v>
      </c>
      <c r="M936">
        <v>1</v>
      </c>
      <c r="N936">
        <f t="shared" si="28"/>
        <v>5.4272043524600869E-2</v>
      </c>
      <c r="O936">
        <f t="shared" si="29"/>
        <v>0.42783524017239477</v>
      </c>
    </row>
    <row r="937" spans="1:15">
      <c r="A937">
        <v>4927</v>
      </c>
      <c r="B937">
        <v>8</v>
      </c>
      <c r="C937">
        <v>3</v>
      </c>
      <c r="D937">
        <v>22</v>
      </c>
      <c r="E937">
        <v>21</v>
      </c>
      <c r="F937">
        <v>1</v>
      </c>
      <c r="G937">
        <v>13</v>
      </c>
      <c r="H937" t="s">
        <v>11</v>
      </c>
      <c r="I937">
        <v>16626</v>
      </c>
      <c r="J937">
        <v>2</v>
      </c>
      <c r="K937">
        <v>0</v>
      </c>
      <c r="L937">
        <v>0</v>
      </c>
      <c r="M937">
        <v>1</v>
      </c>
      <c r="N937">
        <f t="shared" si="28"/>
        <v>-1.6393111110101413</v>
      </c>
      <c r="O937">
        <f t="shared" si="29"/>
        <v>-0.28745270839846365</v>
      </c>
    </row>
    <row r="938" spans="1:15">
      <c r="A938">
        <v>4931</v>
      </c>
      <c r="B938">
        <v>1</v>
      </c>
      <c r="C938">
        <v>0</v>
      </c>
      <c r="D938">
        <v>1725</v>
      </c>
      <c r="E938">
        <v>2</v>
      </c>
      <c r="F938">
        <v>1</v>
      </c>
      <c r="G938">
        <v>1</v>
      </c>
      <c r="H938" t="s">
        <v>11</v>
      </c>
      <c r="I938">
        <v>157146</v>
      </c>
      <c r="J938">
        <v>0</v>
      </c>
      <c r="K938">
        <v>0</v>
      </c>
      <c r="L938">
        <v>0</v>
      </c>
      <c r="M938">
        <v>1</v>
      </c>
      <c r="N938">
        <f t="shared" si="28"/>
        <v>4.8622271054476762</v>
      </c>
      <c r="O938">
        <f t="shared" si="29"/>
        <v>0.92406520818430871</v>
      </c>
    </row>
    <row r="939" spans="1:15">
      <c r="A939">
        <v>4937</v>
      </c>
      <c r="B939">
        <v>12</v>
      </c>
      <c r="C939">
        <v>2</v>
      </c>
      <c r="D939">
        <v>20</v>
      </c>
      <c r="E939">
        <v>3</v>
      </c>
      <c r="F939">
        <v>2</v>
      </c>
      <c r="G939">
        <v>5</v>
      </c>
      <c r="H939" t="s">
        <v>11</v>
      </c>
      <c r="I939">
        <v>46094</v>
      </c>
      <c r="J939">
        <v>1</v>
      </c>
      <c r="K939">
        <v>1</v>
      </c>
      <c r="L939">
        <v>0</v>
      </c>
      <c r="M939">
        <v>1</v>
      </c>
      <c r="N939">
        <f t="shared" si="28"/>
        <v>-0.27589431509084883</v>
      </c>
      <c r="O939">
        <f t="shared" si="29"/>
        <v>0.18933875352349544</v>
      </c>
    </row>
    <row r="940" spans="1:15">
      <c r="A940">
        <v>4939</v>
      </c>
      <c r="B940">
        <v>84</v>
      </c>
      <c r="C940">
        <v>5</v>
      </c>
      <c r="D940">
        <v>38</v>
      </c>
      <c r="E940">
        <v>150</v>
      </c>
      <c r="F940">
        <v>12</v>
      </c>
      <c r="G940">
        <v>28</v>
      </c>
      <c r="H940" t="s">
        <v>11</v>
      </c>
      <c r="I940">
        <v>37760</v>
      </c>
      <c r="J940">
        <v>0</v>
      </c>
      <c r="K940">
        <v>0</v>
      </c>
      <c r="L940">
        <v>0</v>
      </c>
      <c r="M940">
        <v>1</v>
      </c>
      <c r="N940">
        <f t="shared" si="28"/>
        <v>-0.66148938693798409</v>
      </c>
      <c r="O940">
        <f t="shared" si="29"/>
        <v>1.064231840779856E-2</v>
      </c>
    </row>
    <row r="941" spans="1:15">
      <c r="A941">
        <v>4943</v>
      </c>
      <c r="B941">
        <v>1379</v>
      </c>
      <c r="C941">
        <v>33</v>
      </c>
      <c r="D941">
        <v>216</v>
      </c>
      <c r="E941">
        <v>0</v>
      </c>
      <c r="F941">
        <v>33</v>
      </c>
      <c r="G941">
        <v>66</v>
      </c>
      <c r="H941" t="s">
        <v>11</v>
      </c>
      <c r="I941">
        <v>70503</v>
      </c>
      <c r="J941">
        <v>0</v>
      </c>
      <c r="K941">
        <v>0</v>
      </c>
      <c r="L941">
        <v>0</v>
      </c>
      <c r="M941">
        <v>1</v>
      </c>
      <c r="N941">
        <f t="shared" si="28"/>
        <v>0.85345415007794478</v>
      </c>
      <c r="O941">
        <f t="shared" si="29"/>
        <v>0.96397118384087788</v>
      </c>
    </row>
    <row r="942" spans="1:15">
      <c r="A942">
        <v>4945</v>
      </c>
      <c r="B942">
        <v>815</v>
      </c>
      <c r="C942">
        <v>10</v>
      </c>
      <c r="D942">
        <v>239</v>
      </c>
      <c r="E942">
        <v>28</v>
      </c>
      <c r="F942">
        <v>10</v>
      </c>
      <c r="G942">
        <v>108</v>
      </c>
      <c r="H942" t="s">
        <v>12</v>
      </c>
      <c r="I942">
        <v>53653</v>
      </c>
      <c r="J942">
        <v>0</v>
      </c>
      <c r="K942">
        <v>0</v>
      </c>
      <c r="L942">
        <v>1</v>
      </c>
      <c r="M942">
        <v>0</v>
      </c>
      <c r="N942">
        <f t="shared" si="28"/>
        <v>7.384328367234963E-2</v>
      </c>
      <c r="O942">
        <f t="shared" si="29"/>
        <v>6.0984996094735032E-2</v>
      </c>
    </row>
    <row r="943" spans="1:15">
      <c r="A943">
        <v>4947</v>
      </c>
      <c r="B943">
        <v>606</v>
      </c>
      <c r="C943">
        <v>24</v>
      </c>
      <c r="D943">
        <v>974</v>
      </c>
      <c r="E943">
        <v>197</v>
      </c>
      <c r="F943">
        <v>194</v>
      </c>
      <c r="G943">
        <v>64</v>
      </c>
      <c r="H943" t="s">
        <v>12</v>
      </c>
      <c r="I943">
        <v>89572</v>
      </c>
      <c r="J943">
        <v>0</v>
      </c>
      <c r="K943">
        <v>0</v>
      </c>
      <c r="L943">
        <v>1</v>
      </c>
      <c r="M943">
        <v>0</v>
      </c>
      <c r="N943">
        <f t="shared" si="28"/>
        <v>1.735733058771612</v>
      </c>
      <c r="O943">
        <f t="shared" si="29"/>
        <v>0.71755251639289108</v>
      </c>
    </row>
    <row r="944" spans="1:15">
      <c r="A944">
        <v>4954</v>
      </c>
      <c r="B944">
        <v>106</v>
      </c>
      <c r="C944">
        <v>27</v>
      </c>
      <c r="D944">
        <v>68</v>
      </c>
      <c r="E944">
        <v>52</v>
      </c>
      <c r="F944">
        <v>7</v>
      </c>
      <c r="G944">
        <v>5</v>
      </c>
      <c r="H944" t="s">
        <v>11</v>
      </c>
      <c r="I944">
        <v>48195</v>
      </c>
      <c r="J944">
        <v>1</v>
      </c>
      <c r="K944">
        <v>1</v>
      </c>
      <c r="L944">
        <v>0</v>
      </c>
      <c r="M944">
        <v>1</v>
      </c>
      <c r="N944">
        <f t="shared" si="28"/>
        <v>-0.17868586225297609</v>
      </c>
      <c r="O944">
        <f t="shared" si="29"/>
        <v>0.2369449643789987</v>
      </c>
    </row>
    <row r="945" spans="1:15">
      <c r="A945">
        <v>4961</v>
      </c>
      <c r="B945">
        <v>29</v>
      </c>
      <c r="C945">
        <v>0</v>
      </c>
      <c r="D945">
        <v>25</v>
      </c>
      <c r="E945">
        <v>2</v>
      </c>
      <c r="F945">
        <v>2</v>
      </c>
      <c r="G945">
        <v>3</v>
      </c>
      <c r="H945" t="s">
        <v>11</v>
      </c>
      <c r="I945">
        <v>21255</v>
      </c>
      <c r="J945">
        <v>1</v>
      </c>
      <c r="K945">
        <v>0</v>
      </c>
      <c r="L945">
        <v>0</v>
      </c>
      <c r="M945">
        <v>1</v>
      </c>
      <c r="N945">
        <f t="shared" si="28"/>
        <v>-1.4251378943578268</v>
      </c>
      <c r="O945">
        <f t="shared" si="29"/>
        <v>-0.30862170231151226</v>
      </c>
    </row>
    <row r="946" spans="1:15">
      <c r="A946">
        <v>4964</v>
      </c>
      <c r="B946">
        <v>680</v>
      </c>
      <c r="C946">
        <v>11</v>
      </c>
      <c r="D946">
        <v>392</v>
      </c>
      <c r="E946">
        <v>75</v>
      </c>
      <c r="F946">
        <v>0</v>
      </c>
      <c r="G946">
        <v>0</v>
      </c>
      <c r="H946" t="s">
        <v>11</v>
      </c>
      <c r="I946">
        <v>74250</v>
      </c>
      <c r="J946">
        <v>0</v>
      </c>
      <c r="K946">
        <v>0</v>
      </c>
      <c r="L946">
        <v>0</v>
      </c>
      <c r="M946">
        <v>1</v>
      </c>
      <c r="N946">
        <f t="shared" si="28"/>
        <v>1.0268192489753789</v>
      </c>
      <c r="O946">
        <f t="shared" si="29"/>
        <v>0.98435619189268397</v>
      </c>
    </row>
    <row r="947" spans="1:15">
      <c r="A947">
        <v>4967</v>
      </c>
      <c r="B947">
        <v>233</v>
      </c>
      <c r="C947">
        <v>0</v>
      </c>
      <c r="D947">
        <v>23</v>
      </c>
      <c r="E947">
        <v>0</v>
      </c>
      <c r="F947">
        <v>0</v>
      </c>
      <c r="G947">
        <v>12</v>
      </c>
      <c r="H947" t="s">
        <v>11</v>
      </c>
      <c r="I947">
        <v>38201</v>
      </c>
      <c r="J947">
        <v>0</v>
      </c>
      <c r="K947">
        <v>1</v>
      </c>
      <c r="L947">
        <v>0</v>
      </c>
      <c r="M947">
        <v>1</v>
      </c>
      <c r="N947">
        <f t="shared" si="28"/>
        <v>-0.64108532806054397</v>
      </c>
      <c r="O947">
        <f t="shared" si="29"/>
        <v>1.909982053783155E-2</v>
      </c>
    </row>
    <row r="948" spans="1:15">
      <c r="A948">
        <v>4974</v>
      </c>
      <c r="B948">
        <v>433</v>
      </c>
      <c r="C948">
        <v>89</v>
      </c>
      <c r="D948">
        <v>650</v>
      </c>
      <c r="E948">
        <v>16</v>
      </c>
      <c r="F948">
        <v>102</v>
      </c>
      <c r="G948">
        <v>102</v>
      </c>
      <c r="H948" t="s">
        <v>12</v>
      </c>
      <c r="I948">
        <v>83273</v>
      </c>
      <c r="J948">
        <v>1</v>
      </c>
      <c r="K948">
        <v>2</v>
      </c>
      <c r="L948">
        <v>1</v>
      </c>
      <c r="M948">
        <v>0</v>
      </c>
      <c r="N948">
        <f t="shared" si="28"/>
        <v>1.4442927710868143</v>
      </c>
      <c r="O948">
        <f t="shared" si="29"/>
        <v>0.42061205251430522</v>
      </c>
    </row>
    <row r="949" spans="1:15">
      <c r="A949">
        <v>4988</v>
      </c>
      <c r="B949">
        <v>19</v>
      </c>
      <c r="C949">
        <v>6</v>
      </c>
      <c r="D949">
        <v>20</v>
      </c>
      <c r="E949">
        <v>0</v>
      </c>
      <c r="F949">
        <v>5</v>
      </c>
      <c r="G949">
        <v>12</v>
      </c>
      <c r="H949" t="s">
        <v>11</v>
      </c>
      <c r="I949">
        <v>34469</v>
      </c>
      <c r="J949">
        <v>1</v>
      </c>
      <c r="K949">
        <v>1</v>
      </c>
      <c r="L949">
        <v>0</v>
      </c>
      <c r="M949">
        <v>1</v>
      </c>
      <c r="N949">
        <f t="shared" si="28"/>
        <v>-0.81375641134990184</v>
      </c>
      <c r="O949">
        <f t="shared" si="29"/>
        <v>-5.9223492100860323E-2</v>
      </c>
    </row>
    <row r="950" spans="1:15">
      <c r="A950">
        <v>4990</v>
      </c>
      <c r="B950">
        <v>524</v>
      </c>
      <c r="C950">
        <v>0</v>
      </c>
      <c r="D950">
        <v>134</v>
      </c>
      <c r="E950">
        <v>28</v>
      </c>
      <c r="F950">
        <v>28</v>
      </c>
      <c r="G950">
        <v>155</v>
      </c>
      <c r="H950" t="s">
        <v>11</v>
      </c>
      <c r="I950">
        <v>59111</v>
      </c>
      <c r="J950">
        <v>0</v>
      </c>
      <c r="K950">
        <v>0</v>
      </c>
      <c r="L950">
        <v>0</v>
      </c>
      <c r="M950">
        <v>1</v>
      </c>
      <c r="N950">
        <f t="shared" si="28"/>
        <v>0.32637242959767537</v>
      </c>
      <c r="O950">
        <f t="shared" si="29"/>
        <v>0.7898258449721185</v>
      </c>
    </row>
    <row r="951" spans="1:15">
      <c r="A951">
        <v>4992</v>
      </c>
      <c r="B951">
        <v>6</v>
      </c>
      <c r="C951">
        <v>4</v>
      </c>
      <c r="D951">
        <v>16</v>
      </c>
      <c r="E951">
        <v>3</v>
      </c>
      <c r="F951">
        <v>10</v>
      </c>
      <c r="G951">
        <v>30</v>
      </c>
      <c r="H951" t="s">
        <v>11</v>
      </c>
      <c r="I951">
        <v>17459</v>
      </c>
      <c r="J951">
        <v>1</v>
      </c>
      <c r="K951">
        <v>0</v>
      </c>
      <c r="L951">
        <v>0</v>
      </c>
      <c r="M951">
        <v>1</v>
      </c>
      <c r="N951">
        <f t="shared" si="28"/>
        <v>-1.6007701109083099</v>
      </c>
      <c r="O951">
        <f t="shared" si="29"/>
        <v>-0.35818305445560944</v>
      </c>
    </row>
    <row r="952" spans="1:15">
      <c r="A952">
        <v>4994</v>
      </c>
      <c r="B952">
        <v>1193</v>
      </c>
      <c r="C952">
        <v>33</v>
      </c>
      <c r="D952">
        <v>281</v>
      </c>
      <c r="E952">
        <v>129</v>
      </c>
      <c r="F952">
        <v>66</v>
      </c>
      <c r="G952">
        <v>33</v>
      </c>
      <c r="H952" t="s">
        <v>12</v>
      </c>
      <c r="I952">
        <v>77598</v>
      </c>
      <c r="J952">
        <v>0</v>
      </c>
      <c r="K952">
        <v>0</v>
      </c>
      <c r="L952">
        <v>1</v>
      </c>
      <c r="M952">
        <v>0</v>
      </c>
      <c r="N952">
        <f t="shared" si="28"/>
        <v>1.1817235326979862</v>
      </c>
      <c r="O952">
        <f t="shared" si="29"/>
        <v>0.632153708317851</v>
      </c>
    </row>
    <row r="953" spans="1:15">
      <c r="A953">
        <v>4998</v>
      </c>
      <c r="B953">
        <v>292</v>
      </c>
      <c r="C953">
        <v>30</v>
      </c>
      <c r="D953">
        <v>415</v>
      </c>
      <c r="E953">
        <v>63</v>
      </c>
      <c r="F953">
        <v>33</v>
      </c>
      <c r="G953">
        <v>200</v>
      </c>
      <c r="H953" t="s">
        <v>11</v>
      </c>
      <c r="I953">
        <v>76081</v>
      </c>
      <c r="J953">
        <v>0</v>
      </c>
      <c r="K953">
        <v>0</v>
      </c>
      <c r="L953">
        <v>0</v>
      </c>
      <c r="M953">
        <v>1</v>
      </c>
      <c r="N953">
        <f t="shared" si="28"/>
        <v>1.11153542086788</v>
      </c>
      <c r="O953">
        <f t="shared" si="29"/>
        <v>0.99055175412627239</v>
      </c>
    </row>
    <row r="954" spans="1:15">
      <c r="A954">
        <v>5010</v>
      </c>
      <c r="B954">
        <v>2</v>
      </c>
      <c r="C954">
        <v>8</v>
      </c>
      <c r="D954">
        <v>8</v>
      </c>
      <c r="E954">
        <v>6</v>
      </c>
      <c r="F954">
        <v>1</v>
      </c>
      <c r="G954">
        <v>9</v>
      </c>
      <c r="H954" t="s">
        <v>12</v>
      </c>
      <c r="I954">
        <v>25008</v>
      </c>
      <c r="J954">
        <v>1</v>
      </c>
      <c r="K954">
        <v>0</v>
      </c>
      <c r="L954">
        <v>1</v>
      </c>
      <c r="M954">
        <v>0</v>
      </c>
      <c r="N954">
        <f t="shared" si="28"/>
        <v>-1.2514951892171622</v>
      </c>
      <c r="O954">
        <f t="shared" si="29"/>
        <v>-0.54880333081131949</v>
      </c>
    </row>
    <row r="955" spans="1:15">
      <c r="A955">
        <v>5012</v>
      </c>
      <c r="B955">
        <v>5</v>
      </c>
      <c r="C955">
        <v>4</v>
      </c>
      <c r="D955">
        <v>13</v>
      </c>
      <c r="E955">
        <v>8</v>
      </c>
      <c r="F955">
        <v>0</v>
      </c>
      <c r="G955">
        <v>4</v>
      </c>
      <c r="H955" t="s">
        <v>11</v>
      </c>
      <c r="I955">
        <v>28691</v>
      </c>
      <c r="J955">
        <v>1</v>
      </c>
      <c r="K955">
        <v>0</v>
      </c>
      <c r="L955">
        <v>0</v>
      </c>
      <c r="M955">
        <v>1</v>
      </c>
      <c r="N955">
        <f t="shared" si="28"/>
        <v>-1.0810912235808532</v>
      </c>
      <c r="O955">
        <f t="shared" si="29"/>
        <v>-0.18803450514039308</v>
      </c>
    </row>
    <row r="956" spans="1:15">
      <c r="A956">
        <v>5015</v>
      </c>
      <c r="B956">
        <v>68</v>
      </c>
      <c r="C956">
        <v>6</v>
      </c>
      <c r="D956">
        <v>38</v>
      </c>
      <c r="E956">
        <v>3</v>
      </c>
      <c r="F956">
        <v>6</v>
      </c>
      <c r="G956">
        <v>41</v>
      </c>
      <c r="H956" t="s">
        <v>11</v>
      </c>
      <c r="I956">
        <v>34529</v>
      </c>
      <c r="J956">
        <v>1</v>
      </c>
      <c r="K956">
        <v>0</v>
      </c>
      <c r="L956">
        <v>0</v>
      </c>
      <c r="M956">
        <v>1</v>
      </c>
      <c r="N956">
        <f t="shared" si="28"/>
        <v>-0.81098034891759707</v>
      </c>
      <c r="O956">
        <f t="shared" si="29"/>
        <v>-6.8110340333781313E-2</v>
      </c>
    </row>
    <row r="957" spans="1:15">
      <c r="A957">
        <v>5025</v>
      </c>
      <c r="B957">
        <v>23</v>
      </c>
      <c r="C957">
        <v>17</v>
      </c>
      <c r="D957">
        <v>23</v>
      </c>
      <c r="E957">
        <v>43</v>
      </c>
      <c r="F957">
        <v>20</v>
      </c>
      <c r="G957">
        <v>9</v>
      </c>
      <c r="H957" t="s">
        <v>12</v>
      </c>
      <c r="I957">
        <v>48526</v>
      </c>
      <c r="J957">
        <v>1</v>
      </c>
      <c r="K957">
        <v>0</v>
      </c>
      <c r="L957">
        <v>1</v>
      </c>
      <c r="M957">
        <v>0</v>
      </c>
      <c r="N957">
        <f t="shared" si="28"/>
        <v>-0.16337125116809467</v>
      </c>
      <c r="O957">
        <f t="shared" si="29"/>
        <v>-9.5033080066399794E-2</v>
      </c>
    </row>
    <row r="958" spans="1:15">
      <c r="A958">
        <v>5029</v>
      </c>
      <c r="B958">
        <v>3</v>
      </c>
      <c r="C958">
        <v>1</v>
      </c>
      <c r="D958">
        <v>2</v>
      </c>
      <c r="E958">
        <v>4</v>
      </c>
      <c r="F958">
        <v>3</v>
      </c>
      <c r="G958">
        <v>1</v>
      </c>
      <c r="H958" t="s">
        <v>11</v>
      </c>
      <c r="I958">
        <v>18100</v>
      </c>
      <c r="J958">
        <v>0</v>
      </c>
      <c r="K958">
        <v>0</v>
      </c>
      <c r="L958">
        <v>0</v>
      </c>
      <c r="M958">
        <v>1</v>
      </c>
      <c r="N958">
        <f t="shared" si="28"/>
        <v>-1.5711125105898536</v>
      </c>
      <c r="O958">
        <f t="shared" si="29"/>
        <v>-0.39762201280227877</v>
      </c>
    </row>
    <row r="959" spans="1:15">
      <c r="A959">
        <v>5031</v>
      </c>
      <c r="B959">
        <v>777</v>
      </c>
      <c r="C959">
        <v>35</v>
      </c>
      <c r="D959">
        <v>731</v>
      </c>
      <c r="E959">
        <v>39</v>
      </c>
      <c r="F959">
        <v>137</v>
      </c>
      <c r="G959">
        <v>114</v>
      </c>
      <c r="H959" t="s">
        <v>11</v>
      </c>
      <c r="I959">
        <v>83145</v>
      </c>
      <c r="J959">
        <v>0</v>
      </c>
      <c r="K959">
        <v>0</v>
      </c>
      <c r="L959">
        <v>0</v>
      </c>
      <c r="M959">
        <v>1</v>
      </c>
      <c r="N959">
        <f t="shared" si="28"/>
        <v>1.4383705045645641</v>
      </c>
      <c r="O959">
        <f t="shared" si="29"/>
        <v>0.99992230111288083</v>
      </c>
    </row>
    <row r="960" spans="1:15">
      <c r="A960">
        <v>5036</v>
      </c>
      <c r="B960">
        <v>252</v>
      </c>
      <c r="C960">
        <v>3</v>
      </c>
      <c r="D960">
        <v>42</v>
      </c>
      <c r="E960">
        <v>4</v>
      </c>
      <c r="F960">
        <v>3</v>
      </c>
      <c r="G960">
        <v>102</v>
      </c>
      <c r="H960" t="s">
        <v>12</v>
      </c>
      <c r="I960">
        <v>42710</v>
      </c>
      <c r="J960">
        <v>1</v>
      </c>
      <c r="K960">
        <v>0</v>
      </c>
      <c r="L960">
        <v>1</v>
      </c>
      <c r="M960">
        <v>0</v>
      </c>
      <c r="N960">
        <f t="shared" si="28"/>
        <v>-0.43246423627283898</v>
      </c>
      <c r="O960">
        <f t="shared" si="29"/>
        <v>-0.24216765885793343</v>
      </c>
    </row>
    <row r="961" spans="1:15">
      <c r="A961">
        <v>5043</v>
      </c>
      <c r="B961">
        <v>7</v>
      </c>
      <c r="C961">
        <v>23</v>
      </c>
      <c r="D961">
        <v>78</v>
      </c>
      <c r="E961">
        <v>133</v>
      </c>
      <c r="F961">
        <v>49</v>
      </c>
      <c r="G961">
        <v>144</v>
      </c>
      <c r="H961" t="s">
        <v>11</v>
      </c>
      <c r="I961">
        <v>26997</v>
      </c>
      <c r="J961">
        <v>0</v>
      </c>
      <c r="K961">
        <v>0</v>
      </c>
      <c r="L961">
        <v>0</v>
      </c>
      <c r="M961">
        <v>1</v>
      </c>
      <c r="N961">
        <f t="shared" si="28"/>
        <v>-1.1594687195862583</v>
      </c>
      <c r="O961">
        <f t="shared" si="29"/>
        <v>-0.26100038064975445</v>
      </c>
    </row>
    <row r="962" spans="1:15">
      <c r="A962">
        <v>5046</v>
      </c>
      <c r="B962">
        <v>756</v>
      </c>
      <c r="C962">
        <v>138</v>
      </c>
      <c r="D962">
        <v>354</v>
      </c>
      <c r="E962">
        <v>160</v>
      </c>
      <c r="F962">
        <v>169</v>
      </c>
      <c r="G962">
        <v>61</v>
      </c>
      <c r="H962" t="s">
        <v>12</v>
      </c>
      <c r="I962">
        <v>78331</v>
      </c>
      <c r="J962">
        <v>0</v>
      </c>
      <c r="K962">
        <v>1</v>
      </c>
      <c r="L962">
        <v>1</v>
      </c>
      <c r="M962">
        <v>0</v>
      </c>
      <c r="N962">
        <f t="shared" si="28"/>
        <v>1.2156377620793097</v>
      </c>
      <c r="O962">
        <f t="shared" si="29"/>
        <v>0.53981665705340753</v>
      </c>
    </row>
    <row r="963" spans="1:15">
      <c r="A963">
        <v>5048</v>
      </c>
      <c r="B963">
        <v>20</v>
      </c>
      <c r="C963">
        <v>6</v>
      </c>
      <c r="D963">
        <v>43</v>
      </c>
      <c r="E963">
        <v>19</v>
      </c>
      <c r="F963">
        <v>5</v>
      </c>
      <c r="G963">
        <v>38</v>
      </c>
      <c r="H963" t="s">
        <v>12</v>
      </c>
      <c r="I963">
        <v>42767</v>
      </c>
      <c r="J963">
        <v>2</v>
      </c>
      <c r="K963">
        <v>0</v>
      </c>
      <c r="L963">
        <v>1</v>
      </c>
      <c r="M963">
        <v>0</v>
      </c>
      <c r="N963">
        <f t="shared" ref="N963:N1026" si="30">STANDARDIZE(I963,$Q$1,$R$1)</f>
        <v>-0.42982697696214939</v>
      </c>
      <c r="O963">
        <f t="shared" ref="O963:O1026" si="31">SUMPRODUCT(J963:N963,$Q$4:$U$4) / SQRT(SUMSQ(J963:N963) * SUMSQ($Q$4:$U$4))</f>
        <v>-0.15632288368795225</v>
      </c>
    </row>
    <row r="964" spans="1:15">
      <c r="A964">
        <v>5057</v>
      </c>
      <c r="B964">
        <v>264</v>
      </c>
      <c r="C964">
        <v>47</v>
      </c>
      <c r="D964">
        <v>188</v>
      </c>
      <c r="E964">
        <v>54</v>
      </c>
      <c r="F964">
        <v>47</v>
      </c>
      <c r="G964">
        <v>11</v>
      </c>
      <c r="H964" t="s">
        <v>11</v>
      </c>
      <c r="I964">
        <v>61794</v>
      </c>
      <c r="J964">
        <v>0</v>
      </c>
      <c r="K964">
        <v>1</v>
      </c>
      <c r="L964">
        <v>0</v>
      </c>
      <c r="M964">
        <v>1</v>
      </c>
      <c r="N964">
        <f t="shared" si="30"/>
        <v>0.45050868802890454</v>
      </c>
      <c r="O964">
        <f t="shared" si="31"/>
        <v>0.62902840853448294</v>
      </c>
    </row>
    <row r="965" spans="1:15">
      <c r="A965">
        <v>5062</v>
      </c>
      <c r="B965">
        <v>35</v>
      </c>
      <c r="C965">
        <v>0</v>
      </c>
      <c r="D965">
        <v>4</v>
      </c>
      <c r="E965">
        <v>0</v>
      </c>
      <c r="F965">
        <v>0</v>
      </c>
      <c r="G965">
        <v>0</v>
      </c>
      <c r="H965" t="s">
        <v>11</v>
      </c>
      <c r="I965">
        <v>54072</v>
      </c>
      <c r="J965">
        <v>1</v>
      </c>
      <c r="K965">
        <v>1</v>
      </c>
      <c r="L965">
        <v>0</v>
      </c>
      <c r="M965">
        <v>1</v>
      </c>
      <c r="N965">
        <f t="shared" si="30"/>
        <v>9.3229452991278078E-2</v>
      </c>
      <c r="O965">
        <f t="shared" si="31"/>
        <v>0.36767702297206667</v>
      </c>
    </row>
    <row r="966" spans="1:15">
      <c r="A966">
        <v>5063</v>
      </c>
      <c r="B966">
        <v>41</v>
      </c>
      <c r="C966">
        <v>5</v>
      </c>
      <c r="D966">
        <v>129</v>
      </c>
      <c r="E966">
        <v>10</v>
      </c>
      <c r="F966">
        <v>3</v>
      </c>
      <c r="G966">
        <v>3</v>
      </c>
      <c r="H966" t="s">
        <v>12</v>
      </c>
      <c r="I966">
        <v>28769</v>
      </c>
      <c r="J966">
        <v>1</v>
      </c>
      <c r="K966">
        <v>0</v>
      </c>
      <c r="L966">
        <v>1</v>
      </c>
      <c r="M966">
        <v>0</v>
      </c>
      <c r="N966">
        <f t="shared" si="30"/>
        <v>-1.0774823424188569</v>
      </c>
      <c r="O966">
        <f t="shared" si="31"/>
        <v>-0.50187197929044658</v>
      </c>
    </row>
    <row r="967" spans="1:15">
      <c r="A967">
        <v>5067</v>
      </c>
      <c r="B967">
        <v>966</v>
      </c>
      <c r="C967">
        <v>26</v>
      </c>
      <c r="D967">
        <v>282</v>
      </c>
      <c r="E967">
        <v>52</v>
      </c>
      <c r="F967">
        <v>26</v>
      </c>
      <c r="G967">
        <v>26</v>
      </c>
      <c r="H967" t="s">
        <v>11</v>
      </c>
      <c r="I967">
        <v>80134</v>
      </c>
      <c r="J967">
        <v>0</v>
      </c>
      <c r="K967">
        <v>0</v>
      </c>
      <c r="L967">
        <v>0</v>
      </c>
      <c r="M967">
        <v>1</v>
      </c>
      <c r="N967">
        <f t="shared" si="30"/>
        <v>1.2990584381700687</v>
      </c>
      <c r="O967">
        <f t="shared" si="31"/>
        <v>0.99814047148667051</v>
      </c>
    </row>
    <row r="968" spans="1:15">
      <c r="A968">
        <v>5068</v>
      </c>
      <c r="B968">
        <v>14</v>
      </c>
      <c r="C968">
        <v>1</v>
      </c>
      <c r="D968">
        <v>7</v>
      </c>
      <c r="E968">
        <v>2</v>
      </c>
      <c r="F968">
        <v>1</v>
      </c>
      <c r="G968">
        <v>1</v>
      </c>
      <c r="H968" t="s">
        <v>12</v>
      </c>
      <c r="I968">
        <v>22804</v>
      </c>
      <c r="J968">
        <v>1</v>
      </c>
      <c r="K968">
        <v>0</v>
      </c>
      <c r="L968">
        <v>1</v>
      </c>
      <c r="M968">
        <v>0</v>
      </c>
      <c r="N968">
        <f t="shared" si="30"/>
        <v>-1.3534692158971582</v>
      </c>
      <c r="O968">
        <f t="shared" si="31"/>
        <v>-0.57257890511618181</v>
      </c>
    </row>
    <row r="969" spans="1:15">
      <c r="A969">
        <v>5074</v>
      </c>
      <c r="B969">
        <v>30</v>
      </c>
      <c r="C969">
        <v>0</v>
      </c>
      <c r="D969">
        <v>10</v>
      </c>
      <c r="E969">
        <v>2</v>
      </c>
      <c r="F969">
        <v>0</v>
      </c>
      <c r="G969">
        <v>5</v>
      </c>
      <c r="H969" t="s">
        <v>11</v>
      </c>
      <c r="I969">
        <v>28072</v>
      </c>
      <c r="J969">
        <v>1</v>
      </c>
      <c r="K969">
        <v>0</v>
      </c>
      <c r="L969">
        <v>0</v>
      </c>
      <c r="M969">
        <v>1</v>
      </c>
      <c r="N969">
        <f t="shared" si="30"/>
        <v>-1.1097309343407975</v>
      </c>
      <c r="O969">
        <f t="shared" si="31"/>
        <v>-0.19939354520722846</v>
      </c>
    </row>
    <row r="970" spans="1:15">
      <c r="A970">
        <v>5077</v>
      </c>
      <c r="B970">
        <v>425</v>
      </c>
      <c r="C970">
        <v>115</v>
      </c>
      <c r="D970">
        <v>292</v>
      </c>
      <c r="E970">
        <v>23</v>
      </c>
      <c r="F970">
        <v>35</v>
      </c>
      <c r="G970">
        <v>79</v>
      </c>
      <c r="H970" t="s">
        <v>11</v>
      </c>
      <c r="I970">
        <v>77298</v>
      </c>
      <c r="J970">
        <v>0</v>
      </c>
      <c r="K970">
        <v>1</v>
      </c>
      <c r="L970">
        <v>0</v>
      </c>
      <c r="M970">
        <v>1</v>
      </c>
      <c r="N970">
        <f t="shared" si="30"/>
        <v>1.1678432205364622</v>
      </c>
      <c r="O970">
        <f t="shared" si="31"/>
        <v>0.83293179281971907</v>
      </c>
    </row>
    <row r="971" spans="1:15">
      <c r="A971">
        <v>5080</v>
      </c>
      <c r="B971">
        <v>420</v>
      </c>
      <c r="C971">
        <v>0</v>
      </c>
      <c r="D971">
        <v>452</v>
      </c>
      <c r="E971">
        <v>182</v>
      </c>
      <c r="F971">
        <v>64</v>
      </c>
      <c r="G971">
        <v>140</v>
      </c>
      <c r="H971" t="s">
        <v>12</v>
      </c>
      <c r="I971">
        <v>70515</v>
      </c>
      <c r="J971">
        <v>0</v>
      </c>
      <c r="K971">
        <v>0</v>
      </c>
      <c r="L971">
        <v>1</v>
      </c>
      <c r="M971">
        <v>0</v>
      </c>
      <c r="N971">
        <f t="shared" si="30"/>
        <v>0.85400936256440574</v>
      </c>
      <c r="O971">
        <f t="shared" si="31"/>
        <v>0.53779442303840141</v>
      </c>
    </row>
    <row r="972" spans="1:15">
      <c r="A972">
        <v>5081</v>
      </c>
      <c r="B972">
        <v>9</v>
      </c>
      <c r="C972">
        <v>0</v>
      </c>
      <c r="D972">
        <v>16</v>
      </c>
      <c r="E972">
        <v>6</v>
      </c>
      <c r="F972">
        <v>6</v>
      </c>
      <c r="G972">
        <v>10</v>
      </c>
      <c r="H972" t="s">
        <v>11</v>
      </c>
      <c r="I972">
        <v>47821</v>
      </c>
      <c r="J972">
        <v>1</v>
      </c>
      <c r="K972">
        <v>1</v>
      </c>
      <c r="L972">
        <v>0</v>
      </c>
      <c r="M972">
        <v>1</v>
      </c>
      <c r="N972">
        <f t="shared" si="30"/>
        <v>-0.19598998474767595</v>
      </c>
      <c r="O972">
        <f t="shared" si="31"/>
        <v>0.22847113507730887</v>
      </c>
    </row>
    <row r="973" spans="1:15">
      <c r="A973">
        <v>5084</v>
      </c>
      <c r="B973">
        <v>445</v>
      </c>
      <c r="C973">
        <v>53</v>
      </c>
      <c r="D973">
        <v>213</v>
      </c>
      <c r="E973">
        <v>104</v>
      </c>
      <c r="F973">
        <v>98</v>
      </c>
      <c r="G973">
        <v>151</v>
      </c>
      <c r="H973" t="s">
        <v>12</v>
      </c>
      <c r="I973">
        <v>58330</v>
      </c>
      <c r="J973">
        <v>0</v>
      </c>
      <c r="K973">
        <v>1</v>
      </c>
      <c r="L973">
        <v>1</v>
      </c>
      <c r="M973">
        <v>0</v>
      </c>
      <c r="N973">
        <f t="shared" si="30"/>
        <v>0.29023735027050801</v>
      </c>
      <c r="O973">
        <f t="shared" si="31"/>
        <v>0.16648400889180809</v>
      </c>
    </row>
    <row r="974" spans="1:15">
      <c r="A974">
        <v>5092</v>
      </c>
      <c r="B974">
        <v>380</v>
      </c>
      <c r="C974">
        <v>0</v>
      </c>
      <c r="D974">
        <v>47</v>
      </c>
      <c r="E974">
        <v>6</v>
      </c>
      <c r="F974">
        <v>0</v>
      </c>
      <c r="G974">
        <v>34</v>
      </c>
      <c r="H974" t="s">
        <v>12</v>
      </c>
      <c r="I974">
        <v>51569</v>
      </c>
      <c r="J974">
        <v>0</v>
      </c>
      <c r="K974">
        <v>1</v>
      </c>
      <c r="L974">
        <v>1</v>
      </c>
      <c r="M974">
        <v>0</v>
      </c>
      <c r="N974">
        <f t="shared" si="30"/>
        <v>-2.2578618143036733E-2</v>
      </c>
      <c r="O974">
        <f t="shared" si="31"/>
        <v>-1.3219647287294214E-2</v>
      </c>
    </row>
    <row r="975" spans="1:15">
      <c r="A975">
        <v>5093</v>
      </c>
      <c r="B975">
        <v>40</v>
      </c>
      <c r="C975">
        <v>3</v>
      </c>
      <c r="D975">
        <v>30</v>
      </c>
      <c r="E975">
        <v>10</v>
      </c>
      <c r="F975">
        <v>7</v>
      </c>
      <c r="G975">
        <v>11</v>
      </c>
      <c r="H975" t="s">
        <v>12</v>
      </c>
      <c r="I975">
        <v>25509</v>
      </c>
      <c r="J975">
        <v>1</v>
      </c>
      <c r="K975">
        <v>0</v>
      </c>
      <c r="L975">
        <v>1</v>
      </c>
      <c r="M975">
        <v>0</v>
      </c>
      <c r="N975">
        <f t="shared" si="30"/>
        <v>-1.2283150679074171</v>
      </c>
      <c r="O975">
        <f t="shared" si="31"/>
        <v>-0.54303263129004664</v>
      </c>
    </row>
    <row r="976" spans="1:15">
      <c r="A976">
        <v>5113</v>
      </c>
      <c r="B976">
        <v>584</v>
      </c>
      <c r="C976">
        <v>100</v>
      </c>
      <c r="D976">
        <v>835</v>
      </c>
      <c r="E976">
        <v>65</v>
      </c>
      <c r="F976">
        <v>83</v>
      </c>
      <c r="G976">
        <v>35</v>
      </c>
      <c r="H976" t="s">
        <v>12</v>
      </c>
      <c r="I976">
        <v>86979</v>
      </c>
      <c r="J976">
        <v>0</v>
      </c>
      <c r="K976">
        <v>0</v>
      </c>
      <c r="L976">
        <v>1</v>
      </c>
      <c r="M976">
        <v>0</v>
      </c>
      <c r="N976">
        <f t="shared" si="30"/>
        <v>1.6157608939888402</v>
      </c>
      <c r="O976">
        <f t="shared" si="31"/>
        <v>0.70416631546417363</v>
      </c>
    </row>
    <row r="977" spans="1:15">
      <c r="A977">
        <v>5114</v>
      </c>
      <c r="B977">
        <v>670</v>
      </c>
      <c r="C977">
        <v>9</v>
      </c>
      <c r="D977">
        <v>249</v>
      </c>
      <c r="E977">
        <v>0</v>
      </c>
      <c r="F977">
        <v>28</v>
      </c>
      <c r="G977">
        <v>9</v>
      </c>
      <c r="H977" t="s">
        <v>11</v>
      </c>
      <c r="I977">
        <v>74806</v>
      </c>
      <c r="J977">
        <v>0</v>
      </c>
      <c r="K977">
        <v>1</v>
      </c>
      <c r="L977">
        <v>0</v>
      </c>
      <c r="M977">
        <v>1</v>
      </c>
      <c r="N977">
        <f t="shared" si="30"/>
        <v>1.0525440941814033</v>
      </c>
      <c r="O977">
        <f t="shared" si="31"/>
        <v>0.81239803267748145</v>
      </c>
    </row>
    <row r="978" spans="1:15">
      <c r="A978">
        <v>5117</v>
      </c>
      <c r="B978">
        <v>63</v>
      </c>
      <c r="C978">
        <v>151</v>
      </c>
      <c r="D978">
        <v>137</v>
      </c>
      <c r="E978">
        <v>153</v>
      </c>
      <c r="F978">
        <v>19</v>
      </c>
      <c r="G978">
        <v>53</v>
      </c>
      <c r="H978" t="s">
        <v>11</v>
      </c>
      <c r="I978">
        <v>32632</v>
      </c>
      <c r="J978">
        <v>0</v>
      </c>
      <c r="K978">
        <v>0</v>
      </c>
      <c r="L978">
        <v>0</v>
      </c>
      <c r="M978">
        <v>1</v>
      </c>
      <c r="N978">
        <f t="shared" si="30"/>
        <v>-0.89875018948563345</v>
      </c>
      <c r="O978">
        <f t="shared" si="31"/>
        <v>-0.13664305615967406</v>
      </c>
    </row>
    <row r="979" spans="1:15">
      <c r="A979">
        <v>5120</v>
      </c>
      <c r="B979">
        <v>398</v>
      </c>
      <c r="C979">
        <v>96</v>
      </c>
      <c r="D979">
        <v>447</v>
      </c>
      <c r="E979">
        <v>220</v>
      </c>
      <c r="F979">
        <v>96</v>
      </c>
      <c r="G979">
        <v>32</v>
      </c>
      <c r="H979" t="s">
        <v>11</v>
      </c>
      <c r="I979">
        <v>66664</v>
      </c>
      <c r="J979">
        <v>0</v>
      </c>
      <c r="K979">
        <v>0</v>
      </c>
      <c r="L979">
        <v>0</v>
      </c>
      <c r="M979">
        <v>1</v>
      </c>
      <c r="N979">
        <f t="shared" si="30"/>
        <v>0.67583242211764327</v>
      </c>
      <c r="O979">
        <f t="shared" si="31"/>
        <v>0.92813597526986924</v>
      </c>
    </row>
    <row r="980" spans="1:15">
      <c r="A980">
        <v>5121</v>
      </c>
      <c r="B980">
        <v>479</v>
      </c>
      <c r="C980">
        <v>5</v>
      </c>
      <c r="D980">
        <v>82</v>
      </c>
      <c r="E980">
        <v>7</v>
      </c>
      <c r="F980">
        <v>17</v>
      </c>
      <c r="G980">
        <v>171</v>
      </c>
      <c r="H980" t="s">
        <v>12</v>
      </c>
      <c r="I980">
        <v>56628</v>
      </c>
      <c r="J980">
        <v>0</v>
      </c>
      <c r="K980">
        <v>1</v>
      </c>
      <c r="L980">
        <v>1</v>
      </c>
      <c r="M980">
        <v>0</v>
      </c>
      <c r="N980">
        <f t="shared" si="30"/>
        <v>0.21148971260746213</v>
      </c>
      <c r="O980">
        <f t="shared" si="31"/>
        <v>0.12247976260309185</v>
      </c>
    </row>
    <row r="981" spans="1:15">
      <c r="A981">
        <v>5123</v>
      </c>
      <c r="B981">
        <v>37</v>
      </c>
      <c r="C981">
        <v>12</v>
      </c>
      <c r="D981">
        <v>23</v>
      </c>
      <c r="E981">
        <v>8</v>
      </c>
      <c r="F981">
        <v>11</v>
      </c>
      <c r="G981">
        <v>52</v>
      </c>
      <c r="H981" t="s">
        <v>11</v>
      </c>
      <c r="I981">
        <v>27450</v>
      </c>
      <c r="J981">
        <v>0</v>
      </c>
      <c r="K981">
        <v>0</v>
      </c>
      <c r="L981">
        <v>0</v>
      </c>
      <c r="M981">
        <v>1</v>
      </c>
      <c r="N981">
        <f t="shared" si="30"/>
        <v>-1.1385094482223572</v>
      </c>
      <c r="O981">
        <f t="shared" si="31"/>
        <v>-0.25226930261319097</v>
      </c>
    </row>
    <row r="982" spans="1:15">
      <c r="A982">
        <v>5125</v>
      </c>
      <c r="B982">
        <v>333</v>
      </c>
      <c r="C982">
        <v>0</v>
      </c>
      <c r="D982">
        <v>815</v>
      </c>
      <c r="E982">
        <v>129</v>
      </c>
      <c r="F982">
        <v>42</v>
      </c>
      <c r="G982">
        <v>29</v>
      </c>
      <c r="H982" t="s">
        <v>11</v>
      </c>
      <c r="I982">
        <v>79530</v>
      </c>
      <c r="J982">
        <v>0</v>
      </c>
      <c r="K982">
        <v>0</v>
      </c>
      <c r="L982">
        <v>0</v>
      </c>
      <c r="M982">
        <v>1</v>
      </c>
      <c r="N982">
        <f t="shared" si="30"/>
        <v>1.2711127430182005</v>
      </c>
      <c r="O982">
        <f t="shared" si="31"/>
        <v>0.99744255499208612</v>
      </c>
    </row>
    <row r="983" spans="1:15">
      <c r="A983">
        <v>5136</v>
      </c>
      <c r="B983">
        <v>654</v>
      </c>
      <c r="C983">
        <v>7</v>
      </c>
      <c r="D983">
        <v>92</v>
      </c>
      <c r="E983">
        <v>0</v>
      </c>
      <c r="F983">
        <v>15</v>
      </c>
      <c r="G983">
        <v>30</v>
      </c>
      <c r="H983" t="s">
        <v>12</v>
      </c>
      <c r="I983">
        <v>65333</v>
      </c>
      <c r="J983">
        <v>0</v>
      </c>
      <c r="K983">
        <v>1</v>
      </c>
      <c r="L983">
        <v>1</v>
      </c>
      <c r="M983">
        <v>0</v>
      </c>
      <c r="N983">
        <f t="shared" si="30"/>
        <v>0.61425010382768208</v>
      </c>
      <c r="O983">
        <f t="shared" si="31"/>
        <v>0.32991024490386983</v>
      </c>
    </row>
    <row r="984" spans="1:15">
      <c r="A984">
        <v>5138</v>
      </c>
      <c r="B984">
        <v>19</v>
      </c>
      <c r="C984">
        <v>1</v>
      </c>
      <c r="D984">
        <v>14</v>
      </c>
      <c r="E984">
        <v>3</v>
      </c>
      <c r="F984">
        <v>2</v>
      </c>
      <c r="G984">
        <v>4</v>
      </c>
      <c r="H984" t="s">
        <v>11</v>
      </c>
      <c r="I984">
        <v>28320</v>
      </c>
      <c r="J984">
        <v>0</v>
      </c>
      <c r="K984">
        <v>1</v>
      </c>
      <c r="L984">
        <v>0</v>
      </c>
      <c r="M984">
        <v>1</v>
      </c>
      <c r="N984">
        <f t="shared" si="30"/>
        <v>-1.0982565429539377</v>
      </c>
      <c r="O984">
        <f t="shared" si="31"/>
        <v>-0.19487304485997126</v>
      </c>
    </row>
    <row r="985" spans="1:15">
      <c r="A985">
        <v>5140</v>
      </c>
      <c r="B985">
        <v>1047</v>
      </c>
      <c r="C985">
        <v>0</v>
      </c>
      <c r="D985">
        <v>140</v>
      </c>
      <c r="E985">
        <v>67</v>
      </c>
      <c r="F985">
        <v>38</v>
      </c>
      <c r="G985">
        <v>153</v>
      </c>
      <c r="H985" t="s">
        <v>11</v>
      </c>
      <c r="I985">
        <v>64355</v>
      </c>
      <c r="J985">
        <v>1</v>
      </c>
      <c r="K985">
        <v>0</v>
      </c>
      <c r="L985">
        <v>0</v>
      </c>
      <c r="M985">
        <v>1</v>
      </c>
      <c r="N985">
        <f t="shared" si="30"/>
        <v>0.56900028618111398</v>
      </c>
      <c r="O985">
        <f t="shared" si="31"/>
        <v>0.67683000839656082</v>
      </c>
    </row>
    <row r="986" spans="1:15">
      <c r="A986">
        <v>5147</v>
      </c>
      <c r="B986">
        <v>774</v>
      </c>
      <c r="C986">
        <v>70</v>
      </c>
      <c r="D986">
        <v>118</v>
      </c>
      <c r="E986">
        <v>182</v>
      </c>
      <c r="F986">
        <v>187</v>
      </c>
      <c r="G986">
        <v>93</v>
      </c>
      <c r="H986" t="s">
        <v>12</v>
      </c>
      <c r="I986">
        <v>90842</v>
      </c>
      <c r="J986">
        <v>0</v>
      </c>
      <c r="K986">
        <v>0</v>
      </c>
      <c r="L986">
        <v>1</v>
      </c>
      <c r="M986">
        <v>0</v>
      </c>
      <c r="N986">
        <f t="shared" si="30"/>
        <v>1.7944930469220635</v>
      </c>
      <c r="O986">
        <f t="shared" si="31"/>
        <v>0.72338223833034154</v>
      </c>
    </row>
    <row r="987" spans="1:15">
      <c r="A987">
        <v>5150</v>
      </c>
      <c r="B987">
        <v>0</v>
      </c>
      <c r="C987">
        <v>4</v>
      </c>
      <c r="D987">
        <v>7</v>
      </c>
      <c r="E987">
        <v>11</v>
      </c>
      <c r="F987">
        <v>10</v>
      </c>
      <c r="G987">
        <v>15</v>
      </c>
      <c r="H987" t="s">
        <v>12</v>
      </c>
      <c r="I987">
        <v>20194</v>
      </c>
      <c r="J987">
        <v>1</v>
      </c>
      <c r="K987">
        <v>0</v>
      </c>
      <c r="L987">
        <v>1</v>
      </c>
      <c r="M987">
        <v>0</v>
      </c>
      <c r="N987">
        <f t="shared" si="30"/>
        <v>-1.4742279317024165</v>
      </c>
      <c r="O987">
        <f t="shared" si="31"/>
        <v>-0.59760632535042568</v>
      </c>
    </row>
    <row r="988" spans="1:15">
      <c r="A988">
        <v>5154</v>
      </c>
      <c r="B988">
        <v>26</v>
      </c>
      <c r="C988">
        <v>3</v>
      </c>
      <c r="D988">
        <v>13</v>
      </c>
      <c r="E988">
        <v>2</v>
      </c>
      <c r="F988">
        <v>10</v>
      </c>
      <c r="G988">
        <v>0</v>
      </c>
      <c r="H988" t="s">
        <v>12</v>
      </c>
      <c r="I988">
        <v>37760</v>
      </c>
      <c r="J988">
        <v>1</v>
      </c>
      <c r="K988">
        <v>0</v>
      </c>
      <c r="L988">
        <v>1</v>
      </c>
      <c r="M988">
        <v>0</v>
      </c>
      <c r="N988">
        <f t="shared" si="30"/>
        <v>-0.66148938693798409</v>
      </c>
      <c r="O988">
        <f t="shared" si="31"/>
        <v>-0.35086281406297865</v>
      </c>
    </row>
    <row r="989" spans="1:15">
      <c r="A989">
        <v>5156</v>
      </c>
      <c r="B989">
        <v>129</v>
      </c>
      <c r="C989">
        <v>129</v>
      </c>
      <c r="D989">
        <v>259</v>
      </c>
      <c r="E989">
        <v>168</v>
      </c>
      <c r="F989">
        <v>121</v>
      </c>
      <c r="G989">
        <v>83</v>
      </c>
      <c r="H989" t="s">
        <v>11</v>
      </c>
      <c r="I989">
        <v>62466</v>
      </c>
      <c r="J989">
        <v>0</v>
      </c>
      <c r="K989">
        <v>1</v>
      </c>
      <c r="L989">
        <v>0</v>
      </c>
      <c r="M989">
        <v>1</v>
      </c>
      <c r="N989">
        <f t="shared" si="30"/>
        <v>0.48160058727071819</v>
      </c>
      <c r="O989">
        <f t="shared" si="31"/>
        <v>0.64216570350529212</v>
      </c>
    </row>
    <row r="990" spans="1:15">
      <c r="A990">
        <v>5172</v>
      </c>
      <c r="B990">
        <v>738</v>
      </c>
      <c r="C990">
        <v>0</v>
      </c>
      <c r="D990">
        <v>232</v>
      </c>
      <c r="E990">
        <v>13</v>
      </c>
      <c r="F990">
        <v>20</v>
      </c>
      <c r="G990">
        <v>50</v>
      </c>
      <c r="H990" t="s">
        <v>11</v>
      </c>
      <c r="I990">
        <v>65104</v>
      </c>
      <c r="J990">
        <v>0</v>
      </c>
      <c r="K990">
        <v>1</v>
      </c>
      <c r="L990">
        <v>0</v>
      </c>
      <c r="M990">
        <v>1</v>
      </c>
      <c r="N990">
        <f t="shared" si="30"/>
        <v>0.60365479887771878</v>
      </c>
      <c r="O990">
        <f t="shared" si="31"/>
        <v>0.68965180063620601</v>
      </c>
    </row>
    <row r="991" spans="1:15">
      <c r="A991">
        <v>5176</v>
      </c>
      <c r="B991">
        <v>7</v>
      </c>
      <c r="C991">
        <v>6</v>
      </c>
      <c r="D991">
        <v>13</v>
      </c>
      <c r="E991">
        <v>7</v>
      </c>
      <c r="F991">
        <v>6</v>
      </c>
      <c r="G991">
        <v>14</v>
      </c>
      <c r="H991" t="s">
        <v>11</v>
      </c>
      <c r="I991">
        <v>29604</v>
      </c>
      <c r="J991">
        <v>1</v>
      </c>
      <c r="K991">
        <v>0</v>
      </c>
      <c r="L991">
        <v>0</v>
      </c>
      <c r="M991">
        <v>1</v>
      </c>
      <c r="N991">
        <f t="shared" si="30"/>
        <v>-1.0388488069026152</v>
      </c>
      <c r="O991">
        <f t="shared" si="31"/>
        <v>-0.17081390439335215</v>
      </c>
    </row>
    <row r="992" spans="1:15">
      <c r="A992">
        <v>5177</v>
      </c>
      <c r="B992">
        <v>298</v>
      </c>
      <c r="C992">
        <v>7</v>
      </c>
      <c r="D992">
        <v>68</v>
      </c>
      <c r="E992">
        <v>4</v>
      </c>
      <c r="F992">
        <v>0</v>
      </c>
      <c r="G992">
        <v>19</v>
      </c>
      <c r="H992" t="s">
        <v>11</v>
      </c>
      <c r="I992">
        <v>58494</v>
      </c>
      <c r="J992">
        <v>0</v>
      </c>
      <c r="K992">
        <v>1</v>
      </c>
      <c r="L992">
        <v>0</v>
      </c>
      <c r="M992">
        <v>1</v>
      </c>
      <c r="N992">
        <f t="shared" si="30"/>
        <v>0.29782525425214113</v>
      </c>
      <c r="O992">
        <f t="shared" si="31"/>
        <v>0.55851657064241322</v>
      </c>
    </row>
    <row r="993" spans="1:15">
      <c r="A993">
        <v>5180</v>
      </c>
      <c r="B993">
        <v>128</v>
      </c>
      <c r="C993">
        <v>0</v>
      </c>
      <c r="D993">
        <v>16</v>
      </c>
      <c r="E993">
        <v>0</v>
      </c>
      <c r="F993">
        <v>1</v>
      </c>
      <c r="G993">
        <v>4</v>
      </c>
      <c r="H993" t="s">
        <v>12</v>
      </c>
      <c r="I993">
        <v>50616</v>
      </c>
      <c r="J993">
        <v>0</v>
      </c>
      <c r="K993">
        <v>1</v>
      </c>
      <c r="L993">
        <v>1</v>
      </c>
      <c r="M993">
        <v>0</v>
      </c>
      <c r="N993">
        <f t="shared" si="30"/>
        <v>-6.6671743109477807E-2</v>
      </c>
      <c r="O993">
        <f t="shared" si="31"/>
        <v>-3.8997572551448367E-2</v>
      </c>
    </row>
    <row r="994" spans="1:15">
      <c r="A994">
        <v>5181</v>
      </c>
      <c r="B994">
        <v>2</v>
      </c>
      <c r="C994">
        <v>4</v>
      </c>
      <c r="D994">
        <v>2</v>
      </c>
      <c r="E994">
        <v>0</v>
      </c>
      <c r="F994">
        <v>11</v>
      </c>
      <c r="G994">
        <v>5</v>
      </c>
      <c r="H994" t="s">
        <v>12</v>
      </c>
      <c r="I994">
        <v>24367</v>
      </c>
      <c r="J994">
        <v>1</v>
      </c>
      <c r="K994">
        <v>0</v>
      </c>
      <c r="L994">
        <v>1</v>
      </c>
      <c r="M994">
        <v>0</v>
      </c>
      <c r="N994">
        <f t="shared" si="30"/>
        <v>-1.2811527895356183</v>
      </c>
      <c r="O994">
        <f t="shared" si="31"/>
        <v>-0.55598415799870216</v>
      </c>
    </row>
    <row r="995" spans="1:15">
      <c r="A995">
        <v>5184</v>
      </c>
      <c r="B995">
        <v>4</v>
      </c>
      <c r="C995">
        <v>2</v>
      </c>
      <c r="D995">
        <v>11</v>
      </c>
      <c r="E995">
        <v>2</v>
      </c>
      <c r="F995">
        <v>0</v>
      </c>
      <c r="G995">
        <v>4</v>
      </c>
      <c r="H995" t="s">
        <v>12</v>
      </c>
      <c r="I995">
        <v>34824</v>
      </c>
      <c r="J995">
        <v>0</v>
      </c>
      <c r="K995">
        <v>0</v>
      </c>
      <c r="L995">
        <v>1</v>
      </c>
      <c r="M995">
        <v>0</v>
      </c>
      <c r="N995">
        <f t="shared" si="30"/>
        <v>-0.79733137529209852</v>
      </c>
      <c r="O995">
        <f t="shared" si="31"/>
        <v>-0.51626766229401311</v>
      </c>
    </row>
    <row r="996" spans="1:15">
      <c r="A996">
        <v>5185</v>
      </c>
      <c r="B996">
        <v>199</v>
      </c>
      <c r="C996">
        <v>66</v>
      </c>
      <c r="D996">
        <v>315</v>
      </c>
      <c r="E996">
        <v>97</v>
      </c>
      <c r="F996">
        <v>174</v>
      </c>
      <c r="G996">
        <v>41</v>
      </c>
      <c r="H996" t="s">
        <v>11</v>
      </c>
      <c r="I996">
        <v>74268</v>
      </c>
      <c r="J996">
        <v>0</v>
      </c>
      <c r="K996">
        <v>0</v>
      </c>
      <c r="L996">
        <v>0</v>
      </c>
      <c r="M996">
        <v>1</v>
      </c>
      <c r="N996">
        <f t="shared" si="30"/>
        <v>1.0276520677050704</v>
      </c>
      <c r="O996">
        <f t="shared" si="31"/>
        <v>0.98442750720595917</v>
      </c>
    </row>
    <row r="997" spans="1:15">
      <c r="A997">
        <v>5186</v>
      </c>
      <c r="B997">
        <v>576</v>
      </c>
      <c r="C997">
        <v>7</v>
      </c>
      <c r="D997">
        <v>115</v>
      </c>
      <c r="E997">
        <v>19</v>
      </c>
      <c r="F997">
        <v>7</v>
      </c>
      <c r="G997">
        <v>7</v>
      </c>
      <c r="H997" t="s">
        <v>11</v>
      </c>
      <c r="I997">
        <v>58482</v>
      </c>
      <c r="J997">
        <v>0</v>
      </c>
      <c r="K997">
        <v>1</v>
      </c>
      <c r="L997">
        <v>0</v>
      </c>
      <c r="M997">
        <v>1</v>
      </c>
      <c r="N997">
        <f t="shared" si="30"/>
        <v>0.29727004176568012</v>
      </c>
      <c r="O997">
        <f t="shared" si="31"/>
        <v>0.55824258873159227</v>
      </c>
    </row>
    <row r="998" spans="1:15">
      <c r="A998">
        <v>5204</v>
      </c>
      <c r="B998">
        <v>380</v>
      </c>
      <c r="C998">
        <v>98</v>
      </c>
      <c r="D998">
        <v>733</v>
      </c>
      <c r="E998">
        <v>110</v>
      </c>
      <c r="F998">
        <v>112</v>
      </c>
      <c r="G998">
        <v>28</v>
      </c>
      <c r="H998" t="s">
        <v>11</v>
      </c>
      <c r="I998">
        <v>74538</v>
      </c>
      <c r="J998">
        <v>0</v>
      </c>
      <c r="K998">
        <v>0</v>
      </c>
      <c r="L998">
        <v>0</v>
      </c>
      <c r="M998">
        <v>1</v>
      </c>
      <c r="N998">
        <f t="shared" si="30"/>
        <v>1.0401443486504418</v>
      </c>
      <c r="O998">
        <f t="shared" si="31"/>
        <v>0.98547098802976762</v>
      </c>
    </row>
    <row r="999" spans="1:15">
      <c r="A999">
        <v>5207</v>
      </c>
      <c r="B999">
        <v>489</v>
      </c>
      <c r="C999">
        <v>6</v>
      </c>
      <c r="D999">
        <v>152</v>
      </c>
      <c r="E999">
        <v>8</v>
      </c>
      <c r="F999">
        <v>6</v>
      </c>
      <c r="G999">
        <v>132</v>
      </c>
      <c r="H999" t="s">
        <v>11</v>
      </c>
      <c r="I999">
        <v>53378</v>
      </c>
      <c r="J999">
        <v>1</v>
      </c>
      <c r="K999">
        <v>1</v>
      </c>
      <c r="L999">
        <v>0</v>
      </c>
      <c r="M999">
        <v>1</v>
      </c>
      <c r="N999">
        <f t="shared" si="30"/>
        <v>6.1119664190952681E-2</v>
      </c>
      <c r="O999">
        <f t="shared" si="31"/>
        <v>0.35263761154375356</v>
      </c>
    </row>
    <row r="1000" spans="1:15">
      <c r="A1000">
        <v>5209</v>
      </c>
      <c r="B1000">
        <v>443</v>
      </c>
      <c r="C1000">
        <v>5</v>
      </c>
      <c r="D1000">
        <v>71</v>
      </c>
      <c r="E1000">
        <v>21</v>
      </c>
      <c r="F1000">
        <v>16</v>
      </c>
      <c r="G1000">
        <v>82</v>
      </c>
      <c r="H1000" t="s">
        <v>12</v>
      </c>
      <c r="I1000">
        <v>50002</v>
      </c>
      <c r="J1000">
        <v>0</v>
      </c>
      <c r="K1000">
        <v>1</v>
      </c>
      <c r="L1000">
        <v>1</v>
      </c>
      <c r="M1000">
        <v>0</v>
      </c>
      <c r="N1000">
        <f t="shared" si="30"/>
        <v>-9.5080115333396831E-2</v>
      </c>
      <c r="O1000">
        <f t="shared" si="31"/>
        <v>-5.5550533414151851E-2</v>
      </c>
    </row>
    <row r="1001" spans="1:15">
      <c r="A1001">
        <v>5221</v>
      </c>
      <c r="B1001">
        <v>714</v>
      </c>
      <c r="C1001">
        <v>8</v>
      </c>
      <c r="D1001">
        <v>99</v>
      </c>
      <c r="E1001">
        <v>11</v>
      </c>
      <c r="F1001">
        <v>0</v>
      </c>
      <c r="G1001">
        <v>47</v>
      </c>
      <c r="H1001" t="s">
        <v>11</v>
      </c>
      <c r="I1001">
        <v>52852</v>
      </c>
      <c r="J1001">
        <v>0</v>
      </c>
      <c r="K1001">
        <v>1</v>
      </c>
      <c r="L1001">
        <v>0</v>
      </c>
      <c r="M1001">
        <v>1</v>
      </c>
      <c r="N1001">
        <f t="shared" si="30"/>
        <v>3.6782850201080693E-2</v>
      </c>
      <c r="O1001">
        <f t="shared" si="31"/>
        <v>0.41776775868730037</v>
      </c>
    </row>
    <row r="1002" spans="1:15">
      <c r="A1002">
        <v>5223</v>
      </c>
      <c r="B1002">
        <v>33</v>
      </c>
      <c r="C1002">
        <v>8</v>
      </c>
      <c r="D1002">
        <v>10</v>
      </c>
      <c r="E1002">
        <v>2</v>
      </c>
      <c r="F1002">
        <v>10</v>
      </c>
      <c r="G1002">
        <v>3</v>
      </c>
      <c r="H1002" t="s">
        <v>11</v>
      </c>
      <c r="I1002">
        <v>45903</v>
      </c>
      <c r="J1002">
        <v>0</v>
      </c>
      <c r="K1002">
        <v>1</v>
      </c>
      <c r="L1002">
        <v>0</v>
      </c>
      <c r="M1002">
        <v>1</v>
      </c>
      <c r="N1002">
        <f t="shared" si="30"/>
        <v>-0.28473144716701904</v>
      </c>
      <c r="O1002">
        <f t="shared" si="31"/>
        <v>0.22512286937845793</v>
      </c>
    </row>
    <row r="1003" spans="1:15">
      <c r="A1003">
        <v>5229</v>
      </c>
      <c r="B1003">
        <v>30</v>
      </c>
      <c r="C1003">
        <v>1</v>
      </c>
      <c r="D1003">
        <v>8</v>
      </c>
      <c r="E1003">
        <v>0</v>
      </c>
      <c r="F1003">
        <v>0</v>
      </c>
      <c r="G1003">
        <v>3</v>
      </c>
      <c r="H1003" t="s">
        <v>11</v>
      </c>
      <c r="I1003">
        <v>54132</v>
      </c>
      <c r="J1003">
        <v>0</v>
      </c>
      <c r="K1003">
        <v>1</v>
      </c>
      <c r="L1003">
        <v>0</v>
      </c>
      <c r="M1003">
        <v>1</v>
      </c>
      <c r="N1003">
        <f t="shared" si="30"/>
        <v>9.6005515423582877E-2</v>
      </c>
      <c r="O1003">
        <f t="shared" si="31"/>
        <v>0.45154868965079736</v>
      </c>
    </row>
    <row r="1004" spans="1:15">
      <c r="A1004">
        <v>5231</v>
      </c>
      <c r="B1004">
        <v>27</v>
      </c>
      <c r="C1004">
        <v>2</v>
      </c>
      <c r="D1004">
        <v>7</v>
      </c>
      <c r="E1004">
        <v>0</v>
      </c>
      <c r="F1004">
        <v>2</v>
      </c>
      <c r="G1004">
        <v>13</v>
      </c>
      <c r="H1004" t="s">
        <v>11</v>
      </c>
      <c r="I1004">
        <v>45894</v>
      </c>
      <c r="J1004">
        <v>0</v>
      </c>
      <c r="K1004">
        <v>2</v>
      </c>
      <c r="L1004">
        <v>0</v>
      </c>
      <c r="M1004">
        <v>1</v>
      </c>
      <c r="N1004">
        <f t="shared" si="30"/>
        <v>-0.28514785653186475</v>
      </c>
      <c r="O1004">
        <f t="shared" si="31"/>
        <v>0.14391761915838208</v>
      </c>
    </row>
    <row r="1005" spans="1:15">
      <c r="A1005">
        <v>5234</v>
      </c>
      <c r="B1005">
        <v>12</v>
      </c>
      <c r="C1005">
        <v>5</v>
      </c>
      <c r="D1005">
        <v>25</v>
      </c>
      <c r="E1005">
        <v>0</v>
      </c>
      <c r="F1005">
        <v>9</v>
      </c>
      <c r="G1005">
        <v>30</v>
      </c>
      <c r="H1005" t="s">
        <v>11</v>
      </c>
      <c r="I1005">
        <v>30753</v>
      </c>
      <c r="J1005">
        <v>1</v>
      </c>
      <c r="K1005">
        <v>1</v>
      </c>
      <c r="L1005">
        <v>0</v>
      </c>
      <c r="M1005">
        <v>1</v>
      </c>
      <c r="N1005">
        <f t="shared" si="30"/>
        <v>-0.98568721132397852</v>
      </c>
      <c r="O1005">
        <f t="shared" si="31"/>
        <v>-0.128313882455934</v>
      </c>
    </row>
    <row r="1006" spans="1:15">
      <c r="A1006">
        <v>5236</v>
      </c>
      <c r="B1006">
        <v>1230</v>
      </c>
      <c r="C1006">
        <v>0</v>
      </c>
      <c r="D1006">
        <v>396</v>
      </c>
      <c r="E1006">
        <v>232</v>
      </c>
      <c r="F1006">
        <v>178</v>
      </c>
      <c r="G1006">
        <v>158</v>
      </c>
      <c r="H1006" t="s">
        <v>11</v>
      </c>
      <c r="I1006">
        <v>77568</v>
      </c>
      <c r="J1006">
        <v>0</v>
      </c>
      <c r="K1006">
        <v>1</v>
      </c>
      <c r="L1006">
        <v>0</v>
      </c>
      <c r="M1006">
        <v>1</v>
      </c>
      <c r="N1006">
        <f t="shared" si="30"/>
        <v>1.1803355014818337</v>
      </c>
      <c r="O1006">
        <f t="shared" si="31"/>
        <v>0.83493967692612814</v>
      </c>
    </row>
    <row r="1007" spans="1:15">
      <c r="A1007">
        <v>5237</v>
      </c>
      <c r="B1007">
        <v>28</v>
      </c>
      <c r="C1007">
        <v>1</v>
      </c>
      <c r="D1007">
        <v>21</v>
      </c>
      <c r="E1007">
        <v>3</v>
      </c>
      <c r="F1007">
        <v>0</v>
      </c>
      <c r="G1007">
        <v>10</v>
      </c>
      <c r="H1007" t="s">
        <v>12</v>
      </c>
      <c r="I1007">
        <v>48767</v>
      </c>
      <c r="J1007">
        <v>1</v>
      </c>
      <c r="K1007">
        <v>2</v>
      </c>
      <c r="L1007">
        <v>1</v>
      </c>
      <c r="M1007">
        <v>0</v>
      </c>
      <c r="N1007">
        <f t="shared" si="30"/>
        <v>-0.15222073373167042</v>
      </c>
      <c r="O1007">
        <f t="shared" si="31"/>
        <v>-5.1363434888451402E-2</v>
      </c>
    </row>
    <row r="1008" spans="1:15">
      <c r="A1008">
        <v>5247</v>
      </c>
      <c r="B1008">
        <v>31</v>
      </c>
      <c r="C1008">
        <v>0</v>
      </c>
      <c r="D1008">
        <v>6</v>
      </c>
      <c r="E1008">
        <v>2</v>
      </c>
      <c r="F1008">
        <v>1</v>
      </c>
      <c r="G1008">
        <v>5</v>
      </c>
      <c r="H1008" t="s">
        <v>11</v>
      </c>
      <c r="I1008">
        <v>38725</v>
      </c>
      <c r="J1008">
        <v>1</v>
      </c>
      <c r="K1008">
        <v>1</v>
      </c>
      <c r="L1008">
        <v>0</v>
      </c>
      <c r="M1008">
        <v>1</v>
      </c>
      <c r="N1008">
        <f t="shared" si="30"/>
        <v>-0.61684104948508212</v>
      </c>
      <c r="O1008">
        <f t="shared" si="31"/>
        <v>2.7049833402416654E-2</v>
      </c>
    </row>
    <row r="1009" spans="1:15">
      <c r="A1009">
        <v>5252</v>
      </c>
      <c r="B1009">
        <v>16</v>
      </c>
      <c r="C1009">
        <v>12</v>
      </c>
      <c r="D1009">
        <v>18</v>
      </c>
      <c r="E1009">
        <v>7</v>
      </c>
      <c r="F1009">
        <v>1</v>
      </c>
      <c r="G1009">
        <v>13</v>
      </c>
      <c r="H1009" t="s">
        <v>12</v>
      </c>
      <c r="I1009">
        <v>23910</v>
      </c>
      <c r="J1009">
        <v>1</v>
      </c>
      <c r="K1009">
        <v>0</v>
      </c>
      <c r="L1009">
        <v>1</v>
      </c>
      <c r="M1009">
        <v>0</v>
      </c>
      <c r="N1009">
        <f t="shared" si="30"/>
        <v>-1.3022971317283398</v>
      </c>
      <c r="O1009">
        <f t="shared" si="31"/>
        <v>-0.5609682171818986</v>
      </c>
    </row>
    <row r="1010" spans="1:15">
      <c r="A1010">
        <v>5253</v>
      </c>
      <c r="B1010">
        <v>145</v>
      </c>
      <c r="C1010">
        <v>13</v>
      </c>
      <c r="D1010">
        <v>46</v>
      </c>
      <c r="E1010">
        <v>17</v>
      </c>
      <c r="F1010">
        <v>2</v>
      </c>
      <c r="G1010">
        <v>4</v>
      </c>
      <c r="H1010" t="s">
        <v>11</v>
      </c>
      <c r="I1010">
        <v>54603</v>
      </c>
      <c r="J1010">
        <v>1</v>
      </c>
      <c r="K1010">
        <v>1</v>
      </c>
      <c r="L1010">
        <v>0</v>
      </c>
      <c r="M1010">
        <v>1</v>
      </c>
      <c r="N1010">
        <f t="shared" si="30"/>
        <v>0.11779760551717547</v>
      </c>
      <c r="O1010">
        <f t="shared" si="31"/>
        <v>0.37907996939369687</v>
      </c>
    </row>
    <row r="1011" spans="1:15">
      <c r="A1011">
        <v>5263</v>
      </c>
      <c r="B1011">
        <v>5</v>
      </c>
      <c r="C1011">
        <v>10</v>
      </c>
      <c r="D1011">
        <v>13</v>
      </c>
      <c r="E1011">
        <v>3</v>
      </c>
      <c r="F1011">
        <v>8</v>
      </c>
      <c r="G1011">
        <v>16</v>
      </c>
      <c r="H1011" t="s">
        <v>11</v>
      </c>
      <c r="I1011">
        <v>31056</v>
      </c>
      <c r="J1011">
        <v>1</v>
      </c>
      <c r="K1011">
        <v>0</v>
      </c>
      <c r="L1011">
        <v>0</v>
      </c>
      <c r="M1011">
        <v>1</v>
      </c>
      <c r="N1011">
        <f t="shared" si="30"/>
        <v>-0.97166809604083937</v>
      </c>
      <c r="O1011">
        <f t="shared" si="31"/>
        <v>-0.14226479280221796</v>
      </c>
    </row>
    <row r="1012" spans="1:15">
      <c r="A1012">
        <v>5267</v>
      </c>
      <c r="B1012">
        <v>16</v>
      </c>
      <c r="C1012">
        <v>2</v>
      </c>
      <c r="D1012">
        <v>18</v>
      </c>
      <c r="E1012">
        <v>2</v>
      </c>
      <c r="F1012">
        <v>1</v>
      </c>
      <c r="G1012">
        <v>5</v>
      </c>
      <c r="H1012" t="s">
        <v>12</v>
      </c>
      <c r="I1012">
        <v>33986</v>
      </c>
      <c r="J1012">
        <v>1</v>
      </c>
      <c r="K1012">
        <v>0</v>
      </c>
      <c r="L1012">
        <v>1</v>
      </c>
      <c r="M1012">
        <v>0</v>
      </c>
      <c r="N1012">
        <f t="shared" si="30"/>
        <v>-0.83610371392995542</v>
      </c>
      <c r="O1012">
        <f t="shared" si="31"/>
        <v>-0.42144991959204858</v>
      </c>
    </row>
    <row r="1013" spans="1:15">
      <c r="A1013">
        <v>5268</v>
      </c>
      <c r="B1013">
        <v>17</v>
      </c>
      <c r="C1013">
        <v>8</v>
      </c>
      <c r="D1013">
        <v>14</v>
      </c>
      <c r="E1013">
        <v>10</v>
      </c>
      <c r="F1013">
        <v>4</v>
      </c>
      <c r="G1013">
        <v>3</v>
      </c>
      <c r="H1013" t="s">
        <v>11</v>
      </c>
      <c r="I1013">
        <v>29440</v>
      </c>
      <c r="J1013">
        <v>1</v>
      </c>
      <c r="K1013">
        <v>1</v>
      </c>
      <c r="L1013">
        <v>0</v>
      </c>
      <c r="M1013">
        <v>1</v>
      </c>
      <c r="N1013">
        <f t="shared" si="30"/>
        <v>-1.0464367108842483</v>
      </c>
      <c r="O1013">
        <f t="shared" si="31"/>
        <v>-0.15122531708638093</v>
      </c>
    </row>
    <row r="1014" spans="1:15">
      <c r="A1014">
        <v>5272</v>
      </c>
      <c r="B1014">
        <v>378</v>
      </c>
      <c r="C1014">
        <v>0</v>
      </c>
      <c r="D1014">
        <v>88</v>
      </c>
      <c r="E1014">
        <v>19</v>
      </c>
      <c r="F1014">
        <v>4</v>
      </c>
      <c r="G1014">
        <v>73</v>
      </c>
      <c r="H1014" t="s">
        <v>11</v>
      </c>
      <c r="I1014">
        <v>53843</v>
      </c>
      <c r="J1014">
        <v>0</v>
      </c>
      <c r="K1014">
        <v>1</v>
      </c>
      <c r="L1014">
        <v>0</v>
      </c>
      <c r="M1014">
        <v>1</v>
      </c>
      <c r="N1014">
        <f t="shared" si="30"/>
        <v>8.2634148041314803E-2</v>
      </c>
      <c r="O1014">
        <f t="shared" si="31"/>
        <v>0.44400081896202676</v>
      </c>
    </row>
    <row r="1015" spans="1:15">
      <c r="A1015">
        <v>5278</v>
      </c>
      <c r="B1015">
        <v>307</v>
      </c>
      <c r="C1015">
        <v>26</v>
      </c>
      <c r="D1015">
        <v>360</v>
      </c>
      <c r="E1015">
        <v>138</v>
      </c>
      <c r="F1015">
        <v>31</v>
      </c>
      <c r="G1015">
        <v>40</v>
      </c>
      <c r="H1015" t="s">
        <v>11</v>
      </c>
      <c r="I1015">
        <v>82224</v>
      </c>
      <c r="J1015">
        <v>0</v>
      </c>
      <c r="K1015">
        <v>0</v>
      </c>
      <c r="L1015">
        <v>0</v>
      </c>
      <c r="M1015">
        <v>1</v>
      </c>
      <c r="N1015">
        <f t="shared" si="30"/>
        <v>1.3957579462286855</v>
      </c>
      <c r="O1015">
        <f t="shared" si="31"/>
        <v>0.99964535702948809</v>
      </c>
    </row>
    <row r="1016" spans="1:15">
      <c r="A1016">
        <v>5283</v>
      </c>
      <c r="B1016">
        <v>93</v>
      </c>
      <c r="C1016">
        <v>1</v>
      </c>
      <c r="D1016">
        <v>21</v>
      </c>
      <c r="E1016">
        <v>0</v>
      </c>
      <c r="F1016">
        <v>4</v>
      </c>
      <c r="G1016">
        <v>25</v>
      </c>
      <c r="H1016" t="s">
        <v>12</v>
      </c>
      <c r="I1016">
        <v>42473</v>
      </c>
      <c r="J1016">
        <v>1</v>
      </c>
      <c r="K1016">
        <v>1</v>
      </c>
      <c r="L1016">
        <v>1</v>
      </c>
      <c r="M1016">
        <v>0</v>
      </c>
      <c r="N1016">
        <f t="shared" si="30"/>
        <v>-0.44342968288044288</v>
      </c>
      <c r="O1016">
        <f t="shared" si="31"/>
        <v>-0.20538628226398467</v>
      </c>
    </row>
    <row r="1017" spans="1:15">
      <c r="A1017">
        <v>5286</v>
      </c>
      <c r="B1017">
        <v>112</v>
      </c>
      <c r="C1017">
        <v>1</v>
      </c>
      <c r="D1017">
        <v>54</v>
      </c>
      <c r="E1017">
        <v>7</v>
      </c>
      <c r="F1017">
        <v>7</v>
      </c>
      <c r="G1017">
        <v>36</v>
      </c>
      <c r="H1017" t="s">
        <v>12</v>
      </c>
      <c r="I1017">
        <v>41020</v>
      </c>
      <c r="J1017">
        <v>0</v>
      </c>
      <c r="K1017">
        <v>0</v>
      </c>
      <c r="L1017">
        <v>1</v>
      </c>
      <c r="M1017">
        <v>0</v>
      </c>
      <c r="N1017">
        <f t="shared" si="30"/>
        <v>-0.5106566614494239</v>
      </c>
      <c r="O1017">
        <f t="shared" si="31"/>
        <v>-0.37662043421399716</v>
      </c>
    </row>
    <row r="1018" spans="1:15">
      <c r="A1018">
        <v>5287</v>
      </c>
      <c r="B1018">
        <v>45</v>
      </c>
      <c r="C1018">
        <v>2</v>
      </c>
      <c r="D1018">
        <v>26</v>
      </c>
      <c r="E1018">
        <v>4</v>
      </c>
      <c r="F1018">
        <v>1</v>
      </c>
      <c r="G1018">
        <v>1</v>
      </c>
      <c r="H1018" t="s">
        <v>11</v>
      </c>
      <c r="I1018">
        <v>34961</v>
      </c>
      <c r="J1018">
        <v>1</v>
      </c>
      <c r="K1018">
        <v>0</v>
      </c>
      <c r="L1018">
        <v>0</v>
      </c>
      <c r="M1018">
        <v>1</v>
      </c>
      <c r="N1018">
        <f t="shared" si="30"/>
        <v>-0.79099269940500261</v>
      </c>
      <c r="O1018">
        <f t="shared" si="31"/>
        <v>-5.8309469833287289E-2</v>
      </c>
    </row>
    <row r="1019" spans="1:15">
      <c r="A1019">
        <v>5289</v>
      </c>
      <c r="B1019">
        <v>8</v>
      </c>
      <c r="C1019">
        <v>4</v>
      </c>
      <c r="D1019">
        <v>12</v>
      </c>
      <c r="E1019">
        <v>15</v>
      </c>
      <c r="F1019">
        <v>4</v>
      </c>
      <c r="G1019">
        <v>29</v>
      </c>
      <c r="H1019" t="s">
        <v>12</v>
      </c>
      <c r="I1019">
        <v>41658</v>
      </c>
      <c r="J1019">
        <v>1</v>
      </c>
      <c r="K1019">
        <v>1</v>
      </c>
      <c r="L1019">
        <v>1</v>
      </c>
      <c r="M1019">
        <v>0</v>
      </c>
      <c r="N1019">
        <f t="shared" si="30"/>
        <v>-0.48113786425258293</v>
      </c>
      <c r="O1019">
        <f t="shared" si="31"/>
        <v>-0.22164642619494671</v>
      </c>
    </row>
    <row r="1020" spans="1:15">
      <c r="A1020">
        <v>5290</v>
      </c>
      <c r="B1020">
        <v>220</v>
      </c>
      <c r="C1020">
        <v>0</v>
      </c>
      <c r="D1020">
        <v>33</v>
      </c>
      <c r="E1020">
        <v>3</v>
      </c>
      <c r="F1020">
        <v>0</v>
      </c>
      <c r="G1020">
        <v>23</v>
      </c>
      <c r="H1020" t="s">
        <v>11</v>
      </c>
      <c r="I1020">
        <v>41551</v>
      </c>
      <c r="J1020">
        <v>1</v>
      </c>
      <c r="K1020">
        <v>1</v>
      </c>
      <c r="L1020">
        <v>0</v>
      </c>
      <c r="M1020">
        <v>1</v>
      </c>
      <c r="N1020">
        <f t="shared" si="30"/>
        <v>-0.48608850892352651</v>
      </c>
      <c r="O1020">
        <f t="shared" si="31"/>
        <v>8.7835315131169572E-2</v>
      </c>
    </row>
    <row r="1021" spans="1:15">
      <c r="A1021">
        <v>5294</v>
      </c>
      <c r="B1021">
        <v>6</v>
      </c>
      <c r="C1021">
        <v>8</v>
      </c>
      <c r="D1021">
        <v>19</v>
      </c>
      <c r="E1021">
        <v>16</v>
      </c>
      <c r="F1021">
        <v>4</v>
      </c>
      <c r="G1021">
        <v>4</v>
      </c>
      <c r="H1021" t="s">
        <v>12</v>
      </c>
      <c r="I1021">
        <v>18358</v>
      </c>
      <c r="J1021">
        <v>1</v>
      </c>
      <c r="K1021">
        <v>0</v>
      </c>
      <c r="L1021">
        <v>1</v>
      </c>
      <c r="M1021">
        <v>0</v>
      </c>
      <c r="N1021">
        <f t="shared" si="30"/>
        <v>-1.5591754421309429</v>
      </c>
      <c r="O1021">
        <f t="shared" si="31"/>
        <v>-0.61338843845715529</v>
      </c>
    </row>
    <row r="1022" spans="1:15">
      <c r="A1022">
        <v>5299</v>
      </c>
      <c r="B1022">
        <v>1181</v>
      </c>
      <c r="C1022">
        <v>107</v>
      </c>
      <c r="D1022">
        <v>199</v>
      </c>
      <c r="E1022">
        <v>39</v>
      </c>
      <c r="F1022">
        <v>30</v>
      </c>
      <c r="G1022">
        <v>30</v>
      </c>
      <c r="H1022" t="s">
        <v>11</v>
      </c>
      <c r="I1022">
        <v>69084</v>
      </c>
      <c r="J1022">
        <v>1</v>
      </c>
      <c r="K1022">
        <v>0</v>
      </c>
      <c r="L1022">
        <v>0</v>
      </c>
      <c r="M1022">
        <v>1</v>
      </c>
      <c r="N1022">
        <f t="shared" si="30"/>
        <v>0.78780027355393656</v>
      </c>
      <c r="O1022">
        <f t="shared" si="31"/>
        <v>0.74926968862795129</v>
      </c>
    </row>
    <row r="1023" spans="1:15">
      <c r="A1023">
        <v>5300</v>
      </c>
      <c r="B1023">
        <v>19</v>
      </c>
      <c r="C1023">
        <v>7</v>
      </c>
      <c r="D1023">
        <v>19</v>
      </c>
      <c r="E1023">
        <v>0</v>
      </c>
      <c r="F1023">
        <v>1</v>
      </c>
      <c r="G1023">
        <v>24</v>
      </c>
      <c r="H1023" t="s">
        <v>11</v>
      </c>
      <c r="I1023">
        <v>38961</v>
      </c>
      <c r="J1023">
        <v>1</v>
      </c>
      <c r="K1023">
        <v>0</v>
      </c>
      <c r="L1023">
        <v>0</v>
      </c>
      <c r="M1023">
        <v>1</v>
      </c>
      <c r="N1023">
        <f t="shared" si="30"/>
        <v>-0.60592187058468328</v>
      </c>
      <c r="O1023">
        <f t="shared" si="31"/>
        <v>3.8202499980259055E-2</v>
      </c>
    </row>
    <row r="1024" spans="1:15">
      <c r="A1024">
        <v>5302</v>
      </c>
      <c r="B1024">
        <v>298</v>
      </c>
      <c r="C1024">
        <v>27</v>
      </c>
      <c r="D1024">
        <v>697</v>
      </c>
      <c r="E1024">
        <v>216</v>
      </c>
      <c r="F1024">
        <v>24</v>
      </c>
      <c r="G1024">
        <v>166</v>
      </c>
      <c r="H1024" t="s">
        <v>11</v>
      </c>
      <c r="I1024">
        <v>78394</v>
      </c>
      <c r="J1024">
        <v>0</v>
      </c>
      <c r="K1024">
        <v>0</v>
      </c>
      <c r="L1024">
        <v>0</v>
      </c>
      <c r="M1024">
        <v>1</v>
      </c>
      <c r="N1024">
        <f t="shared" si="30"/>
        <v>1.2185526276332297</v>
      </c>
      <c r="O1024">
        <f t="shared" si="31"/>
        <v>0.99575706820034671</v>
      </c>
    </row>
    <row r="1025" spans="1:15">
      <c r="A1025">
        <v>5303</v>
      </c>
      <c r="B1025">
        <v>471</v>
      </c>
      <c r="C1025">
        <v>0</v>
      </c>
      <c r="D1025">
        <v>510</v>
      </c>
      <c r="E1025">
        <v>99</v>
      </c>
      <c r="F1025">
        <v>21</v>
      </c>
      <c r="G1025">
        <v>12</v>
      </c>
      <c r="H1025" t="s">
        <v>11</v>
      </c>
      <c r="I1025">
        <v>79632</v>
      </c>
      <c r="J1025">
        <v>0</v>
      </c>
      <c r="K1025">
        <v>0</v>
      </c>
      <c r="L1025">
        <v>0</v>
      </c>
      <c r="M1025">
        <v>1</v>
      </c>
      <c r="N1025">
        <f t="shared" si="30"/>
        <v>1.2758320491531185</v>
      </c>
      <c r="O1025">
        <f t="shared" si="31"/>
        <v>0.99756959510367627</v>
      </c>
    </row>
    <row r="1026" spans="1:15">
      <c r="A1026">
        <v>5304</v>
      </c>
      <c r="B1026">
        <v>24</v>
      </c>
      <c r="C1026">
        <v>0</v>
      </c>
      <c r="D1026">
        <v>8</v>
      </c>
      <c r="E1026">
        <v>0</v>
      </c>
      <c r="F1026">
        <v>0</v>
      </c>
      <c r="G1026">
        <v>1</v>
      </c>
      <c r="H1026" t="s">
        <v>12</v>
      </c>
      <c r="I1026">
        <v>30899</v>
      </c>
      <c r="J1026">
        <v>1</v>
      </c>
      <c r="K1026">
        <v>0</v>
      </c>
      <c r="L1026">
        <v>1</v>
      </c>
      <c r="M1026">
        <v>0</v>
      </c>
      <c r="N1026">
        <f t="shared" si="30"/>
        <v>-0.97893212607203683</v>
      </c>
      <c r="O1026">
        <f t="shared" si="31"/>
        <v>-0.47132853069633612</v>
      </c>
    </row>
    <row r="1027" spans="1:15">
      <c r="A1027">
        <v>5313</v>
      </c>
      <c r="B1027">
        <v>30</v>
      </c>
      <c r="C1027">
        <v>0</v>
      </c>
      <c r="D1027">
        <v>11</v>
      </c>
      <c r="E1027">
        <v>0</v>
      </c>
      <c r="F1027">
        <v>0</v>
      </c>
      <c r="G1027">
        <v>3</v>
      </c>
      <c r="H1027" t="s">
        <v>11</v>
      </c>
      <c r="I1027">
        <v>38196</v>
      </c>
      <c r="J1027">
        <v>1</v>
      </c>
      <c r="K1027">
        <v>1</v>
      </c>
      <c r="L1027">
        <v>0</v>
      </c>
      <c r="M1027">
        <v>1</v>
      </c>
      <c r="N1027">
        <f t="shared" ref="N1027:N1090" si="32">STANDARDIZE(I1027,$Q$1,$R$1)</f>
        <v>-0.64131666659656927</v>
      </c>
      <c r="O1027">
        <f t="shared" ref="O1027:O1090" si="33">SUMPRODUCT(J1027:N1027,$Q$4:$U$4) / SQRT(SUMSQ(J1027:N1027) * SUMSQ($Q$4:$U$4))</f>
        <v>1.5953404294920936E-2</v>
      </c>
    </row>
    <row r="1028" spans="1:15">
      <c r="A1028">
        <v>5316</v>
      </c>
      <c r="B1028">
        <v>36</v>
      </c>
      <c r="C1028">
        <v>4</v>
      </c>
      <c r="D1028">
        <v>18</v>
      </c>
      <c r="E1028">
        <v>6</v>
      </c>
      <c r="F1028">
        <v>2</v>
      </c>
      <c r="G1028">
        <v>18</v>
      </c>
      <c r="H1028" t="s">
        <v>11</v>
      </c>
      <c r="I1028">
        <v>21024</v>
      </c>
      <c r="J1028">
        <v>0</v>
      </c>
      <c r="K1028">
        <v>0</v>
      </c>
      <c r="L1028">
        <v>0</v>
      </c>
      <c r="M1028">
        <v>1</v>
      </c>
      <c r="N1028">
        <f t="shared" si="32"/>
        <v>-1.4358257347222001</v>
      </c>
      <c r="O1028">
        <f t="shared" si="33"/>
        <v>-0.3591860707092574</v>
      </c>
    </row>
    <row r="1029" spans="1:15">
      <c r="A1029">
        <v>5320</v>
      </c>
      <c r="B1029">
        <v>79</v>
      </c>
      <c r="C1029">
        <v>7</v>
      </c>
      <c r="D1029">
        <v>58</v>
      </c>
      <c r="E1029">
        <v>6</v>
      </c>
      <c r="F1029">
        <v>3</v>
      </c>
      <c r="G1029">
        <v>18</v>
      </c>
      <c r="H1029" t="s">
        <v>12</v>
      </c>
      <c r="I1029">
        <v>44051</v>
      </c>
      <c r="J1029">
        <v>1</v>
      </c>
      <c r="K1029">
        <v>1</v>
      </c>
      <c r="L1029">
        <v>1</v>
      </c>
      <c r="M1029">
        <v>0</v>
      </c>
      <c r="N1029">
        <f t="shared" si="32"/>
        <v>-0.3704192409108269</v>
      </c>
      <c r="O1029">
        <f t="shared" si="33"/>
        <v>-0.1731867106054743</v>
      </c>
    </row>
    <row r="1030" spans="1:15">
      <c r="A1030">
        <v>5324</v>
      </c>
      <c r="B1030">
        <v>173</v>
      </c>
      <c r="C1030">
        <v>43</v>
      </c>
      <c r="D1030">
        <v>118</v>
      </c>
      <c r="E1030">
        <v>46</v>
      </c>
      <c r="F1030">
        <v>27</v>
      </c>
      <c r="G1030">
        <v>15</v>
      </c>
      <c r="H1030" t="s">
        <v>11</v>
      </c>
      <c r="I1030">
        <v>58293</v>
      </c>
      <c r="J1030">
        <v>1</v>
      </c>
      <c r="K1030">
        <v>0</v>
      </c>
      <c r="L1030">
        <v>0</v>
      </c>
      <c r="M1030">
        <v>1</v>
      </c>
      <c r="N1030">
        <f t="shared" si="32"/>
        <v>0.28852544510392003</v>
      </c>
      <c r="O1030">
        <f t="shared" si="33"/>
        <v>0.55391129555444008</v>
      </c>
    </row>
    <row r="1031" spans="1:15">
      <c r="A1031">
        <v>5329</v>
      </c>
      <c r="B1031">
        <v>8</v>
      </c>
      <c r="C1031">
        <v>0</v>
      </c>
      <c r="D1031">
        <v>3</v>
      </c>
      <c r="E1031">
        <v>0</v>
      </c>
      <c r="F1031">
        <v>0</v>
      </c>
      <c r="G1031">
        <v>0</v>
      </c>
      <c r="H1031" t="s">
        <v>12</v>
      </c>
      <c r="I1031">
        <v>35946</v>
      </c>
      <c r="J1031">
        <v>1</v>
      </c>
      <c r="K1031">
        <v>1</v>
      </c>
      <c r="L1031">
        <v>1</v>
      </c>
      <c r="M1031">
        <v>0</v>
      </c>
      <c r="N1031">
        <f t="shared" si="32"/>
        <v>-0.74541900780799897</v>
      </c>
      <c r="O1031">
        <f t="shared" si="33"/>
        <v>-0.3273662031361162</v>
      </c>
    </row>
    <row r="1032" spans="1:15">
      <c r="A1032">
        <v>5331</v>
      </c>
      <c r="B1032">
        <v>587</v>
      </c>
      <c r="C1032">
        <v>51</v>
      </c>
      <c r="D1032">
        <v>898</v>
      </c>
      <c r="E1032">
        <v>247</v>
      </c>
      <c r="F1032">
        <v>0</v>
      </c>
      <c r="G1032">
        <v>86</v>
      </c>
      <c r="H1032" t="s">
        <v>11</v>
      </c>
      <c r="I1032">
        <v>74985</v>
      </c>
      <c r="J1032">
        <v>0</v>
      </c>
      <c r="K1032">
        <v>0</v>
      </c>
      <c r="L1032">
        <v>0</v>
      </c>
      <c r="M1032">
        <v>1</v>
      </c>
      <c r="N1032">
        <f t="shared" si="32"/>
        <v>1.0608260137711125</v>
      </c>
      <c r="O1032">
        <f t="shared" si="33"/>
        <v>0.98709325337146592</v>
      </c>
    </row>
    <row r="1033" spans="1:15">
      <c r="A1033">
        <v>5332</v>
      </c>
      <c r="B1033">
        <v>362</v>
      </c>
      <c r="C1033">
        <v>50</v>
      </c>
      <c r="D1033">
        <v>431</v>
      </c>
      <c r="E1033">
        <v>134</v>
      </c>
      <c r="F1033">
        <v>35</v>
      </c>
      <c r="G1033">
        <v>54</v>
      </c>
      <c r="H1033" t="s">
        <v>11</v>
      </c>
      <c r="I1033">
        <v>82504</v>
      </c>
      <c r="J1033">
        <v>0</v>
      </c>
      <c r="K1033">
        <v>0</v>
      </c>
      <c r="L1033">
        <v>0</v>
      </c>
      <c r="M1033">
        <v>1</v>
      </c>
      <c r="N1033">
        <f t="shared" si="32"/>
        <v>1.408712904246108</v>
      </c>
      <c r="O1033">
        <f t="shared" si="33"/>
        <v>0.99975212857212137</v>
      </c>
    </row>
    <row r="1034" spans="1:15">
      <c r="A1034">
        <v>5336</v>
      </c>
      <c r="B1034">
        <v>39</v>
      </c>
      <c r="C1034">
        <v>1</v>
      </c>
      <c r="D1034">
        <v>9</v>
      </c>
      <c r="E1034">
        <v>2</v>
      </c>
      <c r="F1034">
        <v>0</v>
      </c>
      <c r="G1034">
        <v>8</v>
      </c>
      <c r="H1034" t="s">
        <v>11</v>
      </c>
      <c r="I1034">
        <v>157733</v>
      </c>
      <c r="J1034">
        <v>1</v>
      </c>
      <c r="K1034">
        <v>0</v>
      </c>
      <c r="L1034">
        <v>0</v>
      </c>
      <c r="M1034">
        <v>1</v>
      </c>
      <c r="N1034">
        <f t="shared" si="32"/>
        <v>4.8893862495770586</v>
      </c>
      <c r="O1034">
        <f t="shared" si="33"/>
        <v>0.90564337182858712</v>
      </c>
    </row>
    <row r="1035" spans="1:15">
      <c r="A1035">
        <v>5341</v>
      </c>
      <c r="B1035">
        <v>983</v>
      </c>
      <c r="C1035">
        <v>76</v>
      </c>
      <c r="D1035">
        <v>184</v>
      </c>
      <c r="E1035">
        <v>180</v>
      </c>
      <c r="F1035">
        <v>138</v>
      </c>
      <c r="G1035">
        <v>27</v>
      </c>
      <c r="H1035" t="s">
        <v>12</v>
      </c>
      <c r="I1035">
        <v>81975</v>
      </c>
      <c r="J1035">
        <v>0</v>
      </c>
      <c r="K1035">
        <v>1</v>
      </c>
      <c r="L1035">
        <v>1</v>
      </c>
      <c r="M1035">
        <v>0</v>
      </c>
      <c r="N1035">
        <f t="shared" si="32"/>
        <v>1.3842372871346207</v>
      </c>
      <c r="O1035">
        <f t="shared" si="33"/>
        <v>0.57926300608124603</v>
      </c>
    </row>
    <row r="1036" spans="1:15">
      <c r="A1036">
        <v>5342</v>
      </c>
      <c r="B1036">
        <v>0</v>
      </c>
      <c r="C1036">
        <v>1</v>
      </c>
      <c r="D1036">
        <v>3</v>
      </c>
      <c r="E1036">
        <v>10</v>
      </c>
      <c r="F1036">
        <v>6</v>
      </c>
      <c r="G1036">
        <v>9</v>
      </c>
      <c r="H1036" t="s">
        <v>12</v>
      </c>
      <c r="I1036">
        <v>9548</v>
      </c>
      <c r="J1036">
        <v>1</v>
      </c>
      <c r="K1036">
        <v>0</v>
      </c>
      <c r="L1036">
        <v>1</v>
      </c>
      <c r="M1036">
        <v>0</v>
      </c>
      <c r="N1036">
        <f t="shared" si="32"/>
        <v>-1.9667939426076964</v>
      </c>
      <c r="O1036">
        <f t="shared" si="33"/>
        <v>-0.67235146753769703</v>
      </c>
    </row>
    <row r="1037" spans="1:15">
      <c r="A1037">
        <v>5346</v>
      </c>
      <c r="B1037">
        <v>25</v>
      </c>
      <c r="C1037">
        <v>5</v>
      </c>
      <c r="D1037">
        <v>19</v>
      </c>
      <c r="E1037">
        <v>7</v>
      </c>
      <c r="F1037">
        <v>0</v>
      </c>
      <c r="G1037">
        <v>23</v>
      </c>
      <c r="H1037" t="s">
        <v>11</v>
      </c>
      <c r="I1037">
        <v>23559</v>
      </c>
      <c r="J1037">
        <v>1</v>
      </c>
      <c r="K1037">
        <v>0</v>
      </c>
      <c r="L1037">
        <v>0</v>
      </c>
      <c r="M1037">
        <v>1</v>
      </c>
      <c r="N1037">
        <f t="shared" si="32"/>
        <v>-1.3185370969573229</v>
      </c>
      <c r="O1037">
        <f t="shared" si="33"/>
        <v>-0.27481016382829909</v>
      </c>
    </row>
    <row r="1038" spans="1:15">
      <c r="A1038">
        <v>5350</v>
      </c>
      <c r="B1038">
        <v>1156</v>
      </c>
      <c r="C1038">
        <v>120</v>
      </c>
      <c r="D1038">
        <v>915</v>
      </c>
      <c r="E1038">
        <v>94</v>
      </c>
      <c r="F1038">
        <v>144</v>
      </c>
      <c r="G1038">
        <v>96</v>
      </c>
      <c r="H1038" t="s">
        <v>12</v>
      </c>
      <c r="I1038">
        <v>90638</v>
      </c>
      <c r="J1038">
        <v>0</v>
      </c>
      <c r="K1038">
        <v>0</v>
      </c>
      <c r="L1038">
        <v>1</v>
      </c>
      <c r="M1038">
        <v>0</v>
      </c>
      <c r="N1038">
        <f t="shared" si="32"/>
        <v>1.7850544346522272</v>
      </c>
      <c r="O1038">
        <f t="shared" si="33"/>
        <v>0.72247521138011395</v>
      </c>
    </row>
    <row r="1039" spans="1:15">
      <c r="A1039">
        <v>5370</v>
      </c>
      <c r="B1039">
        <v>239</v>
      </c>
      <c r="C1039">
        <v>3</v>
      </c>
      <c r="D1039">
        <v>141</v>
      </c>
      <c r="E1039">
        <v>0</v>
      </c>
      <c r="F1039">
        <v>7</v>
      </c>
      <c r="G1039">
        <v>23</v>
      </c>
      <c r="H1039" t="s">
        <v>11</v>
      </c>
      <c r="I1039">
        <v>32644</v>
      </c>
      <c r="J1039">
        <v>1</v>
      </c>
      <c r="K1039">
        <v>0</v>
      </c>
      <c r="L1039">
        <v>0</v>
      </c>
      <c r="M1039">
        <v>1</v>
      </c>
      <c r="N1039">
        <f t="shared" si="32"/>
        <v>-0.8981949769991725</v>
      </c>
      <c r="O1039">
        <f t="shared" si="33"/>
        <v>-0.10938721161646421</v>
      </c>
    </row>
    <row r="1040" spans="1:15">
      <c r="A1040">
        <v>5371</v>
      </c>
      <c r="B1040">
        <v>6</v>
      </c>
      <c r="C1040">
        <v>16</v>
      </c>
      <c r="D1040">
        <v>24</v>
      </c>
      <c r="E1040">
        <v>11</v>
      </c>
      <c r="F1040">
        <v>0</v>
      </c>
      <c r="G1040">
        <v>34</v>
      </c>
      <c r="H1040" t="s">
        <v>12</v>
      </c>
      <c r="I1040">
        <v>21474</v>
      </c>
      <c r="J1040">
        <v>1</v>
      </c>
      <c r="K1040">
        <v>0</v>
      </c>
      <c r="L1040">
        <v>1</v>
      </c>
      <c r="M1040">
        <v>0</v>
      </c>
      <c r="N1040">
        <f t="shared" si="32"/>
        <v>-1.4150052664799142</v>
      </c>
      <c r="O1040">
        <f t="shared" si="33"/>
        <v>-0.58573253445695928</v>
      </c>
    </row>
    <row r="1041" spans="1:15">
      <c r="A1041">
        <v>5376</v>
      </c>
      <c r="B1041">
        <v>1</v>
      </c>
      <c r="C1041">
        <v>1</v>
      </c>
      <c r="D1041">
        <v>1725</v>
      </c>
      <c r="E1041">
        <v>1</v>
      </c>
      <c r="F1041">
        <v>1</v>
      </c>
      <c r="G1041">
        <v>1</v>
      </c>
      <c r="H1041" t="s">
        <v>11</v>
      </c>
      <c r="I1041">
        <v>2447</v>
      </c>
      <c r="J1041">
        <v>1</v>
      </c>
      <c r="K1041">
        <v>0</v>
      </c>
      <c r="L1041">
        <v>0</v>
      </c>
      <c r="M1041">
        <v>1</v>
      </c>
      <c r="N1041">
        <f t="shared" si="32"/>
        <v>-2.2953409314709683</v>
      </c>
      <c r="O1041">
        <f t="shared" si="33"/>
        <v>-0.49712454997610256</v>
      </c>
    </row>
    <row r="1042" spans="1:15">
      <c r="A1042">
        <v>5386</v>
      </c>
      <c r="B1042">
        <v>1111</v>
      </c>
      <c r="C1042">
        <v>24</v>
      </c>
      <c r="D1042">
        <v>790</v>
      </c>
      <c r="E1042">
        <v>160</v>
      </c>
      <c r="F1042">
        <v>45</v>
      </c>
      <c r="G1042">
        <v>172</v>
      </c>
      <c r="H1042" t="s">
        <v>11</v>
      </c>
      <c r="I1042">
        <v>94384</v>
      </c>
      <c r="J1042">
        <v>0</v>
      </c>
      <c r="K1042">
        <v>0</v>
      </c>
      <c r="L1042">
        <v>0</v>
      </c>
      <c r="M1042">
        <v>1</v>
      </c>
      <c r="N1042">
        <f t="shared" si="32"/>
        <v>1.9583732658424562</v>
      </c>
      <c r="O1042">
        <f t="shared" si="33"/>
        <v>0.99245256846994179</v>
      </c>
    </row>
    <row r="1043" spans="1:15">
      <c r="A1043">
        <v>5389</v>
      </c>
      <c r="B1043">
        <v>238</v>
      </c>
      <c r="C1043">
        <v>17</v>
      </c>
      <c r="D1043">
        <v>68</v>
      </c>
      <c r="E1043">
        <v>8</v>
      </c>
      <c r="F1043">
        <v>10</v>
      </c>
      <c r="G1043">
        <v>6</v>
      </c>
      <c r="H1043" t="s">
        <v>11</v>
      </c>
      <c r="I1043">
        <v>48920</v>
      </c>
      <c r="J1043">
        <v>0</v>
      </c>
      <c r="K1043">
        <v>2</v>
      </c>
      <c r="L1043">
        <v>0</v>
      </c>
      <c r="M1043">
        <v>1</v>
      </c>
      <c r="N1043">
        <f t="shared" si="32"/>
        <v>-0.14514177452929322</v>
      </c>
      <c r="O1043">
        <f t="shared" si="33"/>
        <v>0.19652024224326636</v>
      </c>
    </row>
    <row r="1044" spans="1:15">
      <c r="A1044">
        <v>5393</v>
      </c>
      <c r="B1044">
        <v>22</v>
      </c>
      <c r="C1044">
        <v>0</v>
      </c>
      <c r="D1044">
        <v>6</v>
      </c>
      <c r="E1044">
        <v>6</v>
      </c>
      <c r="F1044">
        <v>2</v>
      </c>
      <c r="G1044">
        <v>6</v>
      </c>
      <c r="H1044" t="s">
        <v>12</v>
      </c>
      <c r="I1044">
        <v>23763</v>
      </c>
      <c r="J1044">
        <v>1</v>
      </c>
      <c r="K1044">
        <v>0</v>
      </c>
      <c r="L1044">
        <v>1</v>
      </c>
      <c r="M1044">
        <v>0</v>
      </c>
      <c r="N1044">
        <f t="shared" si="32"/>
        <v>-1.3090984846874865</v>
      </c>
      <c r="O1044">
        <f t="shared" si="33"/>
        <v>-0.56254787734404221</v>
      </c>
    </row>
    <row r="1045" spans="1:15">
      <c r="A1045">
        <v>5394</v>
      </c>
      <c r="B1045">
        <v>3</v>
      </c>
      <c r="C1045">
        <v>9</v>
      </c>
      <c r="D1045">
        <v>4</v>
      </c>
      <c r="E1045">
        <v>7</v>
      </c>
      <c r="F1045">
        <v>8</v>
      </c>
      <c r="G1045">
        <v>7</v>
      </c>
      <c r="H1045" t="s">
        <v>12</v>
      </c>
      <c r="I1045">
        <v>16014</v>
      </c>
      <c r="J1045">
        <v>1</v>
      </c>
      <c r="K1045">
        <v>1</v>
      </c>
      <c r="L1045">
        <v>1</v>
      </c>
      <c r="M1045">
        <v>0</v>
      </c>
      <c r="N1045">
        <f t="shared" si="32"/>
        <v>-1.6676269478196502</v>
      </c>
      <c r="O1045">
        <f t="shared" si="33"/>
        <v>-0.57436905659798498</v>
      </c>
    </row>
    <row r="1046" spans="1:15">
      <c r="A1046">
        <v>5396</v>
      </c>
      <c r="B1046">
        <v>758</v>
      </c>
      <c r="C1046">
        <v>12</v>
      </c>
      <c r="D1046">
        <v>385</v>
      </c>
      <c r="E1046">
        <v>33</v>
      </c>
      <c r="F1046">
        <v>89</v>
      </c>
      <c r="G1046">
        <v>89</v>
      </c>
      <c r="H1046" t="s">
        <v>11</v>
      </c>
      <c r="I1046">
        <v>68487</v>
      </c>
      <c r="J1046">
        <v>0</v>
      </c>
      <c r="K1046">
        <v>0</v>
      </c>
      <c r="L1046">
        <v>0</v>
      </c>
      <c r="M1046">
        <v>1</v>
      </c>
      <c r="N1046">
        <f t="shared" si="32"/>
        <v>0.76017845235250381</v>
      </c>
      <c r="O1046">
        <f t="shared" si="33"/>
        <v>0.94740762184033278</v>
      </c>
    </row>
    <row r="1047" spans="1:15">
      <c r="A1047">
        <v>5407</v>
      </c>
      <c r="B1047">
        <v>729</v>
      </c>
      <c r="C1047">
        <v>17</v>
      </c>
      <c r="D1047">
        <v>133</v>
      </c>
      <c r="E1047">
        <v>11</v>
      </c>
      <c r="F1047">
        <v>0</v>
      </c>
      <c r="G1047">
        <v>195</v>
      </c>
      <c r="H1047" t="s">
        <v>11</v>
      </c>
      <c r="I1047">
        <v>53103</v>
      </c>
      <c r="J1047">
        <v>0</v>
      </c>
      <c r="K1047">
        <v>1</v>
      </c>
      <c r="L1047">
        <v>0</v>
      </c>
      <c r="M1047">
        <v>1</v>
      </c>
      <c r="N1047">
        <f t="shared" si="32"/>
        <v>4.8396044709555726E-2</v>
      </c>
      <c r="O1047">
        <f t="shared" si="33"/>
        <v>0.4244608976962827</v>
      </c>
    </row>
    <row r="1048" spans="1:15">
      <c r="A1048">
        <v>5423</v>
      </c>
      <c r="B1048">
        <v>6</v>
      </c>
      <c r="C1048">
        <v>0</v>
      </c>
      <c r="D1048">
        <v>5</v>
      </c>
      <c r="E1048">
        <v>2</v>
      </c>
      <c r="F1048">
        <v>1</v>
      </c>
      <c r="G1048">
        <v>2</v>
      </c>
      <c r="H1048" t="s">
        <v>11</v>
      </c>
      <c r="I1048">
        <v>28359</v>
      </c>
      <c r="J1048">
        <v>1</v>
      </c>
      <c r="K1048">
        <v>0</v>
      </c>
      <c r="L1048">
        <v>0</v>
      </c>
      <c r="M1048">
        <v>1</v>
      </c>
      <c r="N1048">
        <f t="shared" si="32"/>
        <v>-1.0964521023729397</v>
      </c>
      <c r="O1048">
        <f t="shared" si="33"/>
        <v>-0.19415846233103715</v>
      </c>
    </row>
    <row r="1049" spans="1:15">
      <c r="A1049">
        <v>5429</v>
      </c>
      <c r="B1049">
        <v>145</v>
      </c>
      <c r="C1049">
        <v>1</v>
      </c>
      <c r="D1049">
        <v>33</v>
      </c>
      <c r="E1049">
        <v>2</v>
      </c>
      <c r="F1049">
        <v>1</v>
      </c>
      <c r="G1049">
        <v>1</v>
      </c>
      <c r="H1049" t="s">
        <v>11</v>
      </c>
      <c r="I1049">
        <v>45579</v>
      </c>
      <c r="J1049">
        <v>0</v>
      </c>
      <c r="K1049">
        <v>1</v>
      </c>
      <c r="L1049">
        <v>0</v>
      </c>
      <c r="M1049">
        <v>1</v>
      </c>
      <c r="N1049">
        <f t="shared" si="32"/>
        <v>-0.29972218430146491</v>
      </c>
      <c r="O1049">
        <f t="shared" si="33"/>
        <v>0.21606310594889219</v>
      </c>
    </row>
    <row r="1050" spans="1:15">
      <c r="A1050">
        <v>5430</v>
      </c>
      <c r="B1050">
        <v>454</v>
      </c>
      <c r="C1050">
        <v>0</v>
      </c>
      <c r="D1050">
        <v>171</v>
      </c>
      <c r="E1050">
        <v>8</v>
      </c>
      <c r="F1050">
        <v>19</v>
      </c>
      <c r="G1050">
        <v>32</v>
      </c>
      <c r="H1050" t="s">
        <v>11</v>
      </c>
      <c r="I1050">
        <v>54450</v>
      </c>
      <c r="J1050">
        <v>1</v>
      </c>
      <c r="K1050">
        <v>1</v>
      </c>
      <c r="L1050">
        <v>0</v>
      </c>
      <c r="M1050">
        <v>1</v>
      </c>
      <c r="N1050">
        <f t="shared" si="32"/>
        <v>0.11071864631479826</v>
      </c>
      <c r="O1050">
        <f t="shared" si="33"/>
        <v>0.37580408181829955</v>
      </c>
    </row>
    <row r="1051" spans="1:15">
      <c r="A1051">
        <v>5441</v>
      </c>
      <c r="B1051">
        <v>267</v>
      </c>
      <c r="C1051">
        <v>6</v>
      </c>
      <c r="D1051">
        <v>54</v>
      </c>
      <c r="E1051">
        <v>8</v>
      </c>
      <c r="F1051">
        <v>3</v>
      </c>
      <c r="G1051">
        <v>50</v>
      </c>
      <c r="H1051" t="s">
        <v>12</v>
      </c>
      <c r="I1051">
        <v>54111</v>
      </c>
      <c r="J1051">
        <v>0</v>
      </c>
      <c r="K1051">
        <v>1</v>
      </c>
      <c r="L1051">
        <v>1</v>
      </c>
      <c r="M1051">
        <v>0</v>
      </c>
      <c r="N1051">
        <f t="shared" si="32"/>
        <v>9.5033893572276193E-2</v>
      </c>
      <c r="O1051">
        <f t="shared" si="33"/>
        <v>5.5523649790322184E-2</v>
      </c>
    </row>
    <row r="1052" spans="1:15">
      <c r="A1052">
        <v>5453</v>
      </c>
      <c r="B1052">
        <v>1083</v>
      </c>
      <c r="C1052">
        <v>108</v>
      </c>
      <c r="D1052">
        <v>649</v>
      </c>
      <c r="E1052">
        <v>253</v>
      </c>
      <c r="F1052">
        <v>151</v>
      </c>
      <c r="G1052">
        <v>108</v>
      </c>
      <c r="H1052" t="s">
        <v>11</v>
      </c>
      <c r="I1052">
        <v>90226</v>
      </c>
      <c r="J1052">
        <v>0</v>
      </c>
      <c r="K1052">
        <v>0</v>
      </c>
      <c r="L1052">
        <v>0</v>
      </c>
      <c r="M1052">
        <v>1</v>
      </c>
      <c r="N1052">
        <f t="shared" si="32"/>
        <v>1.7659921392837343</v>
      </c>
      <c r="O1052">
        <f t="shared" si="33"/>
        <v>0.99681641429517798</v>
      </c>
    </row>
    <row r="1053" spans="1:15">
      <c r="A1053">
        <v>5454</v>
      </c>
      <c r="B1053">
        <v>37</v>
      </c>
      <c r="C1053">
        <v>0</v>
      </c>
      <c r="D1053">
        <v>7</v>
      </c>
      <c r="E1053">
        <v>3</v>
      </c>
      <c r="F1053">
        <v>0</v>
      </c>
      <c r="G1053">
        <v>3</v>
      </c>
      <c r="H1053" t="s">
        <v>11</v>
      </c>
      <c r="I1053">
        <v>45057</v>
      </c>
      <c r="J1053">
        <v>1</v>
      </c>
      <c r="K1053">
        <v>0</v>
      </c>
      <c r="L1053">
        <v>0</v>
      </c>
      <c r="M1053">
        <v>1</v>
      </c>
      <c r="N1053">
        <f t="shared" si="32"/>
        <v>-0.32387392746251659</v>
      </c>
      <c r="O1053">
        <f t="shared" si="33"/>
        <v>0.20150311502963858</v>
      </c>
    </row>
    <row r="1054" spans="1:15">
      <c r="A1054">
        <v>5455</v>
      </c>
      <c r="B1054">
        <v>99</v>
      </c>
      <c r="C1054">
        <v>0</v>
      </c>
      <c r="D1054">
        <v>15</v>
      </c>
      <c r="E1054">
        <v>2</v>
      </c>
      <c r="F1054">
        <v>1</v>
      </c>
      <c r="G1054">
        <v>5</v>
      </c>
      <c r="H1054" t="s">
        <v>11</v>
      </c>
      <c r="I1054">
        <v>32011</v>
      </c>
      <c r="J1054">
        <v>1</v>
      </c>
      <c r="K1054">
        <v>0</v>
      </c>
      <c r="L1054">
        <v>0</v>
      </c>
      <c r="M1054">
        <v>1</v>
      </c>
      <c r="N1054">
        <f t="shared" si="32"/>
        <v>-0.92748243565998811</v>
      </c>
      <c r="O1054">
        <f t="shared" si="33"/>
        <v>-0.12270077582128909</v>
      </c>
    </row>
    <row r="1055" spans="1:15">
      <c r="A1055">
        <v>5462</v>
      </c>
      <c r="B1055">
        <v>757</v>
      </c>
      <c r="C1055">
        <v>80</v>
      </c>
      <c r="D1055">
        <v>217</v>
      </c>
      <c r="E1055">
        <v>29</v>
      </c>
      <c r="F1055">
        <v>80</v>
      </c>
      <c r="G1055">
        <v>11</v>
      </c>
      <c r="H1055" t="s">
        <v>11</v>
      </c>
      <c r="I1055">
        <v>67445</v>
      </c>
      <c r="J1055">
        <v>0</v>
      </c>
      <c r="K1055">
        <v>1</v>
      </c>
      <c r="L1055">
        <v>0</v>
      </c>
      <c r="M1055">
        <v>1</v>
      </c>
      <c r="N1055">
        <f t="shared" si="32"/>
        <v>0.71196750144481069</v>
      </c>
      <c r="O1055">
        <f t="shared" si="33"/>
        <v>0.72641477163370272</v>
      </c>
    </row>
    <row r="1056" spans="1:15">
      <c r="A1056">
        <v>5474</v>
      </c>
      <c r="B1056">
        <v>45</v>
      </c>
      <c r="C1056">
        <v>7</v>
      </c>
      <c r="D1056">
        <v>99</v>
      </c>
      <c r="E1056">
        <v>4</v>
      </c>
      <c r="F1056">
        <v>25</v>
      </c>
      <c r="G1056">
        <v>43</v>
      </c>
      <c r="H1056" t="s">
        <v>12</v>
      </c>
      <c r="I1056">
        <v>43020</v>
      </c>
      <c r="J1056">
        <v>1</v>
      </c>
      <c r="K1056">
        <v>0</v>
      </c>
      <c r="L1056">
        <v>1</v>
      </c>
      <c r="M1056">
        <v>0</v>
      </c>
      <c r="N1056">
        <f t="shared" si="32"/>
        <v>-0.41812124703926423</v>
      </c>
      <c r="O1056">
        <f t="shared" si="33"/>
        <v>-0.23479178155663119</v>
      </c>
    </row>
    <row r="1057" spans="1:15">
      <c r="A1057">
        <v>5491</v>
      </c>
      <c r="B1057">
        <v>172</v>
      </c>
      <c r="C1057">
        <v>12</v>
      </c>
      <c r="D1057">
        <v>112</v>
      </c>
      <c r="E1057">
        <v>8</v>
      </c>
      <c r="F1057">
        <v>0</v>
      </c>
      <c r="G1057">
        <v>15</v>
      </c>
      <c r="H1057" t="s">
        <v>11</v>
      </c>
      <c r="I1057">
        <v>47352</v>
      </c>
      <c r="J1057">
        <v>0</v>
      </c>
      <c r="K1057">
        <v>1</v>
      </c>
      <c r="L1057">
        <v>0</v>
      </c>
      <c r="M1057">
        <v>1</v>
      </c>
      <c r="N1057">
        <f t="shared" si="32"/>
        <v>-0.2176895394268584</v>
      </c>
      <c r="O1057">
        <f t="shared" si="33"/>
        <v>0.26576781001651517</v>
      </c>
    </row>
    <row r="1058" spans="1:15">
      <c r="A1058">
        <v>5493</v>
      </c>
      <c r="B1058">
        <v>15</v>
      </c>
      <c r="C1058">
        <v>0</v>
      </c>
      <c r="D1058">
        <v>2</v>
      </c>
      <c r="E1058">
        <v>0</v>
      </c>
      <c r="F1058">
        <v>0</v>
      </c>
      <c r="G1058">
        <v>6</v>
      </c>
      <c r="H1058" t="s">
        <v>11</v>
      </c>
      <c r="I1058">
        <v>39356</v>
      </c>
      <c r="J1058">
        <v>1</v>
      </c>
      <c r="K1058">
        <v>1</v>
      </c>
      <c r="L1058">
        <v>0</v>
      </c>
      <c r="M1058">
        <v>1</v>
      </c>
      <c r="N1058">
        <f t="shared" si="32"/>
        <v>-0.58764612623867674</v>
      </c>
      <c r="O1058">
        <f t="shared" si="33"/>
        <v>4.0410090181470099E-2</v>
      </c>
    </row>
    <row r="1059" spans="1:15">
      <c r="A1059">
        <v>5510</v>
      </c>
      <c r="B1059">
        <v>262</v>
      </c>
      <c r="C1059">
        <v>6</v>
      </c>
      <c r="D1059">
        <v>61</v>
      </c>
      <c r="E1059">
        <v>0</v>
      </c>
      <c r="F1059">
        <v>10</v>
      </c>
      <c r="G1059">
        <v>102</v>
      </c>
      <c r="H1059" t="s">
        <v>11</v>
      </c>
      <c r="I1059">
        <v>43263</v>
      </c>
      <c r="J1059">
        <v>0</v>
      </c>
      <c r="K1059">
        <v>1</v>
      </c>
      <c r="L1059">
        <v>0</v>
      </c>
      <c r="M1059">
        <v>1</v>
      </c>
      <c r="N1059">
        <f t="shared" si="32"/>
        <v>-0.4068781941884298</v>
      </c>
      <c r="O1059">
        <f t="shared" si="33"/>
        <v>0.15195116658588401</v>
      </c>
    </row>
    <row r="1060" spans="1:15">
      <c r="A1060">
        <v>5512</v>
      </c>
      <c r="B1060">
        <v>451</v>
      </c>
      <c r="C1060">
        <v>0</v>
      </c>
      <c r="D1060">
        <v>39</v>
      </c>
      <c r="E1060">
        <v>0</v>
      </c>
      <c r="F1060">
        <v>4</v>
      </c>
      <c r="G1060">
        <v>24</v>
      </c>
      <c r="H1060" t="s">
        <v>11</v>
      </c>
      <c r="I1060">
        <v>55842</v>
      </c>
      <c r="J1060">
        <v>0</v>
      </c>
      <c r="K1060">
        <v>1</v>
      </c>
      <c r="L1060">
        <v>0</v>
      </c>
      <c r="M1060">
        <v>1</v>
      </c>
      <c r="N1060">
        <f t="shared" si="32"/>
        <v>0.17512329474426938</v>
      </c>
      <c r="O1060">
        <f t="shared" si="33"/>
        <v>0.495135097039057</v>
      </c>
    </row>
    <row r="1061" spans="1:15">
      <c r="A1061">
        <v>5519</v>
      </c>
      <c r="B1061">
        <v>316</v>
      </c>
      <c r="C1061">
        <v>58</v>
      </c>
      <c r="D1061">
        <v>161</v>
      </c>
      <c r="E1061">
        <v>76</v>
      </c>
      <c r="F1061">
        <v>51</v>
      </c>
      <c r="G1061">
        <v>135</v>
      </c>
      <c r="H1061" t="s">
        <v>11</v>
      </c>
      <c r="I1061">
        <v>64090</v>
      </c>
      <c r="J1061">
        <v>0</v>
      </c>
      <c r="K1061">
        <v>1</v>
      </c>
      <c r="L1061">
        <v>0</v>
      </c>
      <c r="M1061">
        <v>1</v>
      </c>
      <c r="N1061">
        <f t="shared" si="32"/>
        <v>0.55673934377176781</v>
      </c>
      <c r="O1061">
        <f t="shared" si="33"/>
        <v>0.67216853144440758</v>
      </c>
    </row>
    <row r="1062" spans="1:15">
      <c r="A1062">
        <v>5524</v>
      </c>
      <c r="B1062">
        <v>635</v>
      </c>
      <c r="C1062">
        <v>88</v>
      </c>
      <c r="D1062">
        <v>546</v>
      </c>
      <c r="E1062">
        <v>172</v>
      </c>
      <c r="F1062">
        <v>88</v>
      </c>
      <c r="G1062">
        <v>88</v>
      </c>
      <c r="H1062" t="s">
        <v>12</v>
      </c>
      <c r="I1062">
        <v>58138</v>
      </c>
      <c r="J1062">
        <v>0</v>
      </c>
      <c r="K1062">
        <v>0</v>
      </c>
      <c r="L1062">
        <v>1</v>
      </c>
      <c r="M1062">
        <v>0</v>
      </c>
      <c r="N1062">
        <f t="shared" si="32"/>
        <v>0.28135395048713269</v>
      </c>
      <c r="O1062">
        <f t="shared" si="33"/>
        <v>0.22428639926549498</v>
      </c>
    </row>
    <row r="1063" spans="1:15">
      <c r="A1063">
        <v>5527</v>
      </c>
      <c r="B1063">
        <v>4</v>
      </c>
      <c r="C1063">
        <v>12</v>
      </c>
      <c r="D1063">
        <v>11</v>
      </c>
      <c r="E1063">
        <v>3</v>
      </c>
      <c r="F1063">
        <v>13</v>
      </c>
      <c r="G1063">
        <v>15</v>
      </c>
      <c r="H1063" t="s">
        <v>11</v>
      </c>
      <c r="I1063">
        <v>22434</v>
      </c>
      <c r="J1063">
        <v>1</v>
      </c>
      <c r="K1063">
        <v>0</v>
      </c>
      <c r="L1063">
        <v>0</v>
      </c>
      <c r="M1063">
        <v>1</v>
      </c>
      <c r="N1063">
        <f t="shared" si="32"/>
        <v>-1.3705882675630376</v>
      </c>
      <c r="O1063">
        <f t="shared" si="33"/>
        <v>-0.29169299670651522</v>
      </c>
    </row>
    <row r="1064" spans="1:15">
      <c r="A1064">
        <v>5534</v>
      </c>
      <c r="B1064">
        <v>123</v>
      </c>
      <c r="C1064">
        <v>1</v>
      </c>
      <c r="D1064">
        <v>26</v>
      </c>
      <c r="E1064">
        <v>2</v>
      </c>
      <c r="F1064">
        <v>0</v>
      </c>
      <c r="G1064">
        <v>72</v>
      </c>
      <c r="H1064" t="s">
        <v>11</v>
      </c>
      <c r="I1064">
        <v>47808</v>
      </c>
      <c r="J1064">
        <v>0</v>
      </c>
      <c r="K1064">
        <v>1</v>
      </c>
      <c r="L1064">
        <v>0</v>
      </c>
      <c r="M1064">
        <v>1</v>
      </c>
      <c r="N1064">
        <f t="shared" si="32"/>
        <v>-0.19659146494134197</v>
      </c>
      <c r="O1064">
        <f t="shared" si="33"/>
        <v>0.27857363517613537</v>
      </c>
    </row>
    <row r="1065" spans="1:15">
      <c r="A1065">
        <v>5543</v>
      </c>
      <c r="B1065">
        <v>545</v>
      </c>
      <c r="C1065">
        <v>7</v>
      </c>
      <c r="D1065">
        <v>114</v>
      </c>
      <c r="E1065">
        <v>37</v>
      </c>
      <c r="F1065">
        <v>21</v>
      </c>
      <c r="G1065">
        <v>78</v>
      </c>
      <c r="H1065" t="s">
        <v>11</v>
      </c>
      <c r="I1065">
        <v>57811</v>
      </c>
      <c r="J1065">
        <v>0</v>
      </c>
      <c r="K1065">
        <v>1</v>
      </c>
      <c r="L1065">
        <v>0</v>
      </c>
      <c r="M1065">
        <v>1</v>
      </c>
      <c r="N1065">
        <f t="shared" si="32"/>
        <v>0.26622441023107157</v>
      </c>
      <c r="O1065">
        <f t="shared" si="33"/>
        <v>0.54273000155620565</v>
      </c>
    </row>
    <row r="1066" spans="1:15">
      <c r="A1066">
        <v>5544</v>
      </c>
      <c r="B1066">
        <v>957</v>
      </c>
      <c r="C1066">
        <v>40</v>
      </c>
      <c r="D1066">
        <v>175</v>
      </c>
      <c r="E1066">
        <v>158</v>
      </c>
      <c r="F1066">
        <v>53</v>
      </c>
      <c r="G1066">
        <v>107</v>
      </c>
      <c r="H1066" t="s">
        <v>12</v>
      </c>
      <c r="I1066">
        <v>67384</v>
      </c>
      <c r="J1066">
        <v>0</v>
      </c>
      <c r="K1066">
        <v>1</v>
      </c>
      <c r="L1066">
        <v>1</v>
      </c>
      <c r="M1066">
        <v>0</v>
      </c>
      <c r="N1066">
        <f t="shared" si="32"/>
        <v>0.70914517130530075</v>
      </c>
      <c r="O1066">
        <f t="shared" si="33"/>
        <v>0.37119950624500037</v>
      </c>
    </row>
    <row r="1067" spans="1:15">
      <c r="A1067">
        <v>5545</v>
      </c>
      <c r="B1067">
        <v>572</v>
      </c>
      <c r="C1067">
        <v>8</v>
      </c>
      <c r="D1067">
        <v>259</v>
      </c>
      <c r="E1067">
        <v>34</v>
      </c>
      <c r="F1067">
        <v>35</v>
      </c>
      <c r="G1067">
        <v>80</v>
      </c>
      <c r="H1067" t="s">
        <v>11</v>
      </c>
      <c r="I1067">
        <v>78075</v>
      </c>
      <c r="J1067">
        <v>0</v>
      </c>
      <c r="K1067">
        <v>0</v>
      </c>
      <c r="L1067">
        <v>0</v>
      </c>
      <c r="M1067">
        <v>1</v>
      </c>
      <c r="N1067">
        <f t="shared" si="32"/>
        <v>1.2037932290348092</v>
      </c>
      <c r="O1067">
        <f t="shared" si="33"/>
        <v>0.99518869387051923</v>
      </c>
    </row>
    <row r="1068" spans="1:15">
      <c r="A1068">
        <v>5547</v>
      </c>
      <c r="B1068">
        <v>1478</v>
      </c>
      <c r="C1068">
        <v>19</v>
      </c>
      <c r="D1068">
        <v>403</v>
      </c>
      <c r="E1068">
        <v>0</v>
      </c>
      <c r="F1068">
        <v>19</v>
      </c>
      <c r="G1068">
        <v>0</v>
      </c>
      <c r="H1068" t="s">
        <v>11</v>
      </c>
      <c r="I1068">
        <v>84169</v>
      </c>
      <c r="J1068">
        <v>0</v>
      </c>
      <c r="K1068">
        <v>0</v>
      </c>
      <c r="L1068">
        <v>0</v>
      </c>
      <c r="M1068">
        <v>1</v>
      </c>
      <c r="N1068">
        <f t="shared" si="32"/>
        <v>1.4857486367425659</v>
      </c>
      <c r="O1068">
        <f t="shared" si="33"/>
        <v>0.9999965267053843</v>
      </c>
    </row>
    <row r="1069" spans="1:15">
      <c r="A1069">
        <v>5552</v>
      </c>
      <c r="B1069">
        <v>81</v>
      </c>
      <c r="C1069">
        <v>18</v>
      </c>
      <c r="D1069">
        <v>113</v>
      </c>
      <c r="E1069">
        <v>47</v>
      </c>
      <c r="F1069">
        <v>13</v>
      </c>
      <c r="G1069">
        <v>21</v>
      </c>
      <c r="H1069" t="s">
        <v>12</v>
      </c>
      <c r="I1069">
        <v>48721</v>
      </c>
      <c r="J1069">
        <v>1</v>
      </c>
      <c r="K1069">
        <v>1</v>
      </c>
      <c r="L1069">
        <v>1</v>
      </c>
      <c r="M1069">
        <v>0</v>
      </c>
      <c r="N1069">
        <f t="shared" si="32"/>
        <v>-0.15434904826310408</v>
      </c>
      <c r="O1069">
        <f t="shared" si="33"/>
        <v>-7.3505287046735632E-2</v>
      </c>
    </row>
    <row r="1070" spans="1:15">
      <c r="A1070">
        <v>5555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 t="s">
        <v>12</v>
      </c>
      <c r="I1070">
        <v>153924</v>
      </c>
      <c r="J1070">
        <v>0</v>
      </c>
      <c r="K1070">
        <v>0</v>
      </c>
      <c r="L1070">
        <v>1</v>
      </c>
      <c r="M1070">
        <v>0</v>
      </c>
      <c r="N1070">
        <f t="shared" si="32"/>
        <v>4.7131525528329092</v>
      </c>
      <c r="O1070">
        <f t="shared" si="33"/>
        <v>0.81008606695953989</v>
      </c>
    </row>
    <row r="1071" spans="1:15">
      <c r="A1071">
        <v>5558</v>
      </c>
      <c r="B1071">
        <v>1020</v>
      </c>
      <c r="C1071">
        <v>31</v>
      </c>
      <c r="D1071">
        <v>430</v>
      </c>
      <c r="E1071">
        <v>62</v>
      </c>
      <c r="F1071">
        <v>63</v>
      </c>
      <c r="G1071">
        <v>79</v>
      </c>
      <c r="H1071" t="s">
        <v>12</v>
      </c>
      <c r="I1071">
        <v>90933</v>
      </c>
      <c r="J1071">
        <v>0</v>
      </c>
      <c r="K1071">
        <v>0</v>
      </c>
      <c r="L1071">
        <v>1</v>
      </c>
      <c r="M1071">
        <v>0</v>
      </c>
      <c r="N1071">
        <f t="shared" si="32"/>
        <v>1.7987034082777258</v>
      </c>
      <c r="O1071">
        <f t="shared" si="33"/>
        <v>0.72378333270796336</v>
      </c>
    </row>
    <row r="1072" spans="1:15">
      <c r="A1072">
        <v>5562</v>
      </c>
      <c r="B1072">
        <v>502</v>
      </c>
      <c r="C1072">
        <v>12</v>
      </c>
      <c r="D1072">
        <v>109</v>
      </c>
      <c r="E1072">
        <v>16</v>
      </c>
      <c r="F1072">
        <v>6</v>
      </c>
      <c r="G1072">
        <v>90</v>
      </c>
      <c r="H1072" t="s">
        <v>11</v>
      </c>
      <c r="I1072">
        <v>60093</v>
      </c>
      <c r="J1072">
        <v>0</v>
      </c>
      <c r="K1072">
        <v>1</v>
      </c>
      <c r="L1072">
        <v>0</v>
      </c>
      <c r="M1072">
        <v>1</v>
      </c>
      <c r="N1072">
        <f t="shared" si="32"/>
        <v>0.37180731807306378</v>
      </c>
      <c r="O1072">
        <f t="shared" si="33"/>
        <v>0.5939063099792331</v>
      </c>
    </row>
    <row r="1073" spans="1:15">
      <c r="A1073">
        <v>5564</v>
      </c>
      <c r="B1073">
        <v>509</v>
      </c>
      <c r="C1073">
        <v>133</v>
      </c>
      <c r="D1073">
        <v>497</v>
      </c>
      <c r="E1073">
        <v>78</v>
      </c>
      <c r="F1073">
        <v>24</v>
      </c>
      <c r="G1073">
        <v>97</v>
      </c>
      <c r="H1073" t="s">
        <v>11</v>
      </c>
      <c r="I1073">
        <v>62882</v>
      </c>
      <c r="J1073">
        <v>0</v>
      </c>
      <c r="K1073">
        <v>1</v>
      </c>
      <c r="L1073">
        <v>0</v>
      </c>
      <c r="M1073">
        <v>1</v>
      </c>
      <c r="N1073">
        <f t="shared" si="32"/>
        <v>0.50084795346803135</v>
      </c>
      <c r="O1073">
        <f t="shared" si="33"/>
        <v>0.65008664547973372</v>
      </c>
    </row>
    <row r="1074" spans="1:15">
      <c r="A1074">
        <v>5577</v>
      </c>
      <c r="B1074">
        <v>8</v>
      </c>
      <c r="C1074">
        <v>0</v>
      </c>
      <c r="D1074">
        <v>9</v>
      </c>
      <c r="E1074">
        <v>2</v>
      </c>
      <c r="F1074">
        <v>1</v>
      </c>
      <c r="G1074">
        <v>3</v>
      </c>
      <c r="H1074" t="s">
        <v>11</v>
      </c>
      <c r="I1074">
        <v>43776</v>
      </c>
      <c r="J1074">
        <v>1</v>
      </c>
      <c r="K1074">
        <v>0</v>
      </c>
      <c r="L1074">
        <v>0</v>
      </c>
      <c r="M1074">
        <v>1</v>
      </c>
      <c r="N1074">
        <f t="shared" si="32"/>
        <v>-0.38314286039222384</v>
      </c>
      <c r="O1074">
        <f t="shared" si="33"/>
        <v>0.16602839774764006</v>
      </c>
    </row>
    <row r="1075" spans="1:15">
      <c r="A1075">
        <v>5585</v>
      </c>
      <c r="B1075">
        <v>12</v>
      </c>
      <c r="C1075">
        <v>2</v>
      </c>
      <c r="D1075">
        <v>17</v>
      </c>
      <c r="E1075">
        <v>6</v>
      </c>
      <c r="F1075">
        <v>1</v>
      </c>
      <c r="G1075">
        <v>10</v>
      </c>
      <c r="H1075" t="s">
        <v>12</v>
      </c>
      <c r="I1075">
        <v>21359</v>
      </c>
      <c r="J1075">
        <v>1</v>
      </c>
      <c r="K1075">
        <v>0</v>
      </c>
      <c r="L1075">
        <v>1</v>
      </c>
      <c r="M1075">
        <v>0</v>
      </c>
      <c r="N1075">
        <f t="shared" si="32"/>
        <v>-1.4203260528084984</v>
      </c>
      <c r="O1075">
        <f t="shared" si="33"/>
        <v>-0.58683007124579478</v>
      </c>
    </row>
    <row r="1076" spans="1:15">
      <c r="A1076">
        <v>5589</v>
      </c>
      <c r="B1076">
        <v>631</v>
      </c>
      <c r="C1076">
        <v>0</v>
      </c>
      <c r="D1076">
        <v>115</v>
      </c>
      <c r="E1076">
        <v>10</v>
      </c>
      <c r="F1076">
        <v>7</v>
      </c>
      <c r="G1076">
        <v>30</v>
      </c>
      <c r="H1076" t="s">
        <v>12</v>
      </c>
      <c r="I1076">
        <v>51983</v>
      </c>
      <c r="J1076">
        <v>0</v>
      </c>
      <c r="K1076">
        <v>1</v>
      </c>
      <c r="L1076">
        <v>1</v>
      </c>
      <c r="M1076">
        <v>0</v>
      </c>
      <c r="N1076">
        <f t="shared" si="32"/>
        <v>-3.4237873601336839E-3</v>
      </c>
      <c r="O1076">
        <f t="shared" si="33"/>
        <v>-2.0048568276017417E-3</v>
      </c>
    </row>
    <row r="1077" spans="1:15">
      <c r="A1077">
        <v>5596</v>
      </c>
      <c r="B1077">
        <v>513</v>
      </c>
      <c r="C1077">
        <v>14</v>
      </c>
      <c r="D1077">
        <v>154</v>
      </c>
      <c r="E1077">
        <v>19</v>
      </c>
      <c r="F1077">
        <v>0</v>
      </c>
      <c r="G1077">
        <v>28</v>
      </c>
      <c r="H1077" t="s">
        <v>11</v>
      </c>
      <c r="I1077">
        <v>58821</v>
      </c>
      <c r="J1077">
        <v>0</v>
      </c>
      <c r="K1077">
        <v>1</v>
      </c>
      <c r="L1077">
        <v>0</v>
      </c>
      <c r="M1077">
        <v>1</v>
      </c>
      <c r="N1077">
        <f t="shared" si="32"/>
        <v>0.31295479450820218</v>
      </c>
      <c r="O1077">
        <f t="shared" si="33"/>
        <v>0.56593527816269218</v>
      </c>
    </row>
    <row r="1078" spans="1:15">
      <c r="A1078">
        <v>5602</v>
      </c>
      <c r="B1078">
        <v>466</v>
      </c>
      <c r="C1078">
        <v>22</v>
      </c>
      <c r="D1078">
        <v>432</v>
      </c>
      <c r="E1078">
        <v>147</v>
      </c>
      <c r="F1078">
        <v>113</v>
      </c>
      <c r="G1078">
        <v>102</v>
      </c>
      <c r="H1078" t="s">
        <v>11</v>
      </c>
      <c r="I1078">
        <v>66973</v>
      </c>
      <c r="J1078">
        <v>0</v>
      </c>
      <c r="K1078">
        <v>0</v>
      </c>
      <c r="L1078">
        <v>0</v>
      </c>
      <c r="M1078">
        <v>1</v>
      </c>
      <c r="N1078">
        <f t="shared" si="32"/>
        <v>0.69012914364401301</v>
      </c>
      <c r="O1078">
        <f t="shared" si="33"/>
        <v>0.93172084732490568</v>
      </c>
    </row>
    <row r="1079" spans="1:15">
      <c r="A1079">
        <v>5610</v>
      </c>
      <c r="B1079">
        <v>7</v>
      </c>
      <c r="C1079">
        <v>3</v>
      </c>
      <c r="D1079">
        <v>10</v>
      </c>
      <c r="E1079">
        <v>8</v>
      </c>
      <c r="F1079">
        <v>1</v>
      </c>
      <c r="G1079">
        <v>7</v>
      </c>
      <c r="H1079" t="s">
        <v>11</v>
      </c>
      <c r="I1079">
        <v>33456</v>
      </c>
      <c r="J1079">
        <v>1</v>
      </c>
      <c r="K1079">
        <v>1</v>
      </c>
      <c r="L1079">
        <v>0</v>
      </c>
      <c r="M1079">
        <v>1</v>
      </c>
      <c r="N1079">
        <f t="shared" si="32"/>
        <v>-0.86062559874864775</v>
      </c>
      <c r="O1079">
        <f t="shared" si="33"/>
        <v>-7.8667015613648722E-2</v>
      </c>
    </row>
    <row r="1080" spans="1:15">
      <c r="A1080">
        <v>5621</v>
      </c>
      <c r="B1080">
        <v>73</v>
      </c>
      <c r="C1080">
        <v>57</v>
      </c>
      <c r="D1080">
        <v>100</v>
      </c>
      <c r="E1080">
        <v>71</v>
      </c>
      <c r="F1080">
        <v>15</v>
      </c>
      <c r="G1080">
        <v>0</v>
      </c>
      <c r="H1080" t="s">
        <v>11</v>
      </c>
      <c r="I1080">
        <v>48752</v>
      </c>
      <c r="J1080">
        <v>1</v>
      </c>
      <c r="K1080">
        <v>1</v>
      </c>
      <c r="L1080">
        <v>0</v>
      </c>
      <c r="M1080">
        <v>1</v>
      </c>
      <c r="N1080">
        <f t="shared" si="32"/>
        <v>-0.15291474933974661</v>
      </c>
      <c r="O1080">
        <f t="shared" si="33"/>
        <v>0.24955340686989946</v>
      </c>
    </row>
    <row r="1081" spans="1:15">
      <c r="A1081">
        <v>5623</v>
      </c>
      <c r="B1081">
        <v>15</v>
      </c>
      <c r="C1081">
        <v>4</v>
      </c>
      <c r="D1081">
        <v>13</v>
      </c>
      <c r="E1081">
        <v>0</v>
      </c>
      <c r="F1081">
        <v>0</v>
      </c>
      <c r="G1081">
        <v>19</v>
      </c>
      <c r="H1081" t="s">
        <v>11</v>
      </c>
      <c r="I1081">
        <v>31535</v>
      </c>
      <c r="J1081">
        <v>1</v>
      </c>
      <c r="K1081">
        <v>0</v>
      </c>
      <c r="L1081">
        <v>0</v>
      </c>
      <c r="M1081">
        <v>1</v>
      </c>
      <c r="N1081">
        <f t="shared" si="32"/>
        <v>-0.94950586428960604</v>
      </c>
      <c r="O1081">
        <f t="shared" si="33"/>
        <v>-0.13253045338163447</v>
      </c>
    </row>
    <row r="1082" spans="1:15">
      <c r="A1082">
        <v>5626</v>
      </c>
      <c r="B1082">
        <v>338</v>
      </c>
      <c r="C1082">
        <v>4</v>
      </c>
      <c r="D1082">
        <v>89</v>
      </c>
      <c r="E1082">
        <v>11</v>
      </c>
      <c r="F1082">
        <v>8</v>
      </c>
      <c r="G1082">
        <v>13</v>
      </c>
      <c r="H1082" t="s">
        <v>12</v>
      </c>
      <c r="I1082">
        <v>61798</v>
      </c>
      <c r="J1082">
        <v>0</v>
      </c>
      <c r="K1082">
        <v>0</v>
      </c>
      <c r="L1082">
        <v>1</v>
      </c>
      <c r="M1082">
        <v>0</v>
      </c>
      <c r="N1082">
        <f t="shared" si="32"/>
        <v>0.45069375885772484</v>
      </c>
      <c r="O1082">
        <f t="shared" si="33"/>
        <v>0.34026638185233127</v>
      </c>
    </row>
    <row r="1083" spans="1:15">
      <c r="A1083">
        <v>5628</v>
      </c>
      <c r="B1083">
        <v>848</v>
      </c>
      <c r="C1083">
        <v>154</v>
      </c>
      <c r="D1083">
        <v>323</v>
      </c>
      <c r="E1083">
        <v>201</v>
      </c>
      <c r="F1083">
        <v>61</v>
      </c>
      <c r="G1083">
        <v>78</v>
      </c>
      <c r="H1083" t="s">
        <v>11</v>
      </c>
      <c r="I1083">
        <v>61416</v>
      </c>
      <c r="J1083">
        <v>0</v>
      </c>
      <c r="K1083">
        <v>0</v>
      </c>
      <c r="L1083">
        <v>0</v>
      </c>
      <c r="M1083">
        <v>1</v>
      </c>
      <c r="N1083">
        <f t="shared" si="32"/>
        <v>0.43301949470538437</v>
      </c>
      <c r="O1083">
        <f t="shared" si="33"/>
        <v>0.84346211383527425</v>
      </c>
    </row>
    <row r="1084" spans="1:15">
      <c r="A1084">
        <v>5631</v>
      </c>
      <c r="B1084">
        <v>202</v>
      </c>
      <c r="C1084">
        <v>47</v>
      </c>
      <c r="D1084">
        <v>197</v>
      </c>
      <c r="E1084">
        <v>55</v>
      </c>
      <c r="F1084">
        <v>42</v>
      </c>
      <c r="G1084">
        <v>149</v>
      </c>
      <c r="H1084" t="s">
        <v>12</v>
      </c>
      <c r="I1084">
        <v>49767</v>
      </c>
      <c r="J1084">
        <v>0</v>
      </c>
      <c r="K1084">
        <v>0</v>
      </c>
      <c r="L1084">
        <v>1</v>
      </c>
      <c r="M1084">
        <v>0</v>
      </c>
      <c r="N1084">
        <f t="shared" si="32"/>
        <v>-0.1059530265265906</v>
      </c>
      <c r="O1084">
        <f t="shared" si="33"/>
        <v>-8.7253346704175463E-2</v>
      </c>
    </row>
    <row r="1085" spans="1:15">
      <c r="A1085">
        <v>5633</v>
      </c>
      <c r="B1085">
        <v>97</v>
      </c>
      <c r="C1085">
        <v>12</v>
      </c>
      <c r="D1085">
        <v>84</v>
      </c>
      <c r="E1085">
        <v>13</v>
      </c>
      <c r="F1085">
        <v>10</v>
      </c>
      <c r="G1085">
        <v>15</v>
      </c>
      <c r="H1085" t="s">
        <v>11</v>
      </c>
      <c r="I1085">
        <v>50183</v>
      </c>
      <c r="J1085">
        <v>1</v>
      </c>
      <c r="K1085">
        <v>1</v>
      </c>
      <c r="L1085">
        <v>0</v>
      </c>
      <c r="M1085">
        <v>1</v>
      </c>
      <c r="N1085">
        <f t="shared" si="32"/>
        <v>-8.6705660329277387E-2</v>
      </c>
      <c r="O1085">
        <f t="shared" si="33"/>
        <v>0.2818267130918149</v>
      </c>
    </row>
    <row r="1086" spans="1:15">
      <c r="A1086">
        <v>5636</v>
      </c>
      <c r="B1086">
        <v>51</v>
      </c>
      <c r="C1086">
        <v>4</v>
      </c>
      <c r="D1086">
        <v>50</v>
      </c>
      <c r="E1086">
        <v>12</v>
      </c>
      <c r="F1086">
        <v>1</v>
      </c>
      <c r="G1086">
        <v>49</v>
      </c>
      <c r="H1086" t="s">
        <v>12</v>
      </c>
      <c r="I1086">
        <v>30983</v>
      </c>
      <c r="J1086">
        <v>0</v>
      </c>
      <c r="K1086">
        <v>0</v>
      </c>
      <c r="L1086">
        <v>1</v>
      </c>
      <c r="M1086">
        <v>0</v>
      </c>
      <c r="N1086">
        <f t="shared" si="32"/>
        <v>-0.97504563866681015</v>
      </c>
      <c r="O1086">
        <f t="shared" si="33"/>
        <v>-0.57812399363662625</v>
      </c>
    </row>
    <row r="1087" spans="1:15">
      <c r="A1087">
        <v>5642</v>
      </c>
      <c r="B1087">
        <v>140</v>
      </c>
      <c r="C1087">
        <v>4</v>
      </c>
      <c r="D1087">
        <v>61</v>
      </c>
      <c r="E1087">
        <v>0</v>
      </c>
      <c r="F1087">
        <v>13</v>
      </c>
      <c r="G1087">
        <v>4</v>
      </c>
      <c r="H1087" t="s">
        <v>11</v>
      </c>
      <c r="I1087">
        <v>62499</v>
      </c>
      <c r="J1087">
        <v>1</v>
      </c>
      <c r="K1087">
        <v>0</v>
      </c>
      <c r="L1087">
        <v>0</v>
      </c>
      <c r="M1087">
        <v>1</v>
      </c>
      <c r="N1087">
        <f t="shared" si="32"/>
        <v>0.48312742160848582</v>
      </c>
      <c r="O1087">
        <f t="shared" si="33"/>
        <v>0.64279996641932968</v>
      </c>
    </row>
    <row r="1088" spans="1:15">
      <c r="A1088">
        <v>5644</v>
      </c>
      <c r="B1088">
        <v>309</v>
      </c>
      <c r="C1088">
        <v>3</v>
      </c>
      <c r="D1088">
        <v>24</v>
      </c>
      <c r="E1088">
        <v>4</v>
      </c>
      <c r="F1088">
        <v>3</v>
      </c>
      <c r="G1088">
        <v>20</v>
      </c>
      <c r="H1088" t="s">
        <v>11</v>
      </c>
      <c r="I1088">
        <v>42213</v>
      </c>
      <c r="J1088">
        <v>0</v>
      </c>
      <c r="K1088">
        <v>1</v>
      </c>
      <c r="L1088">
        <v>0</v>
      </c>
      <c r="M1088">
        <v>1</v>
      </c>
      <c r="N1088">
        <f t="shared" si="32"/>
        <v>-0.45545928675376363</v>
      </c>
      <c r="O1088">
        <f t="shared" si="33"/>
        <v>0.12342445616688083</v>
      </c>
    </row>
    <row r="1089" spans="1:15">
      <c r="A1089">
        <v>5654</v>
      </c>
      <c r="B1089">
        <v>20</v>
      </c>
      <c r="C1089">
        <v>4</v>
      </c>
      <c r="D1089">
        <v>10</v>
      </c>
      <c r="E1089">
        <v>6</v>
      </c>
      <c r="F1089">
        <v>4</v>
      </c>
      <c r="G1089">
        <v>17</v>
      </c>
      <c r="H1089" t="s">
        <v>11</v>
      </c>
      <c r="I1089">
        <v>36026</v>
      </c>
      <c r="J1089">
        <v>2</v>
      </c>
      <c r="K1089">
        <v>1</v>
      </c>
      <c r="L1089">
        <v>0</v>
      </c>
      <c r="M1089">
        <v>1</v>
      </c>
      <c r="N1089">
        <f t="shared" si="32"/>
        <v>-0.74171759123159253</v>
      </c>
      <c r="O1089">
        <f t="shared" si="33"/>
        <v>-2.0973701805000675E-2</v>
      </c>
    </row>
    <row r="1090" spans="1:15">
      <c r="A1090">
        <v>5667</v>
      </c>
      <c r="B1090">
        <v>1013</v>
      </c>
      <c r="C1090">
        <v>30</v>
      </c>
      <c r="D1090">
        <v>399</v>
      </c>
      <c r="E1090">
        <v>60</v>
      </c>
      <c r="F1090">
        <v>46</v>
      </c>
      <c r="G1090">
        <v>153</v>
      </c>
      <c r="H1090" t="s">
        <v>11</v>
      </c>
      <c r="I1090">
        <v>60896</v>
      </c>
      <c r="J1090">
        <v>0</v>
      </c>
      <c r="K1090">
        <v>1</v>
      </c>
      <c r="L1090">
        <v>0</v>
      </c>
      <c r="M1090">
        <v>1</v>
      </c>
      <c r="N1090">
        <f t="shared" si="32"/>
        <v>0.40896028695874287</v>
      </c>
      <c r="O1090">
        <f t="shared" si="33"/>
        <v>0.61081762369579051</v>
      </c>
    </row>
    <row r="1091" spans="1:15">
      <c r="A1091">
        <v>5675</v>
      </c>
      <c r="B1091">
        <v>459</v>
      </c>
      <c r="C1091">
        <v>0</v>
      </c>
      <c r="D1091">
        <v>24</v>
      </c>
      <c r="E1091">
        <v>6</v>
      </c>
      <c r="F1091">
        <v>0</v>
      </c>
      <c r="G1091">
        <v>4</v>
      </c>
      <c r="H1091" t="s">
        <v>12</v>
      </c>
      <c r="I1091">
        <v>50611</v>
      </c>
      <c r="J1091">
        <v>0</v>
      </c>
      <c r="K1091">
        <v>1</v>
      </c>
      <c r="L1091">
        <v>1</v>
      </c>
      <c r="M1091">
        <v>0</v>
      </c>
      <c r="N1091">
        <f t="shared" ref="N1091:N1154" si="34">STANDARDIZE(I1091,$Q$1,$R$1)</f>
        <v>-6.690308164550321E-2</v>
      </c>
      <c r="O1091">
        <f t="shared" ref="O1091:O1154" si="35">SUMPRODUCT(J1091:N1091,$Q$4:$U$4) / SQRT(SUMSQ(J1091:N1091) * SUMSQ($Q$4:$U$4))</f>
        <v>-3.9132585230381989E-2</v>
      </c>
    </row>
    <row r="1092" spans="1:15">
      <c r="A1092">
        <v>5680</v>
      </c>
      <c r="B1092">
        <v>10</v>
      </c>
      <c r="C1092">
        <v>4</v>
      </c>
      <c r="D1092">
        <v>7</v>
      </c>
      <c r="E1092">
        <v>0</v>
      </c>
      <c r="F1092">
        <v>6</v>
      </c>
      <c r="G1092">
        <v>3</v>
      </c>
      <c r="H1092" t="s">
        <v>11</v>
      </c>
      <c r="I1092">
        <v>35684</v>
      </c>
      <c r="J1092">
        <v>1</v>
      </c>
      <c r="K1092">
        <v>0</v>
      </c>
      <c r="L1092">
        <v>0</v>
      </c>
      <c r="M1092">
        <v>1</v>
      </c>
      <c r="N1092">
        <f t="shared" si="34"/>
        <v>-0.75754114709572984</v>
      </c>
      <c r="O1092">
        <f t="shared" si="35"/>
        <v>-4.1626343556873571E-2</v>
      </c>
    </row>
    <row r="1093" spans="1:15">
      <c r="A1093">
        <v>5682</v>
      </c>
      <c r="B1093">
        <v>948</v>
      </c>
      <c r="C1093">
        <v>10</v>
      </c>
      <c r="D1093">
        <v>86</v>
      </c>
      <c r="E1093">
        <v>13</v>
      </c>
      <c r="F1093">
        <v>21</v>
      </c>
      <c r="G1093">
        <v>21</v>
      </c>
      <c r="H1093" t="s">
        <v>12</v>
      </c>
      <c r="I1093">
        <v>64108</v>
      </c>
      <c r="J1093">
        <v>0</v>
      </c>
      <c r="K1093">
        <v>1</v>
      </c>
      <c r="L1093">
        <v>1</v>
      </c>
      <c r="M1093">
        <v>0</v>
      </c>
      <c r="N1093">
        <f t="shared" si="34"/>
        <v>0.55757216250145925</v>
      </c>
      <c r="O1093">
        <f t="shared" si="35"/>
        <v>0.30374182989288906</v>
      </c>
    </row>
    <row r="1094" spans="1:15">
      <c r="A1094">
        <v>5684</v>
      </c>
      <c r="B1094">
        <v>56</v>
      </c>
      <c r="C1094">
        <v>0</v>
      </c>
      <c r="D1094">
        <v>9</v>
      </c>
      <c r="E1094">
        <v>0</v>
      </c>
      <c r="F1094">
        <v>0</v>
      </c>
      <c r="G1094">
        <v>3</v>
      </c>
      <c r="H1094" t="s">
        <v>12</v>
      </c>
      <c r="I1094">
        <v>44635</v>
      </c>
      <c r="J1094">
        <v>1</v>
      </c>
      <c r="K1094">
        <v>1</v>
      </c>
      <c r="L1094">
        <v>1</v>
      </c>
      <c r="M1094">
        <v>0</v>
      </c>
      <c r="N1094">
        <f t="shared" si="34"/>
        <v>-0.34339889990306027</v>
      </c>
      <c r="O1094">
        <f t="shared" si="35"/>
        <v>-0.16104938491626231</v>
      </c>
    </row>
    <row r="1095" spans="1:15">
      <c r="A1095">
        <v>5687</v>
      </c>
      <c r="B1095">
        <v>563</v>
      </c>
      <c r="C1095">
        <v>50</v>
      </c>
      <c r="D1095">
        <v>774</v>
      </c>
      <c r="E1095">
        <v>28</v>
      </c>
      <c r="F1095">
        <v>31</v>
      </c>
      <c r="G1095">
        <v>187</v>
      </c>
      <c r="H1095" t="s">
        <v>12</v>
      </c>
      <c r="I1095">
        <v>81702</v>
      </c>
      <c r="J1095">
        <v>0</v>
      </c>
      <c r="K1095">
        <v>0</v>
      </c>
      <c r="L1095">
        <v>1</v>
      </c>
      <c r="M1095">
        <v>0</v>
      </c>
      <c r="N1095">
        <f t="shared" si="34"/>
        <v>1.3716062030676339</v>
      </c>
      <c r="O1095">
        <f t="shared" si="35"/>
        <v>0.66915662424002353</v>
      </c>
    </row>
    <row r="1096" spans="1:15">
      <c r="A1096">
        <v>5692</v>
      </c>
      <c r="B1096">
        <v>1</v>
      </c>
      <c r="C1096">
        <v>4</v>
      </c>
      <c r="D1096">
        <v>3</v>
      </c>
      <c r="E1096">
        <v>8</v>
      </c>
      <c r="F1096">
        <v>9</v>
      </c>
      <c r="G1096">
        <v>7</v>
      </c>
      <c r="H1096" t="s">
        <v>11</v>
      </c>
      <c r="I1096">
        <v>25443</v>
      </c>
      <c r="J1096">
        <v>1</v>
      </c>
      <c r="K1096">
        <v>0</v>
      </c>
      <c r="L1096">
        <v>0</v>
      </c>
      <c r="M1096">
        <v>1</v>
      </c>
      <c r="N1096">
        <f t="shared" si="34"/>
        <v>-1.2313687365829524</v>
      </c>
      <c r="O1096">
        <f t="shared" si="35"/>
        <v>-0.2448671920774696</v>
      </c>
    </row>
    <row r="1097" spans="1:15">
      <c r="A1097">
        <v>5710</v>
      </c>
      <c r="B1097">
        <v>110</v>
      </c>
      <c r="C1097">
        <v>0</v>
      </c>
      <c r="D1097">
        <v>5</v>
      </c>
      <c r="E1097">
        <v>2</v>
      </c>
      <c r="F1097">
        <v>0</v>
      </c>
      <c r="G1097">
        <v>3</v>
      </c>
      <c r="H1097" t="s">
        <v>11</v>
      </c>
      <c r="I1097">
        <v>40548</v>
      </c>
      <c r="J1097">
        <v>0</v>
      </c>
      <c r="K1097">
        <v>1</v>
      </c>
      <c r="L1097">
        <v>0</v>
      </c>
      <c r="M1097">
        <v>1</v>
      </c>
      <c r="N1097">
        <f t="shared" si="34"/>
        <v>-0.53249501925022158</v>
      </c>
      <c r="O1097">
        <f t="shared" si="35"/>
        <v>7.9133982720875698E-2</v>
      </c>
    </row>
    <row r="1098" spans="1:15">
      <c r="A1098">
        <v>5718</v>
      </c>
      <c r="B1098">
        <v>674</v>
      </c>
      <c r="C1098">
        <v>168</v>
      </c>
      <c r="D1098">
        <v>108</v>
      </c>
      <c r="E1098">
        <v>192</v>
      </c>
      <c r="F1098">
        <v>42</v>
      </c>
      <c r="G1098">
        <v>231</v>
      </c>
      <c r="H1098" t="s">
        <v>11</v>
      </c>
      <c r="I1098">
        <v>80763</v>
      </c>
      <c r="J1098">
        <v>0</v>
      </c>
      <c r="K1098">
        <v>0</v>
      </c>
      <c r="L1098">
        <v>0</v>
      </c>
      <c r="M1098">
        <v>1</v>
      </c>
      <c r="N1098">
        <f t="shared" si="34"/>
        <v>1.3281608260020639</v>
      </c>
      <c r="O1098">
        <f t="shared" si="35"/>
        <v>0.99873443916875415</v>
      </c>
    </row>
    <row r="1099" spans="1:15">
      <c r="A1099">
        <v>5721</v>
      </c>
      <c r="B1099">
        <v>611</v>
      </c>
      <c r="C1099">
        <v>76</v>
      </c>
      <c r="D1099">
        <v>749</v>
      </c>
      <c r="E1099">
        <v>59</v>
      </c>
      <c r="F1099">
        <v>45</v>
      </c>
      <c r="G1099">
        <v>26</v>
      </c>
      <c r="H1099" t="s">
        <v>11</v>
      </c>
      <c r="I1099">
        <v>84117</v>
      </c>
      <c r="J1099">
        <v>0</v>
      </c>
      <c r="K1099">
        <v>0</v>
      </c>
      <c r="L1099">
        <v>0</v>
      </c>
      <c r="M1099">
        <v>1</v>
      </c>
      <c r="N1099">
        <f t="shared" si="34"/>
        <v>1.4833427159679016</v>
      </c>
      <c r="O1099">
        <f t="shared" si="35"/>
        <v>0.99999822395693927</v>
      </c>
    </row>
    <row r="1100" spans="1:15">
      <c r="A1100">
        <v>5723</v>
      </c>
      <c r="B1100">
        <v>81</v>
      </c>
      <c r="C1100">
        <v>1</v>
      </c>
      <c r="D1100">
        <v>31</v>
      </c>
      <c r="E1100">
        <v>2</v>
      </c>
      <c r="F1100">
        <v>1</v>
      </c>
      <c r="G1100">
        <v>0</v>
      </c>
      <c r="H1100" t="s">
        <v>11</v>
      </c>
      <c r="I1100">
        <v>49187</v>
      </c>
      <c r="J1100">
        <v>0</v>
      </c>
      <c r="K1100">
        <v>1</v>
      </c>
      <c r="L1100">
        <v>0</v>
      </c>
      <c r="M1100">
        <v>1</v>
      </c>
      <c r="N1100">
        <f t="shared" si="34"/>
        <v>-0.13278829670553691</v>
      </c>
      <c r="O1100">
        <f t="shared" si="35"/>
        <v>0.31721819966009368</v>
      </c>
    </row>
    <row r="1101" spans="1:15">
      <c r="A1101">
        <v>5726</v>
      </c>
      <c r="B1101">
        <v>16</v>
      </c>
      <c r="C1101">
        <v>7</v>
      </c>
      <c r="D1101">
        <v>23</v>
      </c>
      <c r="E1101">
        <v>0</v>
      </c>
      <c r="F1101">
        <v>8</v>
      </c>
      <c r="G1101">
        <v>6</v>
      </c>
      <c r="H1101" t="s">
        <v>12</v>
      </c>
      <c r="I1101">
        <v>31788</v>
      </c>
      <c r="J1101">
        <v>1</v>
      </c>
      <c r="K1101">
        <v>0</v>
      </c>
      <c r="L1101">
        <v>1</v>
      </c>
      <c r="M1101">
        <v>0</v>
      </c>
      <c r="N1101">
        <f t="shared" si="34"/>
        <v>-0.93780013436672083</v>
      </c>
      <c r="O1101">
        <f t="shared" si="35"/>
        <v>-0.45766418775645729</v>
      </c>
    </row>
    <row r="1102" spans="1:15">
      <c r="A1102">
        <v>5731</v>
      </c>
      <c r="B1102">
        <v>12</v>
      </c>
      <c r="C1102">
        <v>0</v>
      </c>
      <c r="D1102">
        <v>13</v>
      </c>
      <c r="E1102">
        <v>2</v>
      </c>
      <c r="F1102">
        <v>0</v>
      </c>
      <c r="G1102">
        <v>10</v>
      </c>
      <c r="H1102" t="s">
        <v>11</v>
      </c>
      <c r="I1102">
        <v>27100</v>
      </c>
      <c r="J1102">
        <v>1</v>
      </c>
      <c r="K1102">
        <v>0</v>
      </c>
      <c r="L1102">
        <v>0</v>
      </c>
      <c r="M1102">
        <v>1</v>
      </c>
      <c r="N1102">
        <f t="shared" si="34"/>
        <v>-1.1547031457441352</v>
      </c>
      <c r="O1102">
        <f t="shared" si="35"/>
        <v>-0.2167225483823326</v>
      </c>
    </row>
    <row r="1103" spans="1:15">
      <c r="A1103">
        <v>5734</v>
      </c>
      <c r="B1103">
        <v>46</v>
      </c>
      <c r="C1103">
        <v>4</v>
      </c>
      <c r="D1103">
        <v>36</v>
      </c>
      <c r="E1103">
        <v>2</v>
      </c>
      <c r="F1103">
        <v>2</v>
      </c>
      <c r="G1103">
        <v>1</v>
      </c>
      <c r="H1103" t="s">
        <v>11</v>
      </c>
      <c r="I1103">
        <v>61917</v>
      </c>
      <c r="J1103">
        <v>1</v>
      </c>
      <c r="K1103">
        <v>1</v>
      </c>
      <c r="L1103">
        <v>0</v>
      </c>
      <c r="M1103">
        <v>1</v>
      </c>
      <c r="N1103">
        <f t="shared" si="34"/>
        <v>0.45619961601512937</v>
      </c>
      <c r="O1103">
        <f t="shared" si="35"/>
        <v>0.52388374376976621</v>
      </c>
    </row>
    <row r="1104" spans="1:15">
      <c r="A1104">
        <v>5740</v>
      </c>
      <c r="B1104">
        <v>4</v>
      </c>
      <c r="C1104">
        <v>2</v>
      </c>
      <c r="D1104">
        <v>12</v>
      </c>
      <c r="E1104">
        <v>7</v>
      </c>
      <c r="F1104">
        <v>5</v>
      </c>
      <c r="G1104">
        <v>26</v>
      </c>
      <c r="H1104" t="s">
        <v>12</v>
      </c>
      <c r="I1104">
        <v>25959</v>
      </c>
      <c r="J1104">
        <v>1</v>
      </c>
      <c r="K1104">
        <v>1</v>
      </c>
      <c r="L1104">
        <v>1</v>
      </c>
      <c r="M1104">
        <v>0</v>
      </c>
      <c r="N1104">
        <f t="shared" si="34"/>
        <v>-1.2074945996651312</v>
      </c>
      <c r="O1104">
        <f t="shared" si="35"/>
        <v>-0.47359369349510044</v>
      </c>
    </row>
    <row r="1105" spans="1:15">
      <c r="A1105">
        <v>5748</v>
      </c>
      <c r="B1105">
        <v>115</v>
      </c>
      <c r="C1105">
        <v>27</v>
      </c>
      <c r="D1105">
        <v>44</v>
      </c>
      <c r="E1105">
        <v>4</v>
      </c>
      <c r="F1105">
        <v>146</v>
      </c>
      <c r="G1105">
        <v>139</v>
      </c>
      <c r="H1105" t="s">
        <v>11</v>
      </c>
      <c r="I1105">
        <v>59754</v>
      </c>
      <c r="J1105">
        <v>0</v>
      </c>
      <c r="K1105">
        <v>1</v>
      </c>
      <c r="L1105">
        <v>0</v>
      </c>
      <c r="M1105">
        <v>1</v>
      </c>
      <c r="N1105">
        <f t="shared" si="34"/>
        <v>0.35612256533054171</v>
      </c>
      <c r="O1105">
        <f t="shared" si="35"/>
        <v>0.58659185247519763</v>
      </c>
    </row>
    <row r="1106" spans="1:15">
      <c r="A1106">
        <v>5751</v>
      </c>
      <c r="B1106">
        <v>2</v>
      </c>
      <c r="C1106">
        <v>3</v>
      </c>
      <c r="D1106">
        <v>10</v>
      </c>
      <c r="E1106">
        <v>11</v>
      </c>
      <c r="F1106">
        <v>2</v>
      </c>
      <c r="G1106">
        <v>10</v>
      </c>
      <c r="H1106" t="s">
        <v>12</v>
      </c>
      <c r="I1106">
        <v>31163</v>
      </c>
      <c r="J1106">
        <v>1</v>
      </c>
      <c r="K1106">
        <v>0</v>
      </c>
      <c r="L1106">
        <v>1</v>
      </c>
      <c r="M1106">
        <v>0</v>
      </c>
      <c r="N1106">
        <f t="shared" si="34"/>
        <v>-0.96671745136989573</v>
      </c>
      <c r="O1106">
        <f t="shared" si="35"/>
        <v>-0.46732842473128927</v>
      </c>
    </row>
    <row r="1107" spans="1:15">
      <c r="A1107">
        <v>5756</v>
      </c>
      <c r="B1107">
        <v>46</v>
      </c>
      <c r="C1107">
        <v>0</v>
      </c>
      <c r="D1107">
        <v>7</v>
      </c>
      <c r="E1107">
        <v>0</v>
      </c>
      <c r="F1107">
        <v>0</v>
      </c>
      <c r="G1107">
        <v>2</v>
      </c>
      <c r="H1107" t="s">
        <v>11</v>
      </c>
      <c r="I1107">
        <v>39453</v>
      </c>
      <c r="J1107">
        <v>1</v>
      </c>
      <c r="K1107">
        <v>0</v>
      </c>
      <c r="L1107">
        <v>0</v>
      </c>
      <c r="M1107">
        <v>1</v>
      </c>
      <c r="N1107">
        <f t="shared" si="34"/>
        <v>-0.58315815863978393</v>
      </c>
      <c r="O1107">
        <f t="shared" si="35"/>
        <v>5.0745945371413699E-2</v>
      </c>
    </row>
    <row r="1108" spans="1:15">
      <c r="A1108">
        <v>5758</v>
      </c>
      <c r="B1108">
        <v>1074</v>
      </c>
      <c r="C1108">
        <v>0</v>
      </c>
      <c r="D1108">
        <v>69</v>
      </c>
      <c r="E1108">
        <v>0</v>
      </c>
      <c r="F1108">
        <v>0</v>
      </c>
      <c r="G1108">
        <v>46</v>
      </c>
      <c r="H1108" t="s">
        <v>11</v>
      </c>
      <c r="I1108">
        <v>65169</v>
      </c>
      <c r="J1108">
        <v>0</v>
      </c>
      <c r="K1108">
        <v>0</v>
      </c>
      <c r="L1108">
        <v>0</v>
      </c>
      <c r="M1108">
        <v>1</v>
      </c>
      <c r="N1108">
        <f t="shared" si="34"/>
        <v>0.60666219984604897</v>
      </c>
      <c r="O1108">
        <f t="shared" si="35"/>
        <v>0.90878212901669386</v>
      </c>
    </row>
    <row r="1109" spans="1:15">
      <c r="A1109">
        <v>5763</v>
      </c>
      <c r="B1109">
        <v>123</v>
      </c>
      <c r="C1109">
        <v>17</v>
      </c>
      <c r="D1109">
        <v>171</v>
      </c>
      <c r="E1109">
        <v>39</v>
      </c>
      <c r="F1109">
        <v>0</v>
      </c>
      <c r="G1109">
        <v>30</v>
      </c>
      <c r="H1109" t="s">
        <v>11</v>
      </c>
      <c r="I1109">
        <v>49854</v>
      </c>
      <c r="J1109">
        <v>1</v>
      </c>
      <c r="K1109">
        <v>0</v>
      </c>
      <c r="L1109">
        <v>0</v>
      </c>
      <c r="M1109">
        <v>1</v>
      </c>
      <c r="N1109">
        <f t="shared" si="34"/>
        <v>-0.10192773599974865</v>
      </c>
      <c r="O1109">
        <f t="shared" si="35"/>
        <v>0.33581338159963342</v>
      </c>
    </row>
    <row r="1110" spans="1:15">
      <c r="A1110">
        <v>5782</v>
      </c>
      <c r="B1110">
        <v>402</v>
      </c>
      <c r="C1110">
        <v>35</v>
      </c>
      <c r="D1110">
        <v>106</v>
      </c>
      <c r="E1110">
        <v>101</v>
      </c>
      <c r="F1110">
        <v>77</v>
      </c>
      <c r="G1110">
        <v>42</v>
      </c>
      <c r="H1110" t="s">
        <v>11</v>
      </c>
      <c r="I1110">
        <v>58582</v>
      </c>
      <c r="J1110">
        <v>0</v>
      </c>
      <c r="K1110">
        <v>1</v>
      </c>
      <c r="L1110">
        <v>0</v>
      </c>
      <c r="M1110">
        <v>1</v>
      </c>
      <c r="N1110">
        <f t="shared" si="34"/>
        <v>0.3018968124861881</v>
      </c>
      <c r="O1110">
        <f t="shared" si="35"/>
        <v>0.56052203001451928</v>
      </c>
    </row>
    <row r="1111" spans="1:15">
      <c r="A1111">
        <v>5788</v>
      </c>
      <c r="B1111">
        <v>56</v>
      </c>
      <c r="C1111">
        <v>10</v>
      </c>
      <c r="D1111">
        <v>92</v>
      </c>
      <c r="E1111">
        <v>19</v>
      </c>
      <c r="F1111">
        <v>7</v>
      </c>
      <c r="G1111">
        <v>25</v>
      </c>
      <c r="H1111" t="s">
        <v>11</v>
      </c>
      <c r="I1111">
        <v>46053</v>
      </c>
      <c r="J1111">
        <v>1</v>
      </c>
      <c r="K1111">
        <v>0</v>
      </c>
      <c r="L1111">
        <v>0</v>
      </c>
      <c r="M1111">
        <v>1</v>
      </c>
      <c r="N1111">
        <f t="shared" si="34"/>
        <v>-0.27779129108625711</v>
      </c>
      <c r="O1111">
        <f t="shared" si="35"/>
        <v>0.22932206189682661</v>
      </c>
    </row>
    <row r="1112" spans="1:15">
      <c r="A1112">
        <v>5790</v>
      </c>
      <c r="B1112">
        <v>25</v>
      </c>
      <c r="C1112">
        <v>6</v>
      </c>
      <c r="D1112">
        <v>16</v>
      </c>
      <c r="E1112">
        <v>20</v>
      </c>
      <c r="F1112">
        <v>0</v>
      </c>
      <c r="G1112">
        <v>5</v>
      </c>
      <c r="H1112" t="s">
        <v>11</v>
      </c>
      <c r="I1112">
        <v>31158</v>
      </c>
      <c r="J1112">
        <v>1</v>
      </c>
      <c r="K1112">
        <v>0</v>
      </c>
      <c r="L1112">
        <v>0</v>
      </c>
      <c r="M1112">
        <v>1</v>
      </c>
      <c r="N1112">
        <f t="shared" si="34"/>
        <v>-0.96694878990592115</v>
      </c>
      <c r="O1112">
        <f t="shared" si="35"/>
        <v>-0.14020513086476777</v>
      </c>
    </row>
    <row r="1113" spans="1:15">
      <c r="A1113">
        <v>5794</v>
      </c>
      <c r="B1113">
        <v>408</v>
      </c>
      <c r="C1113">
        <v>0</v>
      </c>
      <c r="D1113">
        <v>21</v>
      </c>
      <c r="E1113">
        <v>0</v>
      </c>
      <c r="F1113">
        <v>0</v>
      </c>
      <c r="G1113">
        <v>17</v>
      </c>
      <c r="H1113" t="s">
        <v>11</v>
      </c>
      <c r="I1113">
        <v>46374</v>
      </c>
      <c r="J1113">
        <v>0</v>
      </c>
      <c r="K1113">
        <v>1</v>
      </c>
      <c r="L1113">
        <v>0</v>
      </c>
      <c r="M1113">
        <v>1</v>
      </c>
      <c r="N1113">
        <f t="shared" si="34"/>
        <v>-0.26293935707342647</v>
      </c>
      <c r="O1113">
        <f t="shared" si="35"/>
        <v>0.23831695973997177</v>
      </c>
    </row>
    <row r="1114" spans="1:15">
      <c r="A1114">
        <v>5796</v>
      </c>
      <c r="B1114">
        <v>560</v>
      </c>
      <c r="C1114">
        <v>21</v>
      </c>
      <c r="D1114">
        <v>442</v>
      </c>
      <c r="E1114">
        <v>29</v>
      </c>
      <c r="F1114">
        <v>44</v>
      </c>
      <c r="G1114">
        <v>29</v>
      </c>
      <c r="H1114" t="s">
        <v>11</v>
      </c>
      <c r="I1114">
        <v>77437</v>
      </c>
      <c r="J1114">
        <v>0</v>
      </c>
      <c r="K1114">
        <v>0</v>
      </c>
      <c r="L1114">
        <v>0</v>
      </c>
      <c r="M1114">
        <v>1</v>
      </c>
      <c r="N1114">
        <f t="shared" si="34"/>
        <v>1.1742744318379683</v>
      </c>
      <c r="O1114">
        <f t="shared" si="35"/>
        <v>0.99391607773488</v>
      </c>
    </row>
    <row r="1115" spans="1:15">
      <c r="A1115">
        <v>5802</v>
      </c>
      <c r="B1115">
        <v>2</v>
      </c>
      <c r="C1115">
        <v>7</v>
      </c>
      <c r="D1115">
        <v>11</v>
      </c>
      <c r="E1115">
        <v>16</v>
      </c>
      <c r="F1115">
        <v>12</v>
      </c>
      <c r="G1115">
        <v>27</v>
      </c>
      <c r="H1115" t="s">
        <v>11</v>
      </c>
      <c r="I1115">
        <v>14188</v>
      </c>
      <c r="J1115">
        <v>0</v>
      </c>
      <c r="K1115">
        <v>0</v>
      </c>
      <c r="L1115">
        <v>0</v>
      </c>
      <c r="M1115">
        <v>1</v>
      </c>
      <c r="N1115">
        <f t="shared" si="34"/>
        <v>-1.752111781176126</v>
      </c>
      <c r="O1115">
        <f t="shared" si="35"/>
        <v>-0.44136319796758822</v>
      </c>
    </row>
    <row r="1116" spans="1:15">
      <c r="A1116">
        <v>5823</v>
      </c>
      <c r="B1116">
        <v>35</v>
      </c>
      <c r="C1116">
        <v>0</v>
      </c>
      <c r="D1116">
        <v>2</v>
      </c>
      <c r="E1116">
        <v>0</v>
      </c>
      <c r="F1116">
        <v>0</v>
      </c>
      <c r="G1116">
        <v>2</v>
      </c>
      <c r="H1116" t="s">
        <v>12</v>
      </c>
      <c r="I1116">
        <v>32303</v>
      </c>
      <c r="J1116">
        <v>0</v>
      </c>
      <c r="K1116">
        <v>1</v>
      </c>
      <c r="L1116">
        <v>1</v>
      </c>
      <c r="M1116">
        <v>0</v>
      </c>
      <c r="N1116">
        <f t="shared" si="34"/>
        <v>-0.91397226515610475</v>
      </c>
      <c r="O1116">
        <f t="shared" si="35"/>
        <v>-0.44949295450030852</v>
      </c>
    </row>
    <row r="1117" spans="1:15">
      <c r="A1117">
        <v>5824</v>
      </c>
      <c r="B1117">
        <v>7</v>
      </c>
      <c r="C1117">
        <v>0</v>
      </c>
      <c r="D1117">
        <v>1</v>
      </c>
      <c r="E1117">
        <v>0</v>
      </c>
      <c r="F1117">
        <v>0</v>
      </c>
      <c r="G1117">
        <v>0</v>
      </c>
      <c r="H1117" t="s">
        <v>11</v>
      </c>
      <c r="I1117">
        <v>34578</v>
      </c>
      <c r="J1117">
        <v>2</v>
      </c>
      <c r="K1117">
        <v>1</v>
      </c>
      <c r="L1117">
        <v>0</v>
      </c>
      <c r="M1117">
        <v>1</v>
      </c>
      <c r="N1117">
        <f t="shared" si="34"/>
        <v>-0.80871323126454819</v>
      </c>
      <c r="O1117">
        <f t="shared" si="35"/>
        <v>-4.2317225160091329E-2</v>
      </c>
    </row>
    <row r="1118" spans="1:15">
      <c r="A1118">
        <v>5827</v>
      </c>
      <c r="B1118">
        <v>36</v>
      </c>
      <c r="C1118">
        <v>0</v>
      </c>
      <c r="D1118">
        <v>12</v>
      </c>
      <c r="E1118">
        <v>2</v>
      </c>
      <c r="F1118">
        <v>2</v>
      </c>
      <c r="G1118">
        <v>10</v>
      </c>
      <c r="H1118" t="s">
        <v>12</v>
      </c>
      <c r="I1118">
        <v>35246</v>
      </c>
      <c r="J1118">
        <v>1</v>
      </c>
      <c r="K1118">
        <v>1</v>
      </c>
      <c r="L1118">
        <v>1</v>
      </c>
      <c r="M1118">
        <v>0</v>
      </c>
      <c r="N1118">
        <f t="shared" si="34"/>
        <v>-0.77780640285155478</v>
      </c>
      <c r="O1118">
        <f t="shared" si="35"/>
        <v>-0.33924446108948092</v>
      </c>
    </row>
    <row r="1119" spans="1:15">
      <c r="A1119">
        <v>5830</v>
      </c>
      <c r="B1119">
        <v>899</v>
      </c>
      <c r="C1119">
        <v>102</v>
      </c>
      <c r="D1119">
        <v>838</v>
      </c>
      <c r="E1119">
        <v>133</v>
      </c>
      <c r="F1119">
        <v>102</v>
      </c>
      <c r="G1119">
        <v>40</v>
      </c>
      <c r="H1119" t="s">
        <v>12</v>
      </c>
      <c r="I1119">
        <v>86857</v>
      </c>
      <c r="J1119">
        <v>0</v>
      </c>
      <c r="K1119">
        <v>0</v>
      </c>
      <c r="L1119">
        <v>1</v>
      </c>
      <c r="M1119">
        <v>0</v>
      </c>
      <c r="N1119">
        <f t="shared" si="34"/>
        <v>1.6101162337098203</v>
      </c>
      <c r="O1119">
        <f t="shared" si="35"/>
        <v>0.70348241330179806</v>
      </c>
    </row>
    <row r="1120" spans="1:15">
      <c r="A1120">
        <v>5831</v>
      </c>
      <c r="B1120">
        <v>1017</v>
      </c>
      <c r="C1120">
        <v>50</v>
      </c>
      <c r="D1120">
        <v>500</v>
      </c>
      <c r="E1120">
        <v>65</v>
      </c>
      <c r="F1120">
        <v>50</v>
      </c>
      <c r="G1120">
        <v>133</v>
      </c>
      <c r="H1120" t="s">
        <v>11</v>
      </c>
      <c r="I1120">
        <v>77870</v>
      </c>
      <c r="J1120">
        <v>0</v>
      </c>
      <c r="K1120">
        <v>1</v>
      </c>
      <c r="L1120">
        <v>0</v>
      </c>
      <c r="M1120">
        <v>1</v>
      </c>
      <c r="N1120">
        <f t="shared" si="34"/>
        <v>1.1943083490577679</v>
      </c>
      <c r="O1120">
        <f t="shared" si="35"/>
        <v>0.8371382775328996</v>
      </c>
    </row>
    <row r="1121" spans="1:15">
      <c r="A1121">
        <v>5832</v>
      </c>
      <c r="B1121">
        <v>493</v>
      </c>
      <c r="C1121">
        <v>183</v>
      </c>
      <c r="D1121">
        <v>352</v>
      </c>
      <c r="E1121">
        <v>184</v>
      </c>
      <c r="F1121">
        <v>23</v>
      </c>
      <c r="G1121">
        <v>28</v>
      </c>
      <c r="H1121" t="s">
        <v>11</v>
      </c>
      <c r="I1121">
        <v>92556</v>
      </c>
      <c r="J1121">
        <v>0</v>
      </c>
      <c r="K1121">
        <v>0</v>
      </c>
      <c r="L1121">
        <v>0</v>
      </c>
      <c r="M1121">
        <v>1</v>
      </c>
      <c r="N1121">
        <f t="shared" si="34"/>
        <v>1.8737958970715702</v>
      </c>
      <c r="O1121">
        <f t="shared" si="35"/>
        <v>0.99451055704401914</v>
      </c>
    </row>
    <row r="1122" spans="1:15">
      <c r="A1122">
        <v>5835</v>
      </c>
      <c r="B1122">
        <v>21</v>
      </c>
      <c r="C1122">
        <v>2</v>
      </c>
      <c r="D1122">
        <v>28</v>
      </c>
      <c r="E1122">
        <v>3</v>
      </c>
      <c r="F1122">
        <v>2</v>
      </c>
      <c r="G1122">
        <v>9</v>
      </c>
      <c r="H1122" t="s">
        <v>12</v>
      </c>
      <c r="I1122">
        <v>14849</v>
      </c>
      <c r="J1122">
        <v>1</v>
      </c>
      <c r="K1122">
        <v>0</v>
      </c>
      <c r="L1122">
        <v>1</v>
      </c>
      <c r="M1122">
        <v>0</v>
      </c>
      <c r="N1122">
        <f t="shared" si="34"/>
        <v>-1.7215288267135682</v>
      </c>
      <c r="O1122">
        <f t="shared" si="35"/>
        <v>-0.63989110177772124</v>
      </c>
    </row>
    <row r="1123" spans="1:15">
      <c r="A1123">
        <v>5837</v>
      </c>
      <c r="B1123">
        <v>247</v>
      </c>
      <c r="C1123">
        <v>8</v>
      </c>
      <c r="D1123">
        <v>160</v>
      </c>
      <c r="E1123">
        <v>6</v>
      </c>
      <c r="F1123">
        <v>8</v>
      </c>
      <c r="G1123">
        <v>65</v>
      </c>
      <c r="H1123" t="s">
        <v>11</v>
      </c>
      <c r="I1123">
        <v>51479</v>
      </c>
      <c r="J1123">
        <v>1</v>
      </c>
      <c r="K1123">
        <v>1</v>
      </c>
      <c r="L1123">
        <v>0</v>
      </c>
      <c r="M1123">
        <v>1</v>
      </c>
      <c r="N1123">
        <f t="shared" si="34"/>
        <v>-2.6742711791493918E-2</v>
      </c>
      <c r="O1123">
        <f t="shared" si="35"/>
        <v>0.31081174532527328</v>
      </c>
    </row>
    <row r="1124" spans="1:15">
      <c r="A1124">
        <v>5841</v>
      </c>
      <c r="B1124">
        <v>606</v>
      </c>
      <c r="C1124">
        <v>7</v>
      </c>
      <c r="D1124">
        <v>155</v>
      </c>
      <c r="E1124">
        <v>10</v>
      </c>
      <c r="F1124">
        <v>0</v>
      </c>
      <c r="G1124">
        <v>54</v>
      </c>
      <c r="H1124" t="s">
        <v>11</v>
      </c>
      <c r="I1124">
        <v>60894</v>
      </c>
      <c r="J1124">
        <v>0</v>
      </c>
      <c r="K1124">
        <v>1</v>
      </c>
      <c r="L1124">
        <v>0</v>
      </c>
      <c r="M1124">
        <v>1</v>
      </c>
      <c r="N1124">
        <f t="shared" si="34"/>
        <v>0.40886775154433269</v>
      </c>
      <c r="O1124">
        <f t="shared" si="35"/>
        <v>0.61077623453900809</v>
      </c>
    </row>
    <row r="1125" spans="1:15">
      <c r="A1125">
        <v>5846</v>
      </c>
      <c r="B1125">
        <v>2</v>
      </c>
      <c r="C1125">
        <v>1</v>
      </c>
      <c r="D1125">
        <v>6</v>
      </c>
      <c r="E1125">
        <v>2</v>
      </c>
      <c r="F1125">
        <v>1</v>
      </c>
      <c r="G1125">
        <v>1</v>
      </c>
      <c r="H1125" t="s">
        <v>12</v>
      </c>
      <c r="I1125">
        <v>40246</v>
      </c>
      <c r="J1125">
        <v>1</v>
      </c>
      <c r="K1125">
        <v>0</v>
      </c>
      <c r="L1125">
        <v>1</v>
      </c>
      <c r="M1125">
        <v>0</v>
      </c>
      <c r="N1125">
        <f t="shared" si="34"/>
        <v>-0.54646786682615567</v>
      </c>
      <c r="O1125">
        <f t="shared" si="35"/>
        <v>-0.29848548444174489</v>
      </c>
    </row>
    <row r="1126" spans="1:15">
      <c r="A1126">
        <v>5847</v>
      </c>
      <c r="B1126">
        <v>312</v>
      </c>
      <c r="C1126">
        <v>21</v>
      </c>
      <c r="D1126">
        <v>206</v>
      </c>
      <c r="E1126">
        <v>102</v>
      </c>
      <c r="F1126">
        <v>92</v>
      </c>
      <c r="G1126">
        <v>149</v>
      </c>
      <c r="H1126" t="s">
        <v>12</v>
      </c>
      <c r="I1126">
        <v>69901</v>
      </c>
      <c r="J1126">
        <v>0</v>
      </c>
      <c r="K1126">
        <v>1</v>
      </c>
      <c r="L1126">
        <v>1</v>
      </c>
      <c r="M1126">
        <v>0</v>
      </c>
      <c r="N1126">
        <f t="shared" si="34"/>
        <v>0.82560099034048673</v>
      </c>
      <c r="O1126">
        <f t="shared" si="35"/>
        <v>0.41750788383683063</v>
      </c>
    </row>
    <row r="1127" spans="1:15">
      <c r="A1127">
        <v>5848</v>
      </c>
      <c r="B1127">
        <v>724</v>
      </c>
      <c r="C1127">
        <v>74</v>
      </c>
      <c r="D1127">
        <v>929</v>
      </c>
      <c r="E1127">
        <v>97</v>
      </c>
      <c r="F1127">
        <v>55</v>
      </c>
      <c r="G1127">
        <v>130</v>
      </c>
      <c r="H1127" t="s">
        <v>11</v>
      </c>
      <c r="I1127">
        <v>81205</v>
      </c>
      <c r="J1127">
        <v>0</v>
      </c>
      <c r="K1127">
        <v>0</v>
      </c>
      <c r="L1127">
        <v>0</v>
      </c>
      <c r="M1127">
        <v>1</v>
      </c>
      <c r="N1127">
        <f t="shared" si="34"/>
        <v>1.348611152586709</v>
      </c>
      <c r="O1127">
        <f t="shared" si="35"/>
        <v>0.99907611929680218</v>
      </c>
    </row>
    <row r="1128" spans="1:15">
      <c r="A1128">
        <v>5863</v>
      </c>
      <c r="B1128">
        <v>359</v>
      </c>
      <c r="C1128">
        <v>0</v>
      </c>
      <c r="D1128">
        <v>134</v>
      </c>
      <c r="E1128">
        <v>13</v>
      </c>
      <c r="F1128">
        <v>26</v>
      </c>
      <c r="G1128">
        <v>123</v>
      </c>
      <c r="H1128" t="s">
        <v>11</v>
      </c>
      <c r="I1128">
        <v>47703</v>
      </c>
      <c r="J1128">
        <v>0</v>
      </c>
      <c r="K1128">
        <v>1</v>
      </c>
      <c r="L1128">
        <v>0</v>
      </c>
      <c r="M1128">
        <v>1</v>
      </c>
      <c r="N1128">
        <f t="shared" si="34"/>
        <v>-0.20144957419787538</v>
      </c>
      <c r="O1128">
        <f t="shared" si="35"/>
        <v>0.27562528362856958</v>
      </c>
    </row>
    <row r="1129" spans="1:15">
      <c r="A1129">
        <v>5866</v>
      </c>
      <c r="B1129">
        <v>97</v>
      </c>
      <c r="C1129">
        <v>3</v>
      </c>
      <c r="D1129">
        <v>66</v>
      </c>
      <c r="E1129">
        <v>12</v>
      </c>
      <c r="F1129">
        <v>7</v>
      </c>
      <c r="G1129">
        <v>34</v>
      </c>
      <c r="H1129" t="s">
        <v>11</v>
      </c>
      <c r="I1129">
        <v>48186</v>
      </c>
      <c r="J1129">
        <v>1</v>
      </c>
      <c r="K1129">
        <v>0</v>
      </c>
      <c r="L1129">
        <v>0</v>
      </c>
      <c r="M1129">
        <v>1</v>
      </c>
      <c r="N1129">
        <f t="shared" si="34"/>
        <v>-0.1791022716178218</v>
      </c>
      <c r="O1129">
        <f t="shared" si="35"/>
        <v>0.28918361716477242</v>
      </c>
    </row>
    <row r="1130" spans="1:15">
      <c r="A1130">
        <v>5868</v>
      </c>
      <c r="B1130">
        <v>2</v>
      </c>
      <c r="C1130">
        <v>4</v>
      </c>
      <c r="D1130">
        <v>9</v>
      </c>
      <c r="E1130">
        <v>10</v>
      </c>
      <c r="F1130">
        <v>5</v>
      </c>
      <c r="G1130">
        <v>16</v>
      </c>
      <c r="H1130" t="s">
        <v>11</v>
      </c>
      <c r="I1130">
        <v>19107</v>
      </c>
      <c r="J1130">
        <v>1</v>
      </c>
      <c r="K1130">
        <v>0</v>
      </c>
      <c r="L1130">
        <v>0</v>
      </c>
      <c r="M1130">
        <v>1</v>
      </c>
      <c r="N1130">
        <f t="shared" si="34"/>
        <v>-1.5245209294343383</v>
      </c>
      <c r="O1130">
        <f t="shared" si="35"/>
        <v>-0.3375550212555587</v>
      </c>
    </row>
    <row r="1131" spans="1:15">
      <c r="A1131">
        <v>5871</v>
      </c>
      <c r="B1131">
        <v>73</v>
      </c>
      <c r="C1131">
        <v>28</v>
      </c>
      <c r="D1131">
        <v>217</v>
      </c>
      <c r="E1131">
        <v>10</v>
      </c>
      <c r="F1131">
        <v>24</v>
      </c>
      <c r="G1131">
        <v>115</v>
      </c>
      <c r="H1131" t="s">
        <v>11</v>
      </c>
      <c r="I1131">
        <v>24401</v>
      </c>
      <c r="J1131">
        <v>0</v>
      </c>
      <c r="K1131">
        <v>0</v>
      </c>
      <c r="L1131">
        <v>0</v>
      </c>
      <c r="M1131">
        <v>1</v>
      </c>
      <c r="N1131">
        <f t="shared" si="34"/>
        <v>-1.2795796874906455</v>
      </c>
      <c r="O1131">
        <f t="shared" si="35"/>
        <v>-0.3073259545129744</v>
      </c>
    </row>
    <row r="1132" spans="1:15">
      <c r="A1132">
        <v>5872</v>
      </c>
      <c r="B1132">
        <v>240</v>
      </c>
      <c r="C1132">
        <v>90</v>
      </c>
      <c r="D1132">
        <v>216</v>
      </c>
      <c r="E1132">
        <v>63</v>
      </c>
      <c r="F1132">
        <v>6</v>
      </c>
      <c r="G1132">
        <v>24</v>
      </c>
      <c r="H1132" t="s">
        <v>12</v>
      </c>
      <c r="I1132">
        <v>60689</v>
      </c>
      <c r="J1132">
        <v>0</v>
      </c>
      <c r="K1132">
        <v>1</v>
      </c>
      <c r="L1132">
        <v>1</v>
      </c>
      <c r="M1132">
        <v>0</v>
      </c>
      <c r="N1132">
        <f t="shared" si="34"/>
        <v>0.39938287156729135</v>
      </c>
      <c r="O1132">
        <f t="shared" si="35"/>
        <v>0.22506346959732548</v>
      </c>
    </row>
    <row r="1133" spans="1:15">
      <c r="A1133">
        <v>5883</v>
      </c>
      <c r="B1133">
        <v>138</v>
      </c>
      <c r="C1133">
        <v>120</v>
      </c>
      <c r="D1133">
        <v>204</v>
      </c>
      <c r="E1133">
        <v>16</v>
      </c>
      <c r="F1133">
        <v>126</v>
      </c>
      <c r="G1133">
        <v>60</v>
      </c>
      <c r="H1133" t="s">
        <v>11</v>
      </c>
      <c r="I1133">
        <v>77981</v>
      </c>
      <c r="J1133">
        <v>1</v>
      </c>
      <c r="K1133">
        <v>0</v>
      </c>
      <c r="L1133">
        <v>0</v>
      </c>
      <c r="M1133">
        <v>1</v>
      </c>
      <c r="N1133">
        <f t="shared" si="34"/>
        <v>1.1994440645575317</v>
      </c>
      <c r="O1133">
        <f t="shared" si="35"/>
        <v>0.83793400459751344</v>
      </c>
    </row>
    <row r="1134" spans="1:15">
      <c r="A1134">
        <v>5892</v>
      </c>
      <c r="B1134">
        <v>158</v>
      </c>
      <c r="C1134">
        <v>6</v>
      </c>
      <c r="D1134">
        <v>45</v>
      </c>
      <c r="E1134">
        <v>8</v>
      </c>
      <c r="F1134">
        <v>2</v>
      </c>
      <c r="G1134">
        <v>2</v>
      </c>
      <c r="H1134" t="s">
        <v>11</v>
      </c>
      <c r="I1134">
        <v>34968</v>
      </c>
      <c r="J1134">
        <v>1</v>
      </c>
      <c r="K1134">
        <v>0</v>
      </c>
      <c r="L1134">
        <v>0</v>
      </c>
      <c r="M1134">
        <v>1</v>
      </c>
      <c r="N1134">
        <f t="shared" si="34"/>
        <v>-0.79066882545456707</v>
      </c>
      <c r="O1134">
        <f t="shared" si="35"/>
        <v>-5.8149623127411371E-2</v>
      </c>
    </row>
    <row r="1135" spans="1:15">
      <c r="A1135">
        <v>5896</v>
      </c>
      <c r="B1135">
        <v>272</v>
      </c>
      <c r="C1135">
        <v>7</v>
      </c>
      <c r="D1135">
        <v>80</v>
      </c>
      <c r="E1135">
        <v>20</v>
      </c>
      <c r="F1135">
        <v>7</v>
      </c>
      <c r="G1135">
        <v>11</v>
      </c>
      <c r="H1135" t="s">
        <v>11</v>
      </c>
      <c r="I1135">
        <v>73395</v>
      </c>
      <c r="J1135">
        <v>0</v>
      </c>
      <c r="K1135">
        <v>0</v>
      </c>
      <c r="L1135">
        <v>0</v>
      </c>
      <c r="M1135">
        <v>1</v>
      </c>
      <c r="N1135">
        <f t="shared" si="34"/>
        <v>0.98726035931503564</v>
      </c>
      <c r="O1135">
        <f t="shared" si="35"/>
        <v>0.98070581554489245</v>
      </c>
    </row>
    <row r="1136" spans="1:15">
      <c r="A1136">
        <v>5899</v>
      </c>
      <c r="B1136">
        <v>28</v>
      </c>
      <c r="C1136">
        <v>0</v>
      </c>
      <c r="D1136">
        <v>6</v>
      </c>
      <c r="E1136">
        <v>1</v>
      </c>
      <c r="F1136">
        <v>1</v>
      </c>
      <c r="G1136">
        <v>13</v>
      </c>
      <c r="H1136" t="s">
        <v>11</v>
      </c>
      <c r="I1136">
        <v>5648</v>
      </c>
      <c r="J1136">
        <v>1</v>
      </c>
      <c r="K1136">
        <v>1</v>
      </c>
      <c r="L1136">
        <v>0</v>
      </c>
      <c r="M1136">
        <v>1</v>
      </c>
      <c r="N1136">
        <f t="shared" si="34"/>
        <v>-2.1472380007075076</v>
      </c>
      <c r="O1136">
        <f t="shared" si="35"/>
        <v>-0.44136750001753616</v>
      </c>
    </row>
    <row r="1137" spans="1:15">
      <c r="A1137">
        <v>5907</v>
      </c>
      <c r="B1137">
        <v>8</v>
      </c>
      <c r="C1137">
        <v>0</v>
      </c>
      <c r="D1137">
        <v>8</v>
      </c>
      <c r="E1137">
        <v>0</v>
      </c>
      <c r="F1137">
        <v>0</v>
      </c>
      <c r="G1137">
        <v>2</v>
      </c>
      <c r="H1137" t="s">
        <v>11</v>
      </c>
      <c r="I1137">
        <v>33444</v>
      </c>
      <c r="J1137">
        <v>1</v>
      </c>
      <c r="K1137">
        <v>1</v>
      </c>
      <c r="L1137">
        <v>0</v>
      </c>
      <c r="M1137">
        <v>1</v>
      </c>
      <c r="N1137">
        <f t="shared" si="34"/>
        <v>-0.8611808112351087</v>
      </c>
      <c r="O1137">
        <f t="shared" si="35"/>
        <v>-7.8894661261278878E-2</v>
      </c>
    </row>
    <row r="1138" spans="1:15">
      <c r="A1138">
        <v>5909</v>
      </c>
      <c r="B1138">
        <v>895</v>
      </c>
      <c r="C1138">
        <v>10</v>
      </c>
      <c r="D1138">
        <v>101</v>
      </c>
      <c r="E1138">
        <v>13</v>
      </c>
      <c r="F1138">
        <v>0</v>
      </c>
      <c r="G1138">
        <v>152</v>
      </c>
      <c r="H1138" t="s">
        <v>11</v>
      </c>
      <c r="I1138">
        <v>58512</v>
      </c>
      <c r="J1138">
        <v>0</v>
      </c>
      <c r="K1138">
        <v>1</v>
      </c>
      <c r="L1138">
        <v>0</v>
      </c>
      <c r="M1138">
        <v>1</v>
      </c>
      <c r="N1138">
        <f t="shared" si="34"/>
        <v>0.29865807298183256</v>
      </c>
      <c r="O1138">
        <f t="shared" si="35"/>
        <v>0.55892731417622088</v>
      </c>
    </row>
    <row r="1139" spans="1:15">
      <c r="A1139">
        <v>5922</v>
      </c>
      <c r="B1139">
        <v>210</v>
      </c>
      <c r="C1139">
        <v>0</v>
      </c>
      <c r="D1139">
        <v>6</v>
      </c>
      <c r="E1139">
        <v>0</v>
      </c>
      <c r="F1139">
        <v>0</v>
      </c>
      <c r="G1139">
        <v>2</v>
      </c>
      <c r="H1139" t="s">
        <v>11</v>
      </c>
      <c r="I1139">
        <v>40344</v>
      </c>
      <c r="J1139">
        <v>0</v>
      </c>
      <c r="K1139">
        <v>1</v>
      </c>
      <c r="L1139">
        <v>0</v>
      </c>
      <c r="M1139">
        <v>1</v>
      </c>
      <c r="N1139">
        <f t="shared" si="34"/>
        <v>-0.5419336315200578</v>
      </c>
      <c r="O1139">
        <f t="shared" si="35"/>
        <v>7.3797856110014728E-2</v>
      </c>
    </row>
    <row r="1140" spans="1:15">
      <c r="A1140">
        <v>5929</v>
      </c>
      <c r="B1140">
        <v>19</v>
      </c>
      <c r="C1140">
        <v>3</v>
      </c>
      <c r="D1140">
        <v>19</v>
      </c>
      <c r="E1140">
        <v>3</v>
      </c>
      <c r="F1140">
        <v>1</v>
      </c>
      <c r="G1140">
        <v>3</v>
      </c>
      <c r="H1140" t="s">
        <v>11</v>
      </c>
      <c r="I1140">
        <v>37401</v>
      </c>
      <c r="J1140">
        <v>1</v>
      </c>
      <c r="K1140">
        <v>0</v>
      </c>
      <c r="L1140">
        <v>0</v>
      </c>
      <c r="M1140">
        <v>1</v>
      </c>
      <c r="N1140">
        <f t="shared" si="34"/>
        <v>-0.67809949382460777</v>
      </c>
      <c r="O1140">
        <f t="shared" si="35"/>
        <v>-6.3451041060787758E-4</v>
      </c>
    </row>
    <row r="1141" spans="1:15">
      <c r="A1141">
        <v>5935</v>
      </c>
      <c r="B1141">
        <v>547</v>
      </c>
      <c r="C1141">
        <v>7</v>
      </c>
      <c r="D1141">
        <v>140</v>
      </c>
      <c r="E1141">
        <v>0</v>
      </c>
      <c r="F1141">
        <v>7</v>
      </c>
      <c r="G1141">
        <v>63</v>
      </c>
      <c r="H1141" t="s">
        <v>12</v>
      </c>
      <c r="I1141">
        <v>55284</v>
      </c>
      <c r="J1141">
        <v>0</v>
      </c>
      <c r="K1141">
        <v>1</v>
      </c>
      <c r="L1141">
        <v>1</v>
      </c>
      <c r="M1141">
        <v>0</v>
      </c>
      <c r="N1141">
        <f t="shared" si="34"/>
        <v>0.14930591412383484</v>
      </c>
      <c r="O1141">
        <f t="shared" si="35"/>
        <v>8.6945658606948459E-2</v>
      </c>
    </row>
    <row r="1142" spans="1:15">
      <c r="A1142">
        <v>5939</v>
      </c>
      <c r="B1142">
        <v>43</v>
      </c>
      <c r="C1142">
        <v>5</v>
      </c>
      <c r="D1142">
        <v>28</v>
      </c>
      <c r="E1142">
        <v>7</v>
      </c>
      <c r="F1142">
        <v>6</v>
      </c>
      <c r="G1142">
        <v>33</v>
      </c>
      <c r="H1142" t="s">
        <v>11</v>
      </c>
      <c r="I1142">
        <v>38232</v>
      </c>
      <c r="J1142">
        <v>1</v>
      </c>
      <c r="K1142">
        <v>1</v>
      </c>
      <c r="L1142">
        <v>0</v>
      </c>
      <c r="M1142">
        <v>1</v>
      </c>
      <c r="N1142">
        <f t="shared" si="34"/>
        <v>-0.63965102913718641</v>
      </c>
      <c r="O1142">
        <f t="shared" si="35"/>
        <v>1.6705446417068337E-2</v>
      </c>
    </row>
    <row r="1143" spans="1:15">
      <c r="A1143">
        <v>5948</v>
      </c>
      <c r="B1143">
        <v>143</v>
      </c>
      <c r="C1143">
        <v>6</v>
      </c>
      <c r="D1143">
        <v>52</v>
      </c>
      <c r="E1143">
        <v>11</v>
      </c>
      <c r="F1143">
        <v>8</v>
      </c>
      <c r="G1143">
        <v>17</v>
      </c>
      <c r="H1143" t="s">
        <v>12</v>
      </c>
      <c r="I1143">
        <v>57338</v>
      </c>
      <c r="J1143">
        <v>0</v>
      </c>
      <c r="K1143">
        <v>1</v>
      </c>
      <c r="L1143">
        <v>1</v>
      </c>
      <c r="M1143">
        <v>0</v>
      </c>
      <c r="N1143">
        <f t="shared" si="34"/>
        <v>0.2443397847230688</v>
      </c>
      <c r="O1143">
        <f t="shared" si="35"/>
        <v>0.14098887626651163</v>
      </c>
    </row>
    <row r="1144" spans="1:15">
      <c r="A1144">
        <v>5954</v>
      </c>
      <c r="B1144">
        <v>76</v>
      </c>
      <c r="C1144">
        <v>14</v>
      </c>
      <c r="D1144">
        <v>74</v>
      </c>
      <c r="E1144">
        <v>13</v>
      </c>
      <c r="F1144">
        <v>5</v>
      </c>
      <c r="G1144">
        <v>10</v>
      </c>
      <c r="H1144" t="s">
        <v>12</v>
      </c>
      <c r="I1144">
        <v>42618</v>
      </c>
      <c r="J1144">
        <v>1</v>
      </c>
      <c r="K1144">
        <v>0</v>
      </c>
      <c r="L1144">
        <v>1</v>
      </c>
      <c r="M1144">
        <v>0</v>
      </c>
      <c r="N1144">
        <f t="shared" si="34"/>
        <v>-0.43672086533570631</v>
      </c>
      <c r="O1144">
        <f t="shared" si="35"/>
        <v>-0.24434465790457721</v>
      </c>
    </row>
    <row r="1145" spans="1:15">
      <c r="A1145">
        <v>5955</v>
      </c>
      <c r="B1145">
        <v>833</v>
      </c>
      <c r="C1145">
        <v>33</v>
      </c>
      <c r="D1145">
        <v>549</v>
      </c>
      <c r="E1145">
        <v>151</v>
      </c>
      <c r="F1145">
        <v>133</v>
      </c>
      <c r="G1145">
        <v>233</v>
      </c>
      <c r="H1145" t="s">
        <v>11</v>
      </c>
      <c r="I1145">
        <v>72025</v>
      </c>
      <c r="J1145">
        <v>0</v>
      </c>
      <c r="K1145">
        <v>0</v>
      </c>
      <c r="L1145">
        <v>0</v>
      </c>
      <c r="M1145">
        <v>1</v>
      </c>
      <c r="N1145">
        <f t="shared" si="34"/>
        <v>0.92387360044407629</v>
      </c>
      <c r="O1145">
        <f t="shared" si="35"/>
        <v>0.9736904221077709</v>
      </c>
    </row>
    <row r="1146" spans="1:15">
      <c r="A1146">
        <v>5956</v>
      </c>
      <c r="B1146">
        <v>144</v>
      </c>
      <c r="C1146">
        <v>2</v>
      </c>
      <c r="D1146">
        <v>99</v>
      </c>
      <c r="E1146">
        <v>7</v>
      </c>
      <c r="F1146">
        <v>2</v>
      </c>
      <c r="G1146">
        <v>30</v>
      </c>
      <c r="H1146" t="s">
        <v>12</v>
      </c>
      <c r="I1146">
        <v>45072</v>
      </c>
      <c r="J1146">
        <v>1</v>
      </c>
      <c r="K1146">
        <v>2</v>
      </c>
      <c r="L1146">
        <v>1</v>
      </c>
      <c r="M1146">
        <v>0</v>
      </c>
      <c r="N1146">
        <f t="shared" si="34"/>
        <v>-0.32317991185444039</v>
      </c>
      <c r="O1146">
        <f t="shared" si="35"/>
        <v>-0.10832136065274506</v>
      </c>
    </row>
    <row r="1147" spans="1:15">
      <c r="A1147">
        <v>5959</v>
      </c>
      <c r="B1147">
        <v>158</v>
      </c>
      <c r="C1147">
        <v>0</v>
      </c>
      <c r="D1147">
        <v>23</v>
      </c>
      <c r="E1147">
        <v>0</v>
      </c>
      <c r="F1147">
        <v>0</v>
      </c>
      <c r="G1147">
        <v>18</v>
      </c>
      <c r="H1147" t="s">
        <v>12</v>
      </c>
      <c r="I1147">
        <v>35893</v>
      </c>
      <c r="J1147">
        <v>1</v>
      </c>
      <c r="K1147">
        <v>1</v>
      </c>
      <c r="L1147">
        <v>1</v>
      </c>
      <c r="M1147">
        <v>0</v>
      </c>
      <c r="N1147">
        <f t="shared" si="34"/>
        <v>-0.7478711962898682</v>
      </c>
      <c r="O1147">
        <f t="shared" si="35"/>
        <v>-0.32827413745518252</v>
      </c>
    </row>
    <row r="1148" spans="1:15">
      <c r="A1148">
        <v>5961</v>
      </c>
      <c r="B1148">
        <v>8</v>
      </c>
      <c r="C1148">
        <v>4</v>
      </c>
      <c r="D1148">
        <v>20</v>
      </c>
      <c r="E1148">
        <v>6</v>
      </c>
      <c r="F1148">
        <v>3</v>
      </c>
      <c r="G1148">
        <v>16</v>
      </c>
      <c r="H1148" t="s">
        <v>11</v>
      </c>
      <c r="I1148">
        <v>42693</v>
      </c>
      <c r="J1148">
        <v>1</v>
      </c>
      <c r="K1148">
        <v>0</v>
      </c>
      <c r="L1148">
        <v>0</v>
      </c>
      <c r="M1148">
        <v>1</v>
      </c>
      <c r="N1148">
        <f t="shared" si="34"/>
        <v>-0.43325078729532535</v>
      </c>
      <c r="O1148">
        <f t="shared" si="35"/>
        <v>0.13641414958699255</v>
      </c>
    </row>
    <row r="1149" spans="1:15">
      <c r="A1149">
        <v>5966</v>
      </c>
      <c r="B1149">
        <v>203</v>
      </c>
      <c r="C1149">
        <v>0</v>
      </c>
      <c r="D1149">
        <v>10</v>
      </c>
      <c r="E1149">
        <v>0</v>
      </c>
      <c r="F1149">
        <v>0</v>
      </c>
      <c r="G1149">
        <v>2</v>
      </c>
      <c r="H1149" t="s">
        <v>11</v>
      </c>
      <c r="I1149">
        <v>45207</v>
      </c>
      <c r="J1149">
        <v>1</v>
      </c>
      <c r="K1149">
        <v>1</v>
      </c>
      <c r="L1149">
        <v>0</v>
      </c>
      <c r="M1149">
        <v>1</v>
      </c>
      <c r="N1149">
        <f t="shared" si="34"/>
        <v>-0.3169337713817546</v>
      </c>
      <c r="O1149">
        <f t="shared" si="35"/>
        <v>0.16929330546893973</v>
      </c>
    </row>
    <row r="1150" spans="1:15">
      <c r="A1150">
        <v>5967</v>
      </c>
      <c r="B1150">
        <v>26</v>
      </c>
      <c r="C1150">
        <v>2</v>
      </c>
      <c r="D1150">
        <v>19</v>
      </c>
      <c r="E1150">
        <v>10</v>
      </c>
      <c r="F1150">
        <v>5</v>
      </c>
      <c r="G1150">
        <v>8</v>
      </c>
      <c r="H1150" t="s">
        <v>11</v>
      </c>
      <c r="I1150">
        <v>33402</v>
      </c>
      <c r="J1150">
        <v>1</v>
      </c>
      <c r="K1150">
        <v>1</v>
      </c>
      <c r="L1150">
        <v>0</v>
      </c>
      <c r="M1150">
        <v>1</v>
      </c>
      <c r="N1150">
        <f t="shared" si="34"/>
        <v>-0.86312405493772204</v>
      </c>
      <c r="O1150">
        <f t="shared" si="35"/>
        <v>-7.9690921751889063E-2</v>
      </c>
    </row>
    <row r="1151" spans="1:15">
      <c r="A1151">
        <v>5975</v>
      </c>
      <c r="B1151">
        <v>37</v>
      </c>
      <c r="C1151">
        <v>0</v>
      </c>
      <c r="D1151">
        <v>17</v>
      </c>
      <c r="E1151">
        <v>0</v>
      </c>
      <c r="F1151">
        <v>0</v>
      </c>
      <c r="G1151">
        <v>3</v>
      </c>
      <c r="H1151" t="s">
        <v>12</v>
      </c>
      <c r="I1151">
        <v>40304</v>
      </c>
      <c r="J1151">
        <v>1</v>
      </c>
      <c r="K1151">
        <v>0</v>
      </c>
      <c r="L1151">
        <v>1</v>
      </c>
      <c r="M1151">
        <v>0</v>
      </c>
      <c r="N1151">
        <f t="shared" si="34"/>
        <v>-0.54378433980826102</v>
      </c>
      <c r="O1151">
        <f t="shared" si="35"/>
        <v>-0.29720892456602316</v>
      </c>
    </row>
    <row r="1152" spans="1:15">
      <c r="A1152">
        <v>5985</v>
      </c>
      <c r="B1152">
        <v>80</v>
      </c>
      <c r="C1152">
        <v>1</v>
      </c>
      <c r="D1152">
        <v>37</v>
      </c>
      <c r="E1152">
        <v>0</v>
      </c>
      <c r="F1152">
        <v>1</v>
      </c>
      <c r="G1152">
        <v>3</v>
      </c>
      <c r="H1152" t="s">
        <v>12</v>
      </c>
      <c r="I1152">
        <v>33168</v>
      </c>
      <c r="J1152">
        <v>0</v>
      </c>
      <c r="K1152">
        <v>1</v>
      </c>
      <c r="L1152">
        <v>1</v>
      </c>
      <c r="M1152">
        <v>0</v>
      </c>
      <c r="N1152">
        <f t="shared" si="34"/>
        <v>-0.87395069842371076</v>
      </c>
      <c r="O1152">
        <f t="shared" si="35"/>
        <v>-0.43533870122167112</v>
      </c>
    </row>
    <row r="1153" spans="1:15">
      <c r="A1153">
        <v>5987</v>
      </c>
      <c r="B1153">
        <v>2</v>
      </c>
      <c r="C1153">
        <v>2</v>
      </c>
      <c r="D1153">
        <v>11</v>
      </c>
      <c r="E1153">
        <v>10</v>
      </c>
      <c r="F1153">
        <v>6</v>
      </c>
      <c r="G1153">
        <v>12</v>
      </c>
      <c r="H1153" t="s">
        <v>11</v>
      </c>
      <c r="I1153">
        <v>10404</v>
      </c>
      <c r="J1153">
        <v>1</v>
      </c>
      <c r="K1153">
        <v>0</v>
      </c>
      <c r="L1153">
        <v>0</v>
      </c>
      <c r="M1153">
        <v>1</v>
      </c>
      <c r="N1153">
        <f t="shared" si="34"/>
        <v>-1.9271887852401479</v>
      </c>
      <c r="O1153">
        <f t="shared" si="35"/>
        <v>-0.43314338284663317</v>
      </c>
    </row>
    <row r="1154" spans="1:15">
      <c r="A1154">
        <v>5989</v>
      </c>
      <c r="B1154">
        <v>752</v>
      </c>
      <c r="C1154">
        <v>122</v>
      </c>
      <c r="D1154">
        <v>476</v>
      </c>
      <c r="E1154">
        <v>39</v>
      </c>
      <c r="F1154">
        <v>153</v>
      </c>
      <c r="G1154">
        <v>34</v>
      </c>
      <c r="H1154" t="s">
        <v>12</v>
      </c>
      <c r="I1154">
        <v>78353</v>
      </c>
      <c r="J1154">
        <v>0</v>
      </c>
      <c r="K1154">
        <v>1</v>
      </c>
      <c r="L1154">
        <v>1</v>
      </c>
      <c r="M1154">
        <v>0</v>
      </c>
      <c r="N1154">
        <f t="shared" si="34"/>
        <v>1.2166556516378215</v>
      </c>
      <c r="O1154">
        <f t="shared" si="35"/>
        <v>0.54007645725346609</v>
      </c>
    </row>
    <row r="1155" spans="1:15">
      <c r="A1155">
        <v>5991</v>
      </c>
      <c r="B1155">
        <v>173</v>
      </c>
      <c r="C1155">
        <v>2</v>
      </c>
      <c r="D1155">
        <v>39</v>
      </c>
      <c r="E1155">
        <v>3</v>
      </c>
      <c r="F1155">
        <v>2</v>
      </c>
      <c r="G1155">
        <v>47</v>
      </c>
      <c r="H1155" t="s">
        <v>11</v>
      </c>
      <c r="I1155">
        <v>48150</v>
      </c>
      <c r="J1155">
        <v>0</v>
      </c>
      <c r="K1155">
        <v>1</v>
      </c>
      <c r="L1155">
        <v>0</v>
      </c>
      <c r="M1155">
        <v>1</v>
      </c>
      <c r="N1155">
        <f t="shared" ref="N1155:N1218" si="36">STANDARDIZE(I1155,$Q$1,$R$1)</f>
        <v>-0.18076790907720469</v>
      </c>
      <c r="O1155">
        <f t="shared" ref="O1155:O1218" si="37">SUMPRODUCT(J1155:N1155,$Q$4:$U$4) / SQRT(SUMSQ(J1155:N1155) * SUMSQ($Q$4:$U$4))</f>
        <v>0.28817350191152807</v>
      </c>
    </row>
    <row r="1156" spans="1:15">
      <c r="A1156">
        <v>5995</v>
      </c>
      <c r="B1156">
        <v>165</v>
      </c>
      <c r="C1156">
        <v>3</v>
      </c>
      <c r="D1156">
        <v>147</v>
      </c>
      <c r="E1156">
        <v>4</v>
      </c>
      <c r="F1156">
        <v>24</v>
      </c>
      <c r="G1156">
        <v>41</v>
      </c>
      <c r="H1156" t="s">
        <v>12</v>
      </c>
      <c r="I1156">
        <v>39552</v>
      </c>
      <c r="J1156">
        <v>1</v>
      </c>
      <c r="K1156">
        <v>1</v>
      </c>
      <c r="L1156">
        <v>1</v>
      </c>
      <c r="M1156">
        <v>0</v>
      </c>
      <c r="N1156">
        <f t="shared" si="36"/>
        <v>-0.57857765562648111</v>
      </c>
      <c r="O1156">
        <f t="shared" si="37"/>
        <v>-0.26237516818972983</v>
      </c>
    </row>
    <row r="1157" spans="1:15">
      <c r="A1157">
        <v>6001</v>
      </c>
      <c r="B1157">
        <v>614</v>
      </c>
      <c r="C1157">
        <v>35</v>
      </c>
      <c r="D1157">
        <v>160</v>
      </c>
      <c r="E1157">
        <v>58</v>
      </c>
      <c r="F1157">
        <v>35</v>
      </c>
      <c r="G1157">
        <v>35</v>
      </c>
      <c r="H1157" t="s">
        <v>11</v>
      </c>
      <c r="I1157">
        <v>56775</v>
      </c>
      <c r="J1157">
        <v>0</v>
      </c>
      <c r="K1157">
        <v>1</v>
      </c>
      <c r="L1157">
        <v>0</v>
      </c>
      <c r="M1157">
        <v>1</v>
      </c>
      <c r="N1157">
        <f t="shared" si="36"/>
        <v>0.21829106556660888</v>
      </c>
      <c r="O1157">
        <f t="shared" si="37"/>
        <v>0.5180593893234976</v>
      </c>
    </row>
    <row r="1158" spans="1:15">
      <c r="A1158">
        <v>6019</v>
      </c>
      <c r="B1158">
        <v>45</v>
      </c>
      <c r="C1158">
        <v>3</v>
      </c>
      <c r="D1158">
        <v>9</v>
      </c>
      <c r="E1158">
        <v>4</v>
      </c>
      <c r="F1158">
        <v>4</v>
      </c>
      <c r="G1158">
        <v>7</v>
      </c>
      <c r="H1158" t="s">
        <v>11</v>
      </c>
      <c r="I1158">
        <v>37126</v>
      </c>
      <c r="J1158">
        <v>1</v>
      </c>
      <c r="K1158">
        <v>0</v>
      </c>
      <c r="L1158">
        <v>0</v>
      </c>
      <c r="M1158">
        <v>1</v>
      </c>
      <c r="N1158">
        <f t="shared" si="36"/>
        <v>-0.69082311330600477</v>
      </c>
      <c r="O1158">
        <f t="shared" si="37"/>
        <v>-7.3268010324132448E-3</v>
      </c>
    </row>
    <row r="1159" spans="1:15">
      <c r="A1159">
        <v>6036</v>
      </c>
      <c r="B1159">
        <v>1168</v>
      </c>
      <c r="C1159">
        <v>92</v>
      </c>
      <c r="D1159">
        <v>408</v>
      </c>
      <c r="E1159">
        <v>72</v>
      </c>
      <c r="F1159">
        <v>129</v>
      </c>
      <c r="G1159">
        <v>55</v>
      </c>
      <c r="H1159" t="s">
        <v>11</v>
      </c>
      <c r="I1159">
        <v>89120</v>
      </c>
      <c r="J1159">
        <v>0</v>
      </c>
      <c r="K1159">
        <v>0</v>
      </c>
      <c r="L1159">
        <v>0</v>
      </c>
      <c r="M1159">
        <v>1</v>
      </c>
      <c r="N1159">
        <f t="shared" si="36"/>
        <v>1.714820055114916</v>
      </c>
      <c r="O1159">
        <f t="shared" si="37"/>
        <v>0.99774873666363884</v>
      </c>
    </row>
    <row r="1160" spans="1:15">
      <c r="A1160">
        <v>6049</v>
      </c>
      <c r="B1160">
        <v>1142</v>
      </c>
      <c r="C1160">
        <v>51</v>
      </c>
      <c r="D1160">
        <v>415</v>
      </c>
      <c r="E1160">
        <v>90</v>
      </c>
      <c r="F1160">
        <v>69</v>
      </c>
      <c r="G1160">
        <v>37</v>
      </c>
      <c r="H1160" t="s">
        <v>11</v>
      </c>
      <c r="I1160">
        <v>73450</v>
      </c>
      <c r="J1160">
        <v>0</v>
      </c>
      <c r="K1160">
        <v>0</v>
      </c>
      <c r="L1160">
        <v>0</v>
      </c>
      <c r="M1160">
        <v>1</v>
      </c>
      <c r="N1160">
        <f t="shared" si="36"/>
        <v>0.98980508321131511</v>
      </c>
      <c r="O1160">
        <f t="shared" si="37"/>
        <v>0.98095660520468519</v>
      </c>
    </row>
    <row r="1161" spans="1:15">
      <c r="A1161">
        <v>6050</v>
      </c>
      <c r="B1161">
        <v>1171</v>
      </c>
      <c r="C1161">
        <v>43</v>
      </c>
      <c r="D1161">
        <v>219</v>
      </c>
      <c r="E1161">
        <v>19</v>
      </c>
      <c r="F1161">
        <v>14</v>
      </c>
      <c r="G1161">
        <v>47</v>
      </c>
      <c r="H1161" t="s">
        <v>11</v>
      </c>
      <c r="I1161">
        <v>57036</v>
      </c>
      <c r="J1161">
        <v>0</v>
      </c>
      <c r="K1161">
        <v>1</v>
      </c>
      <c r="L1161">
        <v>0</v>
      </c>
      <c r="M1161">
        <v>1</v>
      </c>
      <c r="N1161">
        <f t="shared" si="36"/>
        <v>0.23036693714713471</v>
      </c>
      <c r="O1161">
        <f t="shared" si="37"/>
        <v>0.52435463569349705</v>
      </c>
    </row>
    <row r="1162" spans="1:15">
      <c r="A1162">
        <v>6055</v>
      </c>
      <c r="B1162">
        <v>546</v>
      </c>
      <c r="C1162">
        <v>72</v>
      </c>
      <c r="D1162">
        <v>376</v>
      </c>
      <c r="E1162">
        <v>94</v>
      </c>
      <c r="F1162">
        <v>145</v>
      </c>
      <c r="G1162">
        <v>72</v>
      </c>
      <c r="H1162" t="s">
        <v>11</v>
      </c>
      <c r="I1162">
        <v>71626</v>
      </c>
      <c r="J1162">
        <v>0</v>
      </c>
      <c r="K1162">
        <v>0</v>
      </c>
      <c r="L1162">
        <v>0</v>
      </c>
      <c r="M1162">
        <v>1</v>
      </c>
      <c r="N1162">
        <f t="shared" si="36"/>
        <v>0.9054127852692494</v>
      </c>
      <c r="O1162">
        <f t="shared" si="37"/>
        <v>0.97135069309166711</v>
      </c>
    </row>
    <row r="1163" spans="1:15">
      <c r="A1163">
        <v>6059</v>
      </c>
      <c r="B1163">
        <v>986</v>
      </c>
      <c r="C1163">
        <v>36</v>
      </c>
      <c r="D1163">
        <v>168</v>
      </c>
      <c r="E1163">
        <v>16</v>
      </c>
      <c r="F1163">
        <v>0</v>
      </c>
      <c r="G1163">
        <v>108</v>
      </c>
      <c r="H1163" t="s">
        <v>11</v>
      </c>
      <c r="I1163">
        <v>64504</v>
      </c>
      <c r="J1163">
        <v>1</v>
      </c>
      <c r="K1163">
        <v>2</v>
      </c>
      <c r="L1163">
        <v>0</v>
      </c>
      <c r="M1163">
        <v>1</v>
      </c>
      <c r="N1163">
        <f t="shared" si="36"/>
        <v>0.57589417455467085</v>
      </c>
      <c r="O1163">
        <f t="shared" si="37"/>
        <v>0.41229988975352555</v>
      </c>
    </row>
    <row r="1164" spans="1:15">
      <c r="A1164">
        <v>6072</v>
      </c>
      <c r="B1164">
        <v>918</v>
      </c>
      <c r="C1164">
        <v>57</v>
      </c>
      <c r="D1164">
        <v>842</v>
      </c>
      <c r="E1164">
        <v>99</v>
      </c>
      <c r="F1164">
        <v>38</v>
      </c>
      <c r="G1164">
        <v>133</v>
      </c>
      <c r="H1164" t="s">
        <v>12</v>
      </c>
      <c r="I1164">
        <v>75345</v>
      </c>
      <c r="J1164">
        <v>0</v>
      </c>
      <c r="K1164">
        <v>0</v>
      </c>
      <c r="L1164">
        <v>1</v>
      </c>
      <c r="M1164">
        <v>0</v>
      </c>
      <c r="N1164">
        <f t="shared" si="36"/>
        <v>1.0774823883649414</v>
      </c>
      <c r="O1164">
        <f t="shared" si="37"/>
        <v>0.60698622136079161</v>
      </c>
    </row>
    <row r="1165" spans="1:15">
      <c r="A1165">
        <v>6086</v>
      </c>
      <c r="B1165">
        <v>445</v>
      </c>
      <c r="C1165">
        <v>25</v>
      </c>
      <c r="D1165">
        <v>706</v>
      </c>
      <c r="E1165">
        <v>80</v>
      </c>
      <c r="F1165">
        <v>76</v>
      </c>
      <c r="G1165">
        <v>48</v>
      </c>
      <c r="H1165" t="s">
        <v>11</v>
      </c>
      <c r="I1165">
        <v>80395</v>
      </c>
      <c r="J1165">
        <v>0</v>
      </c>
      <c r="K1165">
        <v>0</v>
      </c>
      <c r="L1165">
        <v>0</v>
      </c>
      <c r="M1165">
        <v>1</v>
      </c>
      <c r="N1165">
        <f t="shared" si="36"/>
        <v>1.3111343097505945</v>
      </c>
      <c r="O1165">
        <f t="shared" si="37"/>
        <v>0.99840281001563747</v>
      </c>
    </row>
    <row r="1166" spans="1:15">
      <c r="A1166">
        <v>6097</v>
      </c>
      <c r="B1166">
        <v>313</v>
      </c>
      <c r="C1166">
        <v>8</v>
      </c>
      <c r="D1166">
        <v>104</v>
      </c>
      <c r="E1166">
        <v>6</v>
      </c>
      <c r="F1166">
        <v>4</v>
      </c>
      <c r="G1166">
        <v>126</v>
      </c>
      <c r="H1166" t="s">
        <v>12</v>
      </c>
      <c r="I1166">
        <v>50664</v>
      </c>
      <c r="J1166">
        <v>1</v>
      </c>
      <c r="K1166">
        <v>1</v>
      </c>
      <c r="L1166">
        <v>1</v>
      </c>
      <c r="M1166">
        <v>0</v>
      </c>
      <c r="N1166">
        <f t="shared" si="36"/>
        <v>-6.4450893163633977E-2</v>
      </c>
      <c r="O1166">
        <f t="shared" si="37"/>
        <v>-3.0793616753868654E-2</v>
      </c>
    </row>
    <row r="1167" spans="1:15">
      <c r="A1167">
        <v>6103</v>
      </c>
      <c r="B1167">
        <v>40</v>
      </c>
      <c r="C1167">
        <v>15</v>
      </c>
      <c r="D1167">
        <v>15</v>
      </c>
      <c r="E1167">
        <v>17</v>
      </c>
      <c r="F1167">
        <v>6</v>
      </c>
      <c r="G1167">
        <v>7</v>
      </c>
      <c r="H1167" t="s">
        <v>11</v>
      </c>
      <c r="I1167">
        <v>42192</v>
      </c>
      <c r="J1167">
        <v>0</v>
      </c>
      <c r="K1167">
        <v>0</v>
      </c>
      <c r="L1167">
        <v>0</v>
      </c>
      <c r="M1167">
        <v>1</v>
      </c>
      <c r="N1167">
        <f t="shared" si="36"/>
        <v>-0.4564309086050703</v>
      </c>
      <c r="O1167">
        <f t="shared" si="37"/>
        <v>0.16609003559926636</v>
      </c>
    </row>
    <row r="1168" spans="1:15">
      <c r="A1168">
        <v>6116</v>
      </c>
      <c r="B1168">
        <v>19</v>
      </c>
      <c r="C1168">
        <v>13</v>
      </c>
      <c r="D1168">
        <v>18</v>
      </c>
      <c r="E1168">
        <v>10</v>
      </c>
      <c r="F1168">
        <v>7</v>
      </c>
      <c r="G1168">
        <v>8</v>
      </c>
      <c r="H1168" t="s">
        <v>11</v>
      </c>
      <c r="I1168">
        <v>48985</v>
      </c>
      <c r="J1168">
        <v>0</v>
      </c>
      <c r="K1168">
        <v>1</v>
      </c>
      <c r="L1168">
        <v>0</v>
      </c>
      <c r="M1168">
        <v>1</v>
      </c>
      <c r="N1168">
        <f t="shared" si="36"/>
        <v>-0.14213437356096301</v>
      </c>
      <c r="O1168">
        <f t="shared" si="37"/>
        <v>0.31157106700519221</v>
      </c>
    </row>
    <row r="1169" spans="1:15">
      <c r="A1169">
        <v>6119</v>
      </c>
      <c r="B1169">
        <v>10</v>
      </c>
      <c r="C1169">
        <v>0</v>
      </c>
      <c r="D1169">
        <v>3</v>
      </c>
      <c r="E1169">
        <v>0</v>
      </c>
      <c r="F1169">
        <v>0</v>
      </c>
      <c r="G1169">
        <v>4</v>
      </c>
      <c r="H1169" t="s">
        <v>12</v>
      </c>
      <c r="I1169">
        <v>36736</v>
      </c>
      <c r="J1169">
        <v>1</v>
      </c>
      <c r="K1169">
        <v>1</v>
      </c>
      <c r="L1169">
        <v>1</v>
      </c>
      <c r="M1169">
        <v>0</v>
      </c>
      <c r="N1169">
        <f t="shared" si="36"/>
        <v>-0.70886751911598589</v>
      </c>
      <c r="O1169">
        <f t="shared" si="37"/>
        <v>-0.31366732438180583</v>
      </c>
    </row>
    <row r="1170" spans="1:15">
      <c r="A1170">
        <v>6131</v>
      </c>
      <c r="B1170">
        <v>141</v>
      </c>
      <c r="C1170">
        <v>70</v>
      </c>
      <c r="D1170">
        <v>106</v>
      </c>
      <c r="E1170">
        <v>72</v>
      </c>
      <c r="F1170">
        <v>19</v>
      </c>
      <c r="G1170">
        <v>23</v>
      </c>
      <c r="H1170" t="s">
        <v>11</v>
      </c>
      <c r="I1170">
        <v>70829</v>
      </c>
      <c r="J1170">
        <v>1</v>
      </c>
      <c r="K1170">
        <v>1</v>
      </c>
      <c r="L1170">
        <v>0</v>
      </c>
      <c r="M1170">
        <v>1</v>
      </c>
      <c r="N1170">
        <f t="shared" si="36"/>
        <v>0.86853742262680078</v>
      </c>
      <c r="O1170">
        <f t="shared" si="37"/>
        <v>0.6605046132588861</v>
      </c>
    </row>
    <row r="1171" spans="1:15">
      <c r="A1171">
        <v>6141</v>
      </c>
      <c r="B1171">
        <v>191</v>
      </c>
      <c r="C1171">
        <v>9</v>
      </c>
      <c r="D1171">
        <v>97</v>
      </c>
      <c r="E1171">
        <v>0</v>
      </c>
      <c r="F1171">
        <v>6</v>
      </c>
      <c r="G1171">
        <v>82</v>
      </c>
      <c r="H1171" t="s">
        <v>12</v>
      </c>
      <c r="I1171">
        <v>49494</v>
      </c>
      <c r="J1171">
        <v>1</v>
      </c>
      <c r="K1171">
        <v>0</v>
      </c>
      <c r="L1171">
        <v>1</v>
      </c>
      <c r="M1171">
        <v>0</v>
      </c>
      <c r="N1171">
        <f t="shared" si="36"/>
        <v>-0.11858411059357739</v>
      </c>
      <c r="O1171">
        <f t="shared" si="37"/>
        <v>-6.919630629576691E-2</v>
      </c>
    </row>
    <row r="1172" spans="1:15">
      <c r="A1172">
        <v>6142</v>
      </c>
      <c r="B1172">
        <v>629</v>
      </c>
      <c r="C1172">
        <v>17</v>
      </c>
      <c r="D1172">
        <v>177</v>
      </c>
      <c r="E1172">
        <v>69</v>
      </c>
      <c r="F1172">
        <v>0</v>
      </c>
      <c r="G1172">
        <v>8</v>
      </c>
      <c r="H1172" t="s">
        <v>11</v>
      </c>
      <c r="I1172">
        <v>65073</v>
      </c>
      <c r="J1172">
        <v>0</v>
      </c>
      <c r="K1172">
        <v>0</v>
      </c>
      <c r="L1172">
        <v>0</v>
      </c>
      <c r="M1172">
        <v>1</v>
      </c>
      <c r="N1172">
        <f t="shared" si="36"/>
        <v>0.60222049995436133</v>
      </c>
      <c r="O1172">
        <f t="shared" si="37"/>
        <v>0.90741987330235763</v>
      </c>
    </row>
    <row r="1173" spans="1:15">
      <c r="A1173">
        <v>6147</v>
      </c>
      <c r="B1173">
        <v>5</v>
      </c>
      <c r="C1173">
        <v>2</v>
      </c>
      <c r="D1173">
        <v>8</v>
      </c>
      <c r="E1173">
        <v>2</v>
      </c>
      <c r="F1173">
        <v>2</v>
      </c>
      <c r="G1173">
        <v>9</v>
      </c>
      <c r="H1173" t="s">
        <v>12</v>
      </c>
      <c r="I1173">
        <v>25818</v>
      </c>
      <c r="J1173">
        <v>1</v>
      </c>
      <c r="K1173">
        <v>0</v>
      </c>
      <c r="L1173">
        <v>1</v>
      </c>
      <c r="M1173">
        <v>0</v>
      </c>
      <c r="N1173">
        <f t="shared" si="36"/>
        <v>-1.2140183463810474</v>
      </c>
      <c r="O1173">
        <f t="shared" si="37"/>
        <v>-0.53940275486871647</v>
      </c>
    </row>
    <row r="1174" spans="1:15">
      <c r="A1174">
        <v>6168</v>
      </c>
      <c r="B1174">
        <v>33</v>
      </c>
      <c r="C1174">
        <v>0</v>
      </c>
      <c r="D1174">
        <v>5</v>
      </c>
      <c r="E1174">
        <v>0</v>
      </c>
      <c r="F1174">
        <v>0</v>
      </c>
      <c r="G1174">
        <v>15</v>
      </c>
      <c r="H1174" t="s">
        <v>12</v>
      </c>
      <c r="I1174">
        <v>45146</v>
      </c>
      <c r="J1174">
        <v>1</v>
      </c>
      <c r="K1174">
        <v>1</v>
      </c>
      <c r="L1174">
        <v>1</v>
      </c>
      <c r="M1174">
        <v>0</v>
      </c>
      <c r="N1174">
        <f t="shared" si="36"/>
        <v>-0.31975610152126449</v>
      </c>
      <c r="O1174">
        <f t="shared" si="37"/>
        <v>-0.15033971283827774</v>
      </c>
    </row>
    <row r="1175" spans="1:15">
      <c r="A1175">
        <v>6177</v>
      </c>
      <c r="B1175">
        <v>76</v>
      </c>
      <c r="C1175">
        <v>10</v>
      </c>
      <c r="D1175">
        <v>56</v>
      </c>
      <c r="E1175">
        <v>3</v>
      </c>
      <c r="F1175">
        <v>1</v>
      </c>
      <c r="G1175">
        <v>23</v>
      </c>
      <c r="H1175" t="s">
        <v>11</v>
      </c>
      <c r="I1175">
        <v>33454</v>
      </c>
      <c r="J1175">
        <v>1</v>
      </c>
      <c r="K1175">
        <v>0</v>
      </c>
      <c r="L1175">
        <v>0</v>
      </c>
      <c r="M1175">
        <v>1</v>
      </c>
      <c r="N1175">
        <f t="shared" si="36"/>
        <v>-0.86071813416305787</v>
      </c>
      <c r="O1175">
        <f t="shared" si="37"/>
        <v>-9.1948558165521985E-2</v>
      </c>
    </row>
    <row r="1176" spans="1:15">
      <c r="A1176">
        <v>6181</v>
      </c>
      <c r="B1176">
        <v>488</v>
      </c>
      <c r="C1176">
        <v>21</v>
      </c>
      <c r="D1176">
        <v>238</v>
      </c>
      <c r="E1176">
        <v>56</v>
      </c>
      <c r="F1176">
        <v>108</v>
      </c>
      <c r="G1176">
        <v>28</v>
      </c>
      <c r="H1176" t="s">
        <v>11</v>
      </c>
      <c r="I1176">
        <v>52203</v>
      </c>
      <c r="J1176">
        <v>0</v>
      </c>
      <c r="K1176">
        <v>0</v>
      </c>
      <c r="L1176">
        <v>0</v>
      </c>
      <c r="M1176">
        <v>1</v>
      </c>
      <c r="N1176">
        <f t="shared" si="36"/>
        <v>6.7551082249838789E-3</v>
      </c>
      <c r="O1176">
        <f t="shared" si="37"/>
        <v>0.56613316962144056</v>
      </c>
    </row>
    <row r="1177" spans="1:15">
      <c r="A1177">
        <v>6182</v>
      </c>
      <c r="B1177">
        <v>11</v>
      </c>
      <c r="C1177">
        <v>4</v>
      </c>
      <c r="D1177">
        <v>20</v>
      </c>
      <c r="E1177">
        <v>10</v>
      </c>
      <c r="F1177">
        <v>3</v>
      </c>
      <c r="G1177">
        <v>5</v>
      </c>
      <c r="H1177" t="s">
        <v>11</v>
      </c>
      <c r="I1177">
        <v>26646</v>
      </c>
      <c r="J1177">
        <v>1</v>
      </c>
      <c r="K1177">
        <v>0</v>
      </c>
      <c r="L1177">
        <v>0</v>
      </c>
      <c r="M1177">
        <v>1</v>
      </c>
      <c r="N1177">
        <f t="shared" si="36"/>
        <v>-1.1757086848152414</v>
      </c>
      <c r="O1177">
        <f t="shared" si="37"/>
        <v>-0.22460700742027528</v>
      </c>
    </row>
    <row r="1178" spans="1:15">
      <c r="A1178">
        <v>6184</v>
      </c>
      <c r="B1178">
        <v>561</v>
      </c>
      <c r="C1178">
        <v>64</v>
      </c>
      <c r="D1178">
        <v>785</v>
      </c>
      <c r="E1178">
        <v>84</v>
      </c>
      <c r="F1178">
        <v>128</v>
      </c>
      <c r="G1178">
        <v>48</v>
      </c>
      <c r="H1178" t="s">
        <v>11</v>
      </c>
      <c r="I1178">
        <v>68462</v>
      </c>
      <c r="J1178">
        <v>0</v>
      </c>
      <c r="K1178">
        <v>0</v>
      </c>
      <c r="L1178">
        <v>0</v>
      </c>
      <c r="M1178">
        <v>1</v>
      </c>
      <c r="N1178">
        <f t="shared" si="36"/>
        <v>0.75902175967237684</v>
      </c>
      <c r="O1178">
        <f t="shared" si="37"/>
        <v>0.94717263178991973</v>
      </c>
    </row>
    <row r="1179" spans="1:15">
      <c r="A1179">
        <v>6197</v>
      </c>
      <c r="B1179">
        <v>37</v>
      </c>
      <c r="C1179">
        <v>0</v>
      </c>
      <c r="D1179">
        <v>17</v>
      </c>
      <c r="E1179">
        <v>0</v>
      </c>
      <c r="F1179">
        <v>0</v>
      </c>
      <c r="G1179">
        <v>3</v>
      </c>
      <c r="H1179" t="s">
        <v>12</v>
      </c>
      <c r="I1179">
        <v>27238</v>
      </c>
      <c r="J1179">
        <v>1</v>
      </c>
      <c r="K1179">
        <v>1</v>
      </c>
      <c r="L1179">
        <v>1</v>
      </c>
      <c r="M1179">
        <v>0</v>
      </c>
      <c r="N1179">
        <f t="shared" si="36"/>
        <v>-1.1483182021498342</v>
      </c>
      <c r="O1179">
        <f t="shared" si="37"/>
        <v>-0.45759562592334757</v>
      </c>
    </row>
    <row r="1180" spans="1:15">
      <c r="A1180">
        <v>6200</v>
      </c>
      <c r="B1180">
        <v>340</v>
      </c>
      <c r="C1180">
        <v>108</v>
      </c>
      <c r="D1180">
        <v>185</v>
      </c>
      <c r="E1180">
        <v>130</v>
      </c>
      <c r="F1180">
        <v>38</v>
      </c>
      <c r="G1180">
        <v>100</v>
      </c>
      <c r="H1180" t="s">
        <v>11</v>
      </c>
      <c r="I1180">
        <v>75903</v>
      </c>
      <c r="J1180">
        <v>0</v>
      </c>
      <c r="K1180">
        <v>1</v>
      </c>
      <c r="L1180">
        <v>0</v>
      </c>
      <c r="M1180">
        <v>1</v>
      </c>
      <c r="N1180">
        <f t="shared" si="36"/>
        <v>1.1032997689853759</v>
      </c>
      <c r="O1180">
        <f t="shared" si="37"/>
        <v>0.82189676492010921</v>
      </c>
    </row>
    <row r="1181" spans="1:15">
      <c r="A1181">
        <v>6201</v>
      </c>
      <c r="B1181">
        <v>22</v>
      </c>
      <c r="C1181">
        <v>2</v>
      </c>
      <c r="D1181">
        <v>14</v>
      </c>
      <c r="E1181">
        <v>0</v>
      </c>
      <c r="F1181">
        <v>1</v>
      </c>
      <c r="G1181">
        <v>10</v>
      </c>
      <c r="H1181" t="s">
        <v>12</v>
      </c>
      <c r="I1181">
        <v>38643</v>
      </c>
      <c r="J1181">
        <v>1</v>
      </c>
      <c r="K1181">
        <v>1</v>
      </c>
      <c r="L1181">
        <v>1</v>
      </c>
      <c r="M1181">
        <v>0</v>
      </c>
      <c r="N1181">
        <f t="shared" si="36"/>
        <v>-0.62063500147589867</v>
      </c>
      <c r="O1181">
        <f t="shared" si="37"/>
        <v>-0.27934296005999143</v>
      </c>
    </row>
    <row r="1182" spans="1:15">
      <c r="A1182">
        <v>6203</v>
      </c>
      <c r="B1182">
        <v>499</v>
      </c>
      <c r="C1182">
        <v>149</v>
      </c>
      <c r="D1182">
        <v>815</v>
      </c>
      <c r="E1182">
        <v>173</v>
      </c>
      <c r="F1182">
        <v>49</v>
      </c>
      <c r="G1182">
        <v>49</v>
      </c>
      <c r="H1182" t="s">
        <v>11</v>
      </c>
      <c r="I1182">
        <v>74485</v>
      </c>
      <c r="J1182">
        <v>0</v>
      </c>
      <c r="K1182">
        <v>0</v>
      </c>
      <c r="L1182">
        <v>0</v>
      </c>
      <c r="M1182">
        <v>1</v>
      </c>
      <c r="N1182">
        <f t="shared" si="36"/>
        <v>1.0376921601685727</v>
      </c>
      <c r="O1182">
        <f t="shared" si="37"/>
        <v>0.98527000510982887</v>
      </c>
    </row>
    <row r="1183" spans="1:15">
      <c r="A1183">
        <v>6205</v>
      </c>
      <c r="B1183">
        <v>34</v>
      </c>
      <c r="C1183">
        <v>3</v>
      </c>
      <c r="D1183">
        <v>29</v>
      </c>
      <c r="E1183">
        <v>0</v>
      </c>
      <c r="F1183">
        <v>4</v>
      </c>
      <c r="G1183">
        <v>10</v>
      </c>
      <c r="H1183" t="s">
        <v>12</v>
      </c>
      <c r="I1183">
        <v>32557</v>
      </c>
      <c r="J1183">
        <v>1</v>
      </c>
      <c r="K1183">
        <v>0</v>
      </c>
      <c r="L1183">
        <v>1</v>
      </c>
      <c r="M1183">
        <v>0</v>
      </c>
      <c r="N1183">
        <f t="shared" si="36"/>
        <v>-0.90222026752601447</v>
      </c>
      <c r="O1183">
        <f t="shared" si="37"/>
        <v>-0.44539288353223777</v>
      </c>
    </row>
    <row r="1184" spans="1:15">
      <c r="A1184">
        <v>6211</v>
      </c>
      <c r="B1184">
        <v>18</v>
      </c>
      <c r="C1184">
        <v>0</v>
      </c>
      <c r="D1184">
        <v>9</v>
      </c>
      <c r="E1184">
        <v>0</v>
      </c>
      <c r="F1184">
        <v>1</v>
      </c>
      <c r="G1184">
        <v>11</v>
      </c>
      <c r="H1184" t="s">
        <v>11</v>
      </c>
      <c r="I1184">
        <v>37395</v>
      </c>
      <c r="J1184">
        <v>1</v>
      </c>
      <c r="K1184">
        <v>0</v>
      </c>
      <c r="L1184">
        <v>0</v>
      </c>
      <c r="M1184">
        <v>1</v>
      </c>
      <c r="N1184">
        <f t="shared" si="36"/>
        <v>-0.67837710006783825</v>
      </c>
      <c r="O1184">
        <f t="shared" si="37"/>
        <v>-7.8102921015049459E-4</v>
      </c>
    </row>
    <row r="1185" spans="1:15">
      <c r="A1185">
        <v>6214</v>
      </c>
      <c r="B1185">
        <v>14</v>
      </c>
      <c r="C1185">
        <v>10</v>
      </c>
      <c r="D1185">
        <v>29</v>
      </c>
      <c r="E1185">
        <v>4</v>
      </c>
      <c r="F1185">
        <v>7</v>
      </c>
      <c r="G1185">
        <v>15</v>
      </c>
      <c r="H1185" t="s">
        <v>11</v>
      </c>
      <c r="I1185">
        <v>43815</v>
      </c>
      <c r="J1185">
        <v>1</v>
      </c>
      <c r="K1185">
        <v>0</v>
      </c>
      <c r="L1185">
        <v>0</v>
      </c>
      <c r="M1185">
        <v>1</v>
      </c>
      <c r="N1185">
        <f t="shared" si="36"/>
        <v>-0.38133841981122574</v>
      </c>
      <c r="O1185">
        <f t="shared" si="37"/>
        <v>0.16710195166014341</v>
      </c>
    </row>
    <row r="1186" spans="1:15">
      <c r="A1186">
        <v>6215</v>
      </c>
      <c r="B1186">
        <v>10</v>
      </c>
      <c r="C1186">
        <v>0</v>
      </c>
      <c r="D1186">
        <v>10</v>
      </c>
      <c r="E1186">
        <v>3</v>
      </c>
      <c r="F1186">
        <v>1</v>
      </c>
      <c r="G1186">
        <v>7</v>
      </c>
      <c r="H1186" t="s">
        <v>11</v>
      </c>
      <c r="I1186">
        <v>31353</v>
      </c>
      <c r="J1186">
        <v>1</v>
      </c>
      <c r="K1186">
        <v>1</v>
      </c>
      <c r="L1186">
        <v>0</v>
      </c>
      <c r="M1186">
        <v>1</v>
      </c>
      <c r="N1186">
        <f t="shared" si="36"/>
        <v>-0.95792658700093058</v>
      </c>
      <c r="O1186">
        <f t="shared" si="37"/>
        <v>-0.11757969655820455</v>
      </c>
    </row>
    <row r="1187" spans="1:15">
      <c r="A1187">
        <v>6218</v>
      </c>
      <c r="B1187">
        <v>457</v>
      </c>
      <c r="C1187">
        <v>4</v>
      </c>
      <c r="D1187">
        <v>29</v>
      </c>
      <c r="E1187">
        <v>0</v>
      </c>
      <c r="F1187">
        <v>0</v>
      </c>
      <c r="G1187">
        <v>9</v>
      </c>
      <c r="H1187" t="s">
        <v>11</v>
      </c>
      <c r="I1187">
        <v>59594</v>
      </c>
      <c r="J1187">
        <v>0</v>
      </c>
      <c r="K1187">
        <v>1</v>
      </c>
      <c r="L1187">
        <v>0</v>
      </c>
      <c r="M1187">
        <v>1</v>
      </c>
      <c r="N1187">
        <f t="shared" si="36"/>
        <v>0.34871973217772889</v>
      </c>
      <c r="O1187">
        <f t="shared" si="37"/>
        <v>0.58310393303901897</v>
      </c>
    </row>
    <row r="1188" spans="1:15">
      <c r="A1188">
        <v>6230</v>
      </c>
      <c r="B1188">
        <v>110</v>
      </c>
      <c r="C1188">
        <v>5</v>
      </c>
      <c r="D1188">
        <v>59</v>
      </c>
      <c r="E1188">
        <v>7</v>
      </c>
      <c r="F1188">
        <v>1</v>
      </c>
      <c r="G1188">
        <v>7</v>
      </c>
      <c r="H1188" t="s">
        <v>12</v>
      </c>
      <c r="I1188">
        <v>44421</v>
      </c>
      <c r="J1188">
        <v>1</v>
      </c>
      <c r="K1188">
        <v>1</v>
      </c>
      <c r="L1188">
        <v>1</v>
      </c>
      <c r="M1188">
        <v>0</v>
      </c>
      <c r="N1188">
        <f t="shared" si="36"/>
        <v>-0.35330018924494738</v>
      </c>
      <c r="O1188">
        <f t="shared" si="37"/>
        <v>-0.16550996479379435</v>
      </c>
    </row>
    <row r="1189" spans="1:15">
      <c r="A1189">
        <v>6233</v>
      </c>
      <c r="B1189">
        <v>507</v>
      </c>
      <c r="C1189">
        <v>19</v>
      </c>
      <c r="D1189">
        <v>364</v>
      </c>
      <c r="E1189">
        <v>25</v>
      </c>
      <c r="F1189">
        <v>47</v>
      </c>
      <c r="G1189">
        <v>9</v>
      </c>
      <c r="H1189" t="s">
        <v>11</v>
      </c>
      <c r="I1189">
        <v>65991</v>
      </c>
      <c r="J1189">
        <v>0</v>
      </c>
      <c r="K1189">
        <v>1</v>
      </c>
      <c r="L1189">
        <v>0</v>
      </c>
      <c r="M1189">
        <v>1</v>
      </c>
      <c r="N1189">
        <f t="shared" si="36"/>
        <v>0.64469425516862455</v>
      </c>
      <c r="O1189">
        <f t="shared" si="37"/>
        <v>0.70416591194638467</v>
      </c>
    </row>
    <row r="1190" spans="1:15">
      <c r="A1190">
        <v>6237</v>
      </c>
      <c r="B1190">
        <v>81</v>
      </c>
      <c r="C1190">
        <v>4</v>
      </c>
      <c r="D1190">
        <v>33</v>
      </c>
      <c r="E1190">
        <v>5</v>
      </c>
      <c r="F1190">
        <v>2</v>
      </c>
      <c r="G1190">
        <v>291</v>
      </c>
      <c r="H1190" t="s">
        <v>12</v>
      </c>
      <c r="I1190">
        <v>7144</v>
      </c>
      <c r="J1190">
        <v>0</v>
      </c>
      <c r="K1190">
        <v>2</v>
      </c>
      <c r="L1190">
        <v>1</v>
      </c>
      <c r="M1190">
        <v>0</v>
      </c>
      <c r="N1190">
        <f t="shared" si="36"/>
        <v>-2.0780215107287083</v>
      </c>
      <c r="O1190">
        <f t="shared" si="37"/>
        <v>-0.563738239790888</v>
      </c>
    </row>
    <row r="1191" spans="1:15">
      <c r="A1191">
        <v>6245</v>
      </c>
      <c r="B1191">
        <v>378</v>
      </c>
      <c r="C1191">
        <v>14</v>
      </c>
      <c r="D1191">
        <v>68</v>
      </c>
      <c r="E1191">
        <v>19</v>
      </c>
      <c r="F1191">
        <v>14</v>
      </c>
      <c r="G1191">
        <v>14</v>
      </c>
      <c r="H1191" t="s">
        <v>11</v>
      </c>
      <c r="I1191">
        <v>59292</v>
      </c>
      <c r="J1191">
        <v>0</v>
      </c>
      <c r="K1191">
        <v>1</v>
      </c>
      <c r="L1191">
        <v>0</v>
      </c>
      <c r="M1191">
        <v>1</v>
      </c>
      <c r="N1191">
        <f t="shared" si="36"/>
        <v>0.3347468846017948</v>
      </c>
      <c r="O1191">
        <f t="shared" si="37"/>
        <v>0.57645868816364942</v>
      </c>
    </row>
    <row r="1192" spans="1:15">
      <c r="A1192">
        <v>6246</v>
      </c>
      <c r="B1192">
        <v>703</v>
      </c>
      <c r="C1192">
        <v>102</v>
      </c>
      <c r="D1192">
        <v>601</v>
      </c>
      <c r="E1192">
        <v>0</v>
      </c>
      <c r="F1192">
        <v>58</v>
      </c>
      <c r="G1192">
        <v>43</v>
      </c>
      <c r="H1192" t="s">
        <v>12</v>
      </c>
      <c r="I1192">
        <v>73892</v>
      </c>
      <c r="J1192">
        <v>0</v>
      </c>
      <c r="K1192">
        <v>0</v>
      </c>
      <c r="L1192">
        <v>1</v>
      </c>
      <c r="M1192">
        <v>0</v>
      </c>
      <c r="N1192">
        <f t="shared" si="36"/>
        <v>1.0102554097959604</v>
      </c>
      <c r="O1192">
        <f t="shared" si="37"/>
        <v>0.58854834370755027</v>
      </c>
    </row>
    <row r="1193" spans="1:15">
      <c r="A1193">
        <v>6248</v>
      </c>
      <c r="B1193">
        <v>1276</v>
      </c>
      <c r="C1193">
        <v>24</v>
      </c>
      <c r="D1193">
        <v>746</v>
      </c>
      <c r="E1193">
        <v>94</v>
      </c>
      <c r="F1193">
        <v>29</v>
      </c>
      <c r="G1193">
        <v>48</v>
      </c>
      <c r="H1193" t="s">
        <v>12</v>
      </c>
      <c r="I1193">
        <v>91712</v>
      </c>
      <c r="J1193">
        <v>0</v>
      </c>
      <c r="K1193">
        <v>0</v>
      </c>
      <c r="L1193">
        <v>1</v>
      </c>
      <c r="M1193">
        <v>0</v>
      </c>
      <c r="N1193">
        <f t="shared" si="36"/>
        <v>1.834745952190483</v>
      </c>
      <c r="O1193">
        <f t="shared" si="37"/>
        <v>0.72713050539662627</v>
      </c>
    </row>
    <row r="1194" spans="1:15">
      <c r="A1194">
        <v>6250</v>
      </c>
      <c r="B1194">
        <v>710</v>
      </c>
      <c r="C1194">
        <v>15</v>
      </c>
      <c r="D1194">
        <v>30</v>
      </c>
      <c r="E1194">
        <v>20</v>
      </c>
      <c r="F1194">
        <v>0</v>
      </c>
      <c r="G1194">
        <v>0</v>
      </c>
      <c r="H1194" t="s">
        <v>12</v>
      </c>
      <c r="I1194">
        <v>54356</v>
      </c>
      <c r="J1194">
        <v>0</v>
      </c>
      <c r="K1194">
        <v>1</v>
      </c>
      <c r="L1194">
        <v>1</v>
      </c>
      <c r="M1194">
        <v>0</v>
      </c>
      <c r="N1194">
        <f t="shared" si="36"/>
        <v>0.10636948183752076</v>
      </c>
      <c r="O1194">
        <f t="shared" si="37"/>
        <v>6.2111197879298877E-2</v>
      </c>
    </row>
    <row r="1195" spans="1:15">
      <c r="A1195">
        <v>6255</v>
      </c>
      <c r="B1195">
        <v>138</v>
      </c>
      <c r="C1195">
        <v>39</v>
      </c>
      <c r="D1195">
        <v>63</v>
      </c>
      <c r="E1195">
        <v>55</v>
      </c>
      <c r="F1195">
        <v>18</v>
      </c>
      <c r="G1195">
        <v>21</v>
      </c>
      <c r="H1195" t="s">
        <v>11</v>
      </c>
      <c r="I1195">
        <v>70545</v>
      </c>
      <c r="J1195">
        <v>0</v>
      </c>
      <c r="K1195">
        <v>1</v>
      </c>
      <c r="L1195">
        <v>0</v>
      </c>
      <c r="M1195">
        <v>1</v>
      </c>
      <c r="N1195">
        <f t="shared" si="36"/>
        <v>0.85539739378055812</v>
      </c>
      <c r="O1195">
        <f t="shared" si="37"/>
        <v>0.76774750125313884</v>
      </c>
    </row>
    <row r="1196" spans="1:15">
      <c r="A1196">
        <v>6257</v>
      </c>
      <c r="B1196">
        <v>255</v>
      </c>
      <c r="C1196">
        <v>43</v>
      </c>
      <c r="D1196">
        <v>134</v>
      </c>
      <c r="E1196">
        <v>37</v>
      </c>
      <c r="F1196">
        <v>14</v>
      </c>
      <c r="G1196">
        <v>24</v>
      </c>
      <c r="H1196" t="s">
        <v>12</v>
      </c>
      <c r="I1196">
        <v>60482</v>
      </c>
      <c r="J1196">
        <v>0</v>
      </c>
      <c r="K1196">
        <v>1</v>
      </c>
      <c r="L1196">
        <v>1</v>
      </c>
      <c r="M1196">
        <v>0</v>
      </c>
      <c r="N1196">
        <f t="shared" si="36"/>
        <v>0.38980545617583978</v>
      </c>
      <c r="O1196">
        <f t="shared" si="37"/>
        <v>0.22005176072244637</v>
      </c>
    </row>
    <row r="1197" spans="1:15">
      <c r="A1197">
        <v>6260</v>
      </c>
      <c r="B1197">
        <v>984</v>
      </c>
      <c r="C1197">
        <v>51</v>
      </c>
      <c r="D1197">
        <v>432</v>
      </c>
      <c r="E1197">
        <v>180</v>
      </c>
      <c r="F1197">
        <v>120</v>
      </c>
      <c r="G1197">
        <v>190</v>
      </c>
      <c r="H1197" t="s">
        <v>11</v>
      </c>
      <c r="I1197">
        <v>82384</v>
      </c>
      <c r="J1197">
        <v>0</v>
      </c>
      <c r="K1197">
        <v>0</v>
      </c>
      <c r="L1197">
        <v>0</v>
      </c>
      <c r="M1197">
        <v>1</v>
      </c>
      <c r="N1197">
        <f t="shared" si="36"/>
        <v>1.4031607793814982</v>
      </c>
      <c r="O1197">
        <f t="shared" si="37"/>
        <v>0.99970886234511391</v>
      </c>
    </row>
    <row r="1198" spans="1:15">
      <c r="A1198">
        <v>6261</v>
      </c>
      <c r="B1198">
        <v>270</v>
      </c>
      <c r="C1198">
        <v>31</v>
      </c>
      <c r="D1198">
        <v>88</v>
      </c>
      <c r="E1198">
        <v>11</v>
      </c>
      <c r="F1198">
        <v>48</v>
      </c>
      <c r="G1198">
        <v>22</v>
      </c>
      <c r="H1198" t="s">
        <v>11</v>
      </c>
      <c r="I1198">
        <v>58025</v>
      </c>
      <c r="J1198">
        <v>0</v>
      </c>
      <c r="K1198">
        <v>1</v>
      </c>
      <c r="L1198">
        <v>0</v>
      </c>
      <c r="M1198">
        <v>1</v>
      </c>
      <c r="N1198">
        <f t="shared" si="36"/>
        <v>0.27612569957295868</v>
      </c>
      <c r="O1198">
        <f t="shared" si="37"/>
        <v>0.54771812567923317</v>
      </c>
    </row>
    <row r="1199" spans="1:15">
      <c r="A1199">
        <v>6262</v>
      </c>
      <c r="B1199">
        <v>816</v>
      </c>
      <c r="C1199">
        <v>42</v>
      </c>
      <c r="D1199">
        <v>450</v>
      </c>
      <c r="E1199">
        <v>55</v>
      </c>
      <c r="F1199">
        <v>56</v>
      </c>
      <c r="G1199">
        <v>154</v>
      </c>
      <c r="H1199" t="s">
        <v>12</v>
      </c>
      <c r="I1199">
        <v>72217</v>
      </c>
      <c r="J1199">
        <v>0</v>
      </c>
      <c r="K1199">
        <v>0</v>
      </c>
      <c r="L1199">
        <v>1</v>
      </c>
      <c r="M1199">
        <v>0</v>
      </c>
      <c r="N1199">
        <f t="shared" si="36"/>
        <v>0.93275700022745167</v>
      </c>
      <c r="O1199">
        <f t="shared" si="37"/>
        <v>0.5648542848710717</v>
      </c>
    </row>
    <row r="1200" spans="1:15">
      <c r="A1200">
        <v>6263</v>
      </c>
      <c r="B1200">
        <v>28</v>
      </c>
      <c r="C1200">
        <v>9</v>
      </c>
      <c r="D1200">
        <v>37</v>
      </c>
      <c r="E1200">
        <v>12</v>
      </c>
      <c r="F1200">
        <v>7</v>
      </c>
      <c r="G1200">
        <v>13</v>
      </c>
      <c r="H1200" t="s">
        <v>11</v>
      </c>
      <c r="I1200">
        <v>35322</v>
      </c>
      <c r="J1200">
        <v>1</v>
      </c>
      <c r="K1200">
        <v>2</v>
      </c>
      <c r="L1200">
        <v>0</v>
      </c>
      <c r="M1200">
        <v>1</v>
      </c>
      <c r="N1200">
        <f t="shared" si="36"/>
        <v>-0.77429005710396881</v>
      </c>
      <c r="O1200">
        <f t="shared" si="37"/>
        <v>-3.1395035882753122E-2</v>
      </c>
    </row>
    <row r="1201" spans="1:15">
      <c r="A1201">
        <v>6271</v>
      </c>
      <c r="B1201">
        <v>53</v>
      </c>
      <c r="C1201">
        <v>0</v>
      </c>
      <c r="D1201">
        <v>8</v>
      </c>
      <c r="E1201">
        <v>0</v>
      </c>
      <c r="F1201">
        <v>0</v>
      </c>
      <c r="G1201">
        <v>2</v>
      </c>
      <c r="H1201" t="s">
        <v>11</v>
      </c>
      <c r="I1201">
        <v>50870</v>
      </c>
      <c r="J1201">
        <v>0</v>
      </c>
      <c r="K1201">
        <v>1</v>
      </c>
      <c r="L1201">
        <v>0</v>
      </c>
      <c r="M1201">
        <v>1</v>
      </c>
      <c r="N1201">
        <f t="shared" si="36"/>
        <v>-5.4919745479387536E-2</v>
      </c>
      <c r="O1201">
        <f t="shared" si="37"/>
        <v>0.36393655198510572</v>
      </c>
    </row>
    <row r="1202" spans="1:15">
      <c r="A1202">
        <v>6274</v>
      </c>
      <c r="B1202">
        <v>1076</v>
      </c>
      <c r="C1202">
        <v>16</v>
      </c>
      <c r="D1202">
        <v>417</v>
      </c>
      <c r="E1202">
        <v>42</v>
      </c>
      <c r="F1202">
        <v>48</v>
      </c>
      <c r="G1202">
        <v>16</v>
      </c>
      <c r="H1202" t="s">
        <v>11</v>
      </c>
      <c r="I1202">
        <v>83790</v>
      </c>
      <c r="J1202">
        <v>0</v>
      </c>
      <c r="K1202">
        <v>0</v>
      </c>
      <c r="L1202">
        <v>0</v>
      </c>
      <c r="M1202">
        <v>1</v>
      </c>
      <c r="N1202">
        <f t="shared" si="36"/>
        <v>1.4682131757118406</v>
      </c>
      <c r="O1202">
        <f t="shared" si="37"/>
        <v>0.99999586379185357</v>
      </c>
    </row>
    <row r="1203" spans="1:15">
      <c r="A1203">
        <v>6281</v>
      </c>
      <c r="B1203">
        <v>673</v>
      </c>
      <c r="C1203">
        <v>0</v>
      </c>
      <c r="D1203">
        <v>199</v>
      </c>
      <c r="E1203">
        <v>37</v>
      </c>
      <c r="F1203">
        <v>47</v>
      </c>
      <c r="G1203">
        <v>26</v>
      </c>
      <c r="H1203" t="s">
        <v>12</v>
      </c>
      <c r="I1203">
        <v>55686</v>
      </c>
      <c r="J1203">
        <v>0</v>
      </c>
      <c r="K1203">
        <v>1</v>
      </c>
      <c r="L1203">
        <v>1</v>
      </c>
      <c r="M1203">
        <v>0</v>
      </c>
      <c r="N1203">
        <f t="shared" si="36"/>
        <v>0.16790553242027692</v>
      </c>
      <c r="O1203">
        <f t="shared" si="37"/>
        <v>9.7634497415676147E-2</v>
      </c>
    </row>
    <row r="1204" spans="1:15">
      <c r="A1204">
        <v>6287</v>
      </c>
      <c r="B1204">
        <v>14</v>
      </c>
      <c r="C1204">
        <v>0</v>
      </c>
      <c r="D1204">
        <v>16</v>
      </c>
      <c r="E1204">
        <v>0</v>
      </c>
      <c r="F1204">
        <v>0</v>
      </c>
      <c r="G1204">
        <v>6</v>
      </c>
      <c r="H1204" t="s">
        <v>11</v>
      </c>
      <c r="I1204">
        <v>34728</v>
      </c>
      <c r="J1204">
        <v>1</v>
      </c>
      <c r="K1204">
        <v>0</v>
      </c>
      <c r="L1204">
        <v>0</v>
      </c>
      <c r="M1204">
        <v>1</v>
      </c>
      <c r="N1204">
        <f t="shared" si="36"/>
        <v>-0.80177307518378615</v>
      </c>
      <c r="O1204">
        <f t="shared" si="37"/>
        <v>-6.3611246008087374E-2</v>
      </c>
    </row>
    <row r="1205" spans="1:15">
      <c r="A1205">
        <v>6289</v>
      </c>
      <c r="B1205">
        <v>135</v>
      </c>
      <c r="C1205">
        <v>0</v>
      </c>
      <c r="D1205">
        <v>10</v>
      </c>
      <c r="E1205">
        <v>0</v>
      </c>
      <c r="F1205">
        <v>4</v>
      </c>
      <c r="G1205">
        <v>36</v>
      </c>
      <c r="H1205" t="s">
        <v>11</v>
      </c>
      <c r="I1205">
        <v>59385</v>
      </c>
      <c r="J1205">
        <v>1</v>
      </c>
      <c r="K1205">
        <v>1</v>
      </c>
      <c r="L1205">
        <v>0</v>
      </c>
      <c r="M1205">
        <v>1</v>
      </c>
      <c r="N1205">
        <f t="shared" si="36"/>
        <v>0.33904978137186725</v>
      </c>
      <c r="O1205">
        <f t="shared" si="37"/>
        <v>0.47669245190990078</v>
      </c>
    </row>
    <row r="1206" spans="1:15">
      <c r="A1206">
        <v>6292</v>
      </c>
      <c r="B1206">
        <v>1311</v>
      </c>
      <c r="C1206">
        <v>0</v>
      </c>
      <c r="D1206">
        <v>359</v>
      </c>
      <c r="E1206">
        <v>46</v>
      </c>
      <c r="F1206">
        <v>89</v>
      </c>
      <c r="G1206">
        <v>17</v>
      </c>
      <c r="H1206" t="s">
        <v>11</v>
      </c>
      <c r="I1206">
        <v>82333</v>
      </c>
      <c r="J1206">
        <v>0</v>
      </c>
      <c r="K1206">
        <v>0</v>
      </c>
      <c r="L1206">
        <v>0</v>
      </c>
      <c r="M1206">
        <v>1</v>
      </c>
      <c r="N1206">
        <f t="shared" si="36"/>
        <v>1.4008011263140392</v>
      </c>
      <c r="O1206">
        <f t="shared" si="37"/>
        <v>0.99968934701665735</v>
      </c>
    </row>
    <row r="1207" spans="1:15">
      <c r="A1207">
        <v>6295</v>
      </c>
      <c r="B1207">
        <v>652</v>
      </c>
      <c r="C1207">
        <v>8</v>
      </c>
      <c r="D1207">
        <v>158</v>
      </c>
      <c r="E1207">
        <v>21</v>
      </c>
      <c r="F1207">
        <v>0</v>
      </c>
      <c r="G1207">
        <v>142</v>
      </c>
      <c r="H1207" t="s">
        <v>11</v>
      </c>
      <c r="I1207">
        <v>54233</v>
      </c>
      <c r="J1207">
        <v>0</v>
      </c>
      <c r="K1207">
        <v>1</v>
      </c>
      <c r="L1207">
        <v>0</v>
      </c>
      <c r="M1207">
        <v>1</v>
      </c>
      <c r="N1207">
        <f t="shared" si="36"/>
        <v>0.10067855385129594</v>
      </c>
      <c r="O1207">
        <f t="shared" si="37"/>
        <v>0.4541749222134156</v>
      </c>
    </row>
    <row r="1208" spans="1:15">
      <c r="A1208">
        <v>6299</v>
      </c>
      <c r="B1208">
        <v>324</v>
      </c>
      <c r="C1208">
        <v>48</v>
      </c>
      <c r="D1208">
        <v>186</v>
      </c>
      <c r="E1208">
        <v>39</v>
      </c>
      <c r="F1208">
        <v>18</v>
      </c>
      <c r="G1208">
        <v>198</v>
      </c>
      <c r="H1208" t="s">
        <v>12</v>
      </c>
      <c r="I1208">
        <v>42564</v>
      </c>
      <c r="J1208">
        <v>0</v>
      </c>
      <c r="K1208">
        <v>1</v>
      </c>
      <c r="L1208">
        <v>1</v>
      </c>
      <c r="M1208">
        <v>0</v>
      </c>
      <c r="N1208">
        <f t="shared" si="36"/>
        <v>-0.4392193215247806</v>
      </c>
      <c r="O1208">
        <f t="shared" si="37"/>
        <v>-0.24561988585238437</v>
      </c>
    </row>
    <row r="1209" spans="1:15">
      <c r="A1209">
        <v>6303</v>
      </c>
      <c r="B1209">
        <v>410</v>
      </c>
      <c r="C1209">
        <v>73</v>
      </c>
      <c r="D1209">
        <v>747</v>
      </c>
      <c r="E1209">
        <v>76</v>
      </c>
      <c r="F1209">
        <v>161</v>
      </c>
      <c r="G1209">
        <v>30</v>
      </c>
      <c r="H1209" t="s">
        <v>11</v>
      </c>
      <c r="I1209">
        <v>91820</v>
      </c>
      <c r="J1209">
        <v>0</v>
      </c>
      <c r="K1209">
        <v>0</v>
      </c>
      <c r="L1209">
        <v>0</v>
      </c>
      <c r="M1209">
        <v>1</v>
      </c>
      <c r="N1209">
        <f t="shared" si="36"/>
        <v>1.8397428645686316</v>
      </c>
      <c r="O1209">
        <f t="shared" si="37"/>
        <v>0.99528258175487283</v>
      </c>
    </row>
    <row r="1210" spans="1:15">
      <c r="A1210">
        <v>6310</v>
      </c>
      <c r="B1210">
        <v>30</v>
      </c>
      <c r="C1210">
        <v>8</v>
      </c>
      <c r="D1210">
        <v>12</v>
      </c>
      <c r="E1210">
        <v>8</v>
      </c>
      <c r="F1210">
        <v>8</v>
      </c>
      <c r="G1210">
        <v>12</v>
      </c>
      <c r="H1210" t="s">
        <v>11</v>
      </c>
      <c r="I1210">
        <v>33039</v>
      </c>
      <c r="J1210">
        <v>1</v>
      </c>
      <c r="K1210">
        <v>0</v>
      </c>
      <c r="L1210">
        <v>0</v>
      </c>
      <c r="M1210">
        <v>1</v>
      </c>
      <c r="N1210">
        <f t="shared" si="36"/>
        <v>-0.87991923265316596</v>
      </c>
      <c r="O1210">
        <f t="shared" si="37"/>
        <v>-0.10093954612243525</v>
      </c>
    </row>
    <row r="1211" spans="1:15">
      <c r="A1211">
        <v>6312</v>
      </c>
      <c r="B1211">
        <v>258</v>
      </c>
      <c r="C1211">
        <v>107</v>
      </c>
      <c r="D1211">
        <v>291</v>
      </c>
      <c r="E1211">
        <v>84</v>
      </c>
      <c r="F1211">
        <v>37</v>
      </c>
      <c r="G1211">
        <v>86</v>
      </c>
      <c r="H1211" t="s">
        <v>11</v>
      </c>
      <c r="I1211">
        <v>65031</v>
      </c>
      <c r="J1211">
        <v>0</v>
      </c>
      <c r="K1211">
        <v>1</v>
      </c>
      <c r="L1211">
        <v>0</v>
      </c>
      <c r="M1211">
        <v>1</v>
      </c>
      <c r="N1211">
        <f t="shared" si="36"/>
        <v>0.60027725625174799</v>
      </c>
      <c r="O1211">
        <f t="shared" si="37"/>
        <v>0.68842503513970255</v>
      </c>
    </row>
    <row r="1212" spans="1:15">
      <c r="A1212">
        <v>6320</v>
      </c>
      <c r="B1212">
        <v>768</v>
      </c>
      <c r="C1212">
        <v>44</v>
      </c>
      <c r="D1212">
        <v>561</v>
      </c>
      <c r="E1212">
        <v>77</v>
      </c>
      <c r="F1212">
        <v>44</v>
      </c>
      <c r="G1212">
        <v>14</v>
      </c>
      <c r="H1212" t="s">
        <v>12</v>
      </c>
      <c r="I1212">
        <v>70893</v>
      </c>
      <c r="J1212">
        <v>0</v>
      </c>
      <c r="K1212">
        <v>0</v>
      </c>
      <c r="L1212">
        <v>1</v>
      </c>
      <c r="M1212">
        <v>0</v>
      </c>
      <c r="N1212">
        <f t="shared" si="36"/>
        <v>0.87149855588792591</v>
      </c>
      <c r="O1212">
        <f t="shared" si="37"/>
        <v>0.54408115679304569</v>
      </c>
    </row>
    <row r="1213" spans="1:15">
      <c r="A1213">
        <v>6327</v>
      </c>
      <c r="B1213">
        <v>565</v>
      </c>
      <c r="C1213">
        <v>32</v>
      </c>
      <c r="D1213">
        <v>435</v>
      </c>
      <c r="E1213">
        <v>28</v>
      </c>
      <c r="F1213">
        <v>32</v>
      </c>
      <c r="G1213">
        <v>54</v>
      </c>
      <c r="H1213" t="s">
        <v>11</v>
      </c>
      <c r="I1213">
        <v>65777</v>
      </c>
      <c r="J1213">
        <v>0</v>
      </c>
      <c r="K1213">
        <v>0</v>
      </c>
      <c r="L1213">
        <v>0</v>
      </c>
      <c r="M1213">
        <v>1</v>
      </c>
      <c r="N1213">
        <f t="shared" si="36"/>
        <v>0.6347929658267375</v>
      </c>
      <c r="O1213">
        <f t="shared" si="37"/>
        <v>0.91706757238750503</v>
      </c>
    </row>
    <row r="1214" spans="1:15">
      <c r="A1214">
        <v>6336</v>
      </c>
      <c r="B1214">
        <v>13</v>
      </c>
      <c r="C1214">
        <v>2</v>
      </c>
      <c r="D1214">
        <v>14</v>
      </c>
      <c r="E1214">
        <v>8</v>
      </c>
      <c r="F1214">
        <v>7</v>
      </c>
      <c r="G1214">
        <v>4</v>
      </c>
      <c r="H1214" t="s">
        <v>11</v>
      </c>
      <c r="I1214">
        <v>29315</v>
      </c>
      <c r="J1214">
        <v>1</v>
      </c>
      <c r="K1214">
        <v>1</v>
      </c>
      <c r="L1214">
        <v>0</v>
      </c>
      <c r="M1214">
        <v>1</v>
      </c>
      <c r="N1214">
        <f t="shared" si="36"/>
        <v>-1.0522201742848833</v>
      </c>
      <c r="O1214">
        <f t="shared" si="37"/>
        <v>-0.15336495102911019</v>
      </c>
    </row>
    <row r="1215" spans="1:15">
      <c r="A1215">
        <v>6340</v>
      </c>
      <c r="B1215">
        <v>3</v>
      </c>
      <c r="C1215">
        <v>3</v>
      </c>
      <c r="D1215">
        <v>7</v>
      </c>
      <c r="E1215">
        <v>0</v>
      </c>
      <c r="F1215">
        <v>2</v>
      </c>
      <c r="G1215">
        <v>11</v>
      </c>
      <c r="H1215" t="s">
        <v>12</v>
      </c>
      <c r="I1215">
        <v>29938</v>
      </c>
      <c r="J1215">
        <v>1</v>
      </c>
      <c r="K1215">
        <v>0</v>
      </c>
      <c r="L1215">
        <v>1</v>
      </c>
      <c r="M1215">
        <v>0</v>
      </c>
      <c r="N1215">
        <f t="shared" si="36"/>
        <v>-1.0233953926961186</v>
      </c>
      <c r="O1215">
        <f t="shared" si="37"/>
        <v>-0.48548518852035288</v>
      </c>
    </row>
    <row r="1216" spans="1:15">
      <c r="A1216">
        <v>6343</v>
      </c>
      <c r="B1216">
        <v>835</v>
      </c>
      <c r="C1216">
        <v>73</v>
      </c>
      <c r="D1216">
        <v>380</v>
      </c>
      <c r="E1216">
        <v>114</v>
      </c>
      <c r="F1216">
        <v>73</v>
      </c>
      <c r="G1216">
        <v>43</v>
      </c>
      <c r="H1216" t="s">
        <v>11</v>
      </c>
      <c r="I1216">
        <v>79823</v>
      </c>
      <c r="J1216">
        <v>0</v>
      </c>
      <c r="K1216">
        <v>1</v>
      </c>
      <c r="L1216">
        <v>0</v>
      </c>
      <c r="M1216">
        <v>1</v>
      </c>
      <c r="N1216">
        <f t="shared" si="36"/>
        <v>1.2846691812292887</v>
      </c>
      <c r="O1216">
        <f t="shared" si="37"/>
        <v>0.85021204888613944</v>
      </c>
    </row>
    <row r="1217" spans="1:15">
      <c r="A1217">
        <v>6347</v>
      </c>
      <c r="B1217">
        <v>1</v>
      </c>
      <c r="C1217">
        <v>1</v>
      </c>
      <c r="D1217">
        <v>4</v>
      </c>
      <c r="E1217">
        <v>11</v>
      </c>
      <c r="F1217">
        <v>9</v>
      </c>
      <c r="G1217">
        <v>10</v>
      </c>
      <c r="H1217" t="s">
        <v>12</v>
      </c>
      <c r="I1217">
        <v>15862</v>
      </c>
      <c r="J1217">
        <v>1</v>
      </c>
      <c r="K1217">
        <v>0</v>
      </c>
      <c r="L1217">
        <v>1</v>
      </c>
      <c r="M1217">
        <v>0</v>
      </c>
      <c r="N1217">
        <f t="shared" si="36"/>
        <v>-1.6746596393148223</v>
      </c>
      <c r="O1217">
        <f t="shared" si="37"/>
        <v>-0.63269730858585649</v>
      </c>
    </row>
    <row r="1218" spans="1:15">
      <c r="A1218">
        <v>6349</v>
      </c>
      <c r="B1218">
        <v>621</v>
      </c>
      <c r="C1218">
        <v>73</v>
      </c>
      <c r="D1218">
        <v>414</v>
      </c>
      <c r="E1218">
        <v>78</v>
      </c>
      <c r="F1218">
        <v>48</v>
      </c>
      <c r="G1218">
        <v>85</v>
      </c>
      <c r="H1218" t="s">
        <v>12</v>
      </c>
      <c r="I1218">
        <v>61787</v>
      </c>
      <c r="J1218">
        <v>0</v>
      </c>
      <c r="K1218">
        <v>0</v>
      </c>
      <c r="L1218">
        <v>1</v>
      </c>
      <c r="M1218">
        <v>0</v>
      </c>
      <c r="N1218">
        <f t="shared" si="36"/>
        <v>0.450184814078469</v>
      </c>
      <c r="O1218">
        <f t="shared" si="37"/>
        <v>0.33994691806630134</v>
      </c>
    </row>
    <row r="1219" spans="1:15">
      <c r="A1219">
        <v>6354</v>
      </c>
      <c r="B1219">
        <v>5</v>
      </c>
      <c r="C1219">
        <v>2</v>
      </c>
      <c r="D1219">
        <v>16</v>
      </c>
      <c r="E1219">
        <v>3</v>
      </c>
      <c r="F1219">
        <v>2</v>
      </c>
      <c r="G1219">
        <v>19</v>
      </c>
      <c r="H1219" t="s">
        <v>11</v>
      </c>
      <c r="I1219">
        <v>15345</v>
      </c>
      <c r="J1219">
        <v>1</v>
      </c>
      <c r="K1219">
        <v>0</v>
      </c>
      <c r="L1219">
        <v>0</v>
      </c>
      <c r="M1219">
        <v>1</v>
      </c>
      <c r="N1219">
        <f t="shared" ref="N1219:N1282" si="38">STANDARDIZE(I1219,$Q$1,$R$1)</f>
        <v>-1.6985800439398486</v>
      </c>
      <c r="O1219">
        <f t="shared" ref="O1219:O1282" si="39">SUMPRODUCT(J1219:N1219,$Q$4:$U$4) / SQRT(SUMSQ(J1219:N1219) * SUMSQ($Q$4:$U$4))</f>
        <v>-0.38279713114640351</v>
      </c>
    </row>
    <row r="1220" spans="1:15">
      <c r="A1220">
        <v>6355</v>
      </c>
      <c r="B1220">
        <v>20</v>
      </c>
      <c r="C1220">
        <v>0</v>
      </c>
      <c r="D1220">
        <v>14</v>
      </c>
      <c r="E1220">
        <v>7</v>
      </c>
      <c r="F1220">
        <v>3</v>
      </c>
      <c r="G1220">
        <v>1</v>
      </c>
      <c r="H1220" t="s">
        <v>11</v>
      </c>
      <c r="I1220">
        <v>44359</v>
      </c>
      <c r="J1220">
        <v>1</v>
      </c>
      <c r="K1220">
        <v>1</v>
      </c>
      <c r="L1220">
        <v>0</v>
      </c>
      <c r="M1220">
        <v>1</v>
      </c>
      <c r="N1220">
        <f t="shared" si="38"/>
        <v>-0.35616878709166233</v>
      </c>
      <c r="O1220">
        <f t="shared" si="39"/>
        <v>0.15020248896776603</v>
      </c>
    </row>
    <row r="1221" spans="1:15">
      <c r="A1221">
        <v>6357</v>
      </c>
      <c r="B1221">
        <v>230</v>
      </c>
      <c r="C1221">
        <v>35</v>
      </c>
      <c r="D1221">
        <v>75</v>
      </c>
      <c r="E1221">
        <v>63</v>
      </c>
      <c r="F1221">
        <v>57</v>
      </c>
      <c r="G1221">
        <v>31</v>
      </c>
      <c r="H1221" t="s">
        <v>12</v>
      </c>
      <c r="I1221">
        <v>59052</v>
      </c>
      <c r="J1221">
        <v>0</v>
      </c>
      <c r="K1221">
        <v>1</v>
      </c>
      <c r="L1221">
        <v>1</v>
      </c>
      <c r="M1221">
        <v>0</v>
      </c>
      <c r="N1221">
        <f t="shared" si="38"/>
        <v>0.32364263487257566</v>
      </c>
      <c r="O1221">
        <f t="shared" si="39"/>
        <v>0.18473912447596599</v>
      </c>
    </row>
    <row r="1222" spans="1:15">
      <c r="A1222">
        <v>6365</v>
      </c>
      <c r="B1222">
        <v>10</v>
      </c>
      <c r="C1222">
        <v>12</v>
      </c>
      <c r="D1222">
        <v>12</v>
      </c>
      <c r="E1222">
        <v>25</v>
      </c>
      <c r="F1222">
        <v>1</v>
      </c>
      <c r="G1222">
        <v>20</v>
      </c>
      <c r="H1222" t="s">
        <v>11</v>
      </c>
      <c r="I1222">
        <v>30390</v>
      </c>
      <c r="J1222">
        <v>0</v>
      </c>
      <c r="K1222">
        <v>0</v>
      </c>
      <c r="L1222">
        <v>0</v>
      </c>
      <c r="M1222">
        <v>1</v>
      </c>
      <c r="N1222">
        <f t="shared" si="38"/>
        <v>-1.0024823890394226</v>
      </c>
      <c r="O1222">
        <f t="shared" si="39"/>
        <v>-0.1904156600742023</v>
      </c>
    </row>
    <row r="1223" spans="1:15">
      <c r="A1223">
        <v>6374</v>
      </c>
      <c r="B1223">
        <v>223</v>
      </c>
      <c r="C1223">
        <v>2</v>
      </c>
      <c r="D1223">
        <v>31</v>
      </c>
      <c r="E1223">
        <v>0</v>
      </c>
      <c r="F1223">
        <v>2</v>
      </c>
      <c r="G1223">
        <v>39</v>
      </c>
      <c r="H1223" t="s">
        <v>11</v>
      </c>
      <c r="I1223">
        <v>36930</v>
      </c>
      <c r="J1223">
        <v>0</v>
      </c>
      <c r="K1223">
        <v>1</v>
      </c>
      <c r="L1223">
        <v>0</v>
      </c>
      <c r="M1223">
        <v>1</v>
      </c>
      <c r="N1223">
        <f t="shared" si="38"/>
        <v>-0.69989158391820039</v>
      </c>
      <c r="O1223">
        <f t="shared" si="39"/>
        <v>-1.2067492810084379E-2</v>
      </c>
    </row>
    <row r="1224" spans="1:15">
      <c r="A1224">
        <v>6376</v>
      </c>
      <c r="B1224">
        <v>191</v>
      </c>
      <c r="C1224">
        <v>56</v>
      </c>
      <c r="D1224">
        <v>139</v>
      </c>
      <c r="E1224">
        <v>51</v>
      </c>
      <c r="F1224">
        <v>8</v>
      </c>
      <c r="G1224">
        <v>100</v>
      </c>
      <c r="H1224" t="s">
        <v>12</v>
      </c>
      <c r="I1224">
        <v>57537</v>
      </c>
      <c r="J1224">
        <v>1</v>
      </c>
      <c r="K1224">
        <v>0</v>
      </c>
      <c r="L1224">
        <v>1</v>
      </c>
      <c r="M1224">
        <v>0</v>
      </c>
      <c r="N1224">
        <f t="shared" si="38"/>
        <v>0.25354705845687969</v>
      </c>
      <c r="O1224">
        <f t="shared" si="39"/>
        <v>0.1461391178090832</v>
      </c>
    </row>
    <row r="1225" spans="1:15">
      <c r="A1225">
        <v>6379</v>
      </c>
      <c r="B1225">
        <v>67</v>
      </c>
      <c r="C1225">
        <v>1</v>
      </c>
      <c r="D1225">
        <v>20</v>
      </c>
      <c r="E1225">
        <v>0</v>
      </c>
      <c r="F1225">
        <v>2</v>
      </c>
      <c r="G1225">
        <v>31</v>
      </c>
      <c r="H1225" t="s">
        <v>12</v>
      </c>
      <c r="I1225">
        <v>47570</v>
      </c>
      <c r="J1225">
        <v>1</v>
      </c>
      <c r="K1225">
        <v>1</v>
      </c>
      <c r="L1225">
        <v>1</v>
      </c>
      <c r="M1225">
        <v>0</v>
      </c>
      <c r="N1225">
        <f t="shared" si="38"/>
        <v>-0.20760317925615099</v>
      </c>
      <c r="O1225">
        <f t="shared" si="39"/>
        <v>-9.8552762840706007E-2</v>
      </c>
    </row>
    <row r="1226" spans="1:15">
      <c r="A1226">
        <v>6382</v>
      </c>
      <c r="B1226">
        <v>25</v>
      </c>
      <c r="C1226">
        <v>0</v>
      </c>
      <c r="D1226">
        <v>11</v>
      </c>
      <c r="E1226">
        <v>3</v>
      </c>
      <c r="F1226">
        <v>0</v>
      </c>
      <c r="G1226">
        <v>15</v>
      </c>
      <c r="H1226" t="s">
        <v>11</v>
      </c>
      <c r="I1226">
        <v>48794</v>
      </c>
      <c r="J1226">
        <v>1</v>
      </c>
      <c r="K1226">
        <v>1</v>
      </c>
      <c r="L1226">
        <v>0</v>
      </c>
      <c r="M1226">
        <v>1</v>
      </c>
      <c r="N1226">
        <f t="shared" si="38"/>
        <v>-0.15097150563713327</v>
      </c>
      <c r="O1226">
        <f t="shared" si="39"/>
        <v>0.2505033659954492</v>
      </c>
    </row>
    <row r="1227" spans="1:15">
      <c r="A1227">
        <v>6383</v>
      </c>
      <c r="B1227">
        <v>26</v>
      </c>
      <c r="C1227">
        <v>0</v>
      </c>
      <c r="D1227">
        <v>15</v>
      </c>
      <c r="E1227">
        <v>2</v>
      </c>
      <c r="F1227">
        <v>1</v>
      </c>
      <c r="G1227">
        <v>2</v>
      </c>
      <c r="H1227" t="s">
        <v>11</v>
      </c>
      <c r="I1227">
        <v>32892</v>
      </c>
      <c r="J1227">
        <v>1</v>
      </c>
      <c r="K1227">
        <v>0</v>
      </c>
      <c r="L1227">
        <v>0</v>
      </c>
      <c r="M1227">
        <v>1</v>
      </c>
      <c r="N1227">
        <f t="shared" si="38"/>
        <v>-0.88672058561231271</v>
      </c>
      <c r="O1227">
        <f t="shared" si="39"/>
        <v>-0.10409590740208281</v>
      </c>
    </row>
    <row r="1228" spans="1:15">
      <c r="A1228">
        <v>6384</v>
      </c>
      <c r="B1228">
        <v>909</v>
      </c>
      <c r="C1228">
        <v>12</v>
      </c>
      <c r="D1228">
        <v>278</v>
      </c>
      <c r="E1228">
        <v>0</v>
      </c>
      <c r="F1228">
        <v>12</v>
      </c>
      <c r="G1228">
        <v>242</v>
      </c>
      <c r="H1228" t="s">
        <v>12</v>
      </c>
      <c r="I1228">
        <v>71022</v>
      </c>
      <c r="J1228">
        <v>0</v>
      </c>
      <c r="K1228">
        <v>1</v>
      </c>
      <c r="L1228">
        <v>1</v>
      </c>
      <c r="M1228">
        <v>0</v>
      </c>
      <c r="N1228">
        <f t="shared" si="38"/>
        <v>0.87746709011738122</v>
      </c>
      <c r="O1228">
        <f t="shared" si="39"/>
        <v>0.43660413079285726</v>
      </c>
    </row>
    <row r="1229" spans="1:15">
      <c r="A1229">
        <v>6387</v>
      </c>
      <c r="B1229">
        <v>42</v>
      </c>
      <c r="C1229">
        <v>0</v>
      </c>
      <c r="D1229">
        <v>17</v>
      </c>
      <c r="E1229">
        <v>0</v>
      </c>
      <c r="F1229">
        <v>0</v>
      </c>
      <c r="G1229">
        <v>18</v>
      </c>
      <c r="H1229" t="s">
        <v>11</v>
      </c>
      <c r="I1229">
        <v>52190</v>
      </c>
      <c r="J1229">
        <v>1</v>
      </c>
      <c r="K1229">
        <v>1</v>
      </c>
      <c r="L1229">
        <v>0</v>
      </c>
      <c r="M1229">
        <v>1</v>
      </c>
      <c r="N1229">
        <f t="shared" si="38"/>
        <v>6.1536280313178411E-3</v>
      </c>
      <c r="O1229">
        <f t="shared" si="39"/>
        <v>0.32657495760577832</v>
      </c>
    </row>
    <row r="1230" spans="1:15">
      <c r="A1230">
        <v>6398</v>
      </c>
      <c r="B1230">
        <v>7</v>
      </c>
      <c r="C1230">
        <v>10</v>
      </c>
      <c r="D1230">
        <v>13</v>
      </c>
      <c r="E1230">
        <v>16</v>
      </c>
      <c r="F1230">
        <v>0</v>
      </c>
      <c r="G1230">
        <v>4</v>
      </c>
      <c r="H1230" t="s">
        <v>11</v>
      </c>
      <c r="I1230">
        <v>18393</v>
      </c>
      <c r="J1230">
        <v>1</v>
      </c>
      <c r="K1230">
        <v>0</v>
      </c>
      <c r="L1230">
        <v>0</v>
      </c>
      <c r="M1230">
        <v>1</v>
      </c>
      <c r="N1230">
        <f t="shared" si="38"/>
        <v>-1.5575560723787651</v>
      </c>
      <c r="O1230">
        <f t="shared" si="39"/>
        <v>-0.34665343298441997</v>
      </c>
    </row>
    <row r="1231" spans="1:15">
      <c r="A1231">
        <v>6404</v>
      </c>
      <c r="B1231">
        <v>151</v>
      </c>
      <c r="C1231">
        <v>7</v>
      </c>
      <c r="D1231">
        <v>89</v>
      </c>
      <c r="E1231">
        <v>0</v>
      </c>
      <c r="F1231">
        <v>7</v>
      </c>
      <c r="G1231">
        <v>28</v>
      </c>
      <c r="H1231" t="s">
        <v>11</v>
      </c>
      <c r="I1231">
        <v>58917</v>
      </c>
      <c r="J1231">
        <v>1</v>
      </c>
      <c r="K1231">
        <v>2</v>
      </c>
      <c r="L1231">
        <v>0</v>
      </c>
      <c r="M1231">
        <v>1</v>
      </c>
      <c r="N1231">
        <f t="shared" si="38"/>
        <v>0.31739649439988987</v>
      </c>
      <c r="O1231">
        <f t="shared" si="39"/>
        <v>0.33336232444035696</v>
      </c>
    </row>
    <row r="1232" spans="1:15">
      <c r="A1232">
        <v>6406</v>
      </c>
      <c r="B1232">
        <v>647</v>
      </c>
      <c r="C1232">
        <v>107</v>
      </c>
      <c r="D1232">
        <v>391</v>
      </c>
      <c r="E1232">
        <v>175</v>
      </c>
      <c r="F1232">
        <v>67</v>
      </c>
      <c r="G1232">
        <v>40</v>
      </c>
      <c r="H1232" t="s">
        <v>11</v>
      </c>
      <c r="I1232">
        <v>78285</v>
      </c>
      <c r="J1232">
        <v>0</v>
      </c>
      <c r="K1232">
        <v>0</v>
      </c>
      <c r="L1232">
        <v>0</v>
      </c>
      <c r="M1232">
        <v>1</v>
      </c>
      <c r="N1232">
        <f t="shared" si="38"/>
        <v>1.213509447547876</v>
      </c>
      <c r="O1232">
        <f t="shared" si="39"/>
        <v>0.99556778297984305</v>
      </c>
    </row>
    <row r="1233" spans="1:15">
      <c r="A1233">
        <v>6409</v>
      </c>
      <c r="B1233">
        <v>267</v>
      </c>
      <c r="C1233">
        <v>140</v>
      </c>
      <c r="D1233">
        <v>599</v>
      </c>
      <c r="E1233">
        <v>34</v>
      </c>
      <c r="F1233">
        <v>12</v>
      </c>
      <c r="G1233">
        <v>127</v>
      </c>
      <c r="H1233" t="s">
        <v>12</v>
      </c>
      <c r="I1233">
        <v>57136</v>
      </c>
      <c r="J1233">
        <v>0</v>
      </c>
      <c r="K1233">
        <v>0</v>
      </c>
      <c r="L1233">
        <v>1</v>
      </c>
      <c r="M1233">
        <v>0</v>
      </c>
      <c r="N1233">
        <f t="shared" si="38"/>
        <v>0.23499370786764268</v>
      </c>
      <c r="O1233">
        <f t="shared" si="39"/>
        <v>0.1894423867575504</v>
      </c>
    </row>
    <row r="1234" spans="1:15">
      <c r="A1234">
        <v>6417</v>
      </c>
      <c r="B1234">
        <v>829</v>
      </c>
      <c r="C1234">
        <v>138</v>
      </c>
      <c r="D1234">
        <v>430</v>
      </c>
      <c r="E1234">
        <v>60</v>
      </c>
      <c r="F1234">
        <v>92</v>
      </c>
      <c r="G1234">
        <v>15</v>
      </c>
      <c r="H1234" t="s">
        <v>11</v>
      </c>
      <c r="I1234">
        <v>80573</v>
      </c>
      <c r="J1234">
        <v>0</v>
      </c>
      <c r="K1234">
        <v>0</v>
      </c>
      <c r="L1234">
        <v>0</v>
      </c>
      <c r="M1234">
        <v>1</v>
      </c>
      <c r="N1234">
        <f t="shared" si="38"/>
        <v>1.3193699616330987</v>
      </c>
      <c r="O1234">
        <f t="shared" si="39"/>
        <v>0.99856870741233095</v>
      </c>
    </row>
    <row r="1235" spans="1:15">
      <c r="A1235">
        <v>6421</v>
      </c>
      <c r="B1235">
        <v>1050</v>
      </c>
      <c r="C1235">
        <v>178</v>
      </c>
      <c r="D1235">
        <v>555</v>
      </c>
      <c r="E1235">
        <v>77</v>
      </c>
      <c r="F1235">
        <v>138</v>
      </c>
      <c r="G1235">
        <v>118</v>
      </c>
      <c r="H1235" t="s">
        <v>11</v>
      </c>
      <c r="I1235">
        <v>88347</v>
      </c>
      <c r="J1235">
        <v>0</v>
      </c>
      <c r="K1235">
        <v>0</v>
      </c>
      <c r="L1235">
        <v>0</v>
      </c>
      <c r="M1235">
        <v>1</v>
      </c>
      <c r="N1235">
        <f t="shared" si="38"/>
        <v>1.6790551174453894</v>
      </c>
      <c r="O1235">
        <f t="shared" si="39"/>
        <v>0.99832459646976668</v>
      </c>
    </row>
    <row r="1236" spans="1:15">
      <c r="A1236">
        <v>6422</v>
      </c>
      <c r="B1236">
        <v>344</v>
      </c>
      <c r="C1236">
        <v>189</v>
      </c>
      <c r="D1236">
        <v>482</v>
      </c>
      <c r="E1236">
        <v>50</v>
      </c>
      <c r="F1236">
        <v>33</v>
      </c>
      <c r="G1236">
        <v>172</v>
      </c>
      <c r="H1236" t="s">
        <v>11</v>
      </c>
      <c r="I1236">
        <v>86718</v>
      </c>
      <c r="J1236">
        <v>0</v>
      </c>
      <c r="K1236">
        <v>0</v>
      </c>
      <c r="L1236">
        <v>0</v>
      </c>
      <c r="M1236">
        <v>1</v>
      </c>
      <c r="N1236">
        <f t="shared" si="38"/>
        <v>1.6036850224083143</v>
      </c>
      <c r="O1236">
        <f t="shared" si="39"/>
        <v>0.9992974681568525</v>
      </c>
    </row>
    <row r="1237" spans="1:15">
      <c r="A1237">
        <v>6424</v>
      </c>
      <c r="B1237">
        <v>12</v>
      </c>
      <c r="C1237">
        <v>6</v>
      </c>
      <c r="D1237">
        <v>2</v>
      </c>
      <c r="E1237">
        <v>11</v>
      </c>
      <c r="F1237">
        <v>2</v>
      </c>
      <c r="G1237">
        <v>16</v>
      </c>
      <c r="H1237" t="s">
        <v>11</v>
      </c>
      <c r="I1237">
        <v>33178</v>
      </c>
      <c r="J1237">
        <v>1</v>
      </c>
      <c r="K1237">
        <v>0</v>
      </c>
      <c r="L1237">
        <v>0</v>
      </c>
      <c r="M1237">
        <v>1</v>
      </c>
      <c r="N1237">
        <f t="shared" si="38"/>
        <v>-0.87348802135165993</v>
      </c>
      <c r="O1237">
        <f t="shared" si="39"/>
        <v>-9.7941287650331652E-2</v>
      </c>
    </row>
    <row r="1238" spans="1:15">
      <c r="A1238">
        <v>6428</v>
      </c>
      <c r="B1238">
        <v>605</v>
      </c>
      <c r="C1238">
        <v>10</v>
      </c>
      <c r="D1238">
        <v>345</v>
      </c>
      <c r="E1238">
        <v>84</v>
      </c>
      <c r="F1238">
        <v>54</v>
      </c>
      <c r="G1238">
        <v>32</v>
      </c>
      <c r="H1238" t="s">
        <v>12</v>
      </c>
      <c r="I1238">
        <v>76842</v>
      </c>
      <c r="J1238">
        <v>0</v>
      </c>
      <c r="K1238">
        <v>0</v>
      </c>
      <c r="L1238">
        <v>1</v>
      </c>
      <c r="M1238">
        <v>0</v>
      </c>
      <c r="N1238">
        <f t="shared" si="38"/>
        <v>1.1467451460509459</v>
      </c>
      <c r="O1238">
        <f t="shared" si="39"/>
        <v>0.62413993515088251</v>
      </c>
    </row>
    <row r="1239" spans="1:15">
      <c r="A1239">
        <v>6431</v>
      </c>
      <c r="B1239">
        <v>42</v>
      </c>
      <c r="C1239">
        <v>1</v>
      </c>
      <c r="D1239">
        <v>18</v>
      </c>
      <c r="E1239">
        <v>3</v>
      </c>
      <c r="F1239">
        <v>0</v>
      </c>
      <c r="G1239">
        <v>4</v>
      </c>
      <c r="H1239" t="s">
        <v>11</v>
      </c>
      <c r="I1239">
        <v>45759</v>
      </c>
      <c r="J1239">
        <v>1</v>
      </c>
      <c r="K1239">
        <v>1</v>
      </c>
      <c r="L1239">
        <v>0</v>
      </c>
      <c r="M1239">
        <v>1</v>
      </c>
      <c r="N1239">
        <f t="shared" si="38"/>
        <v>-0.29139399700455054</v>
      </c>
      <c r="O1239">
        <f t="shared" si="39"/>
        <v>0.18176079931348285</v>
      </c>
    </row>
    <row r="1240" spans="1:15">
      <c r="A1240">
        <v>6437</v>
      </c>
      <c r="B1240">
        <v>21</v>
      </c>
      <c r="C1240">
        <v>8</v>
      </c>
      <c r="D1240">
        <v>20</v>
      </c>
      <c r="E1240">
        <v>15</v>
      </c>
      <c r="F1240">
        <v>3</v>
      </c>
      <c r="G1240">
        <v>9</v>
      </c>
      <c r="H1240" t="s">
        <v>12</v>
      </c>
      <c r="I1240">
        <v>41473</v>
      </c>
      <c r="J1240">
        <v>1</v>
      </c>
      <c r="K1240">
        <v>0</v>
      </c>
      <c r="L1240">
        <v>1</v>
      </c>
      <c r="M1240">
        <v>0</v>
      </c>
      <c r="N1240">
        <f t="shared" si="38"/>
        <v>-0.48969739008552271</v>
      </c>
      <c r="O1240">
        <f t="shared" si="39"/>
        <v>-0.27096654685179</v>
      </c>
    </row>
    <row r="1241" spans="1:15">
      <c r="A1241">
        <v>6439</v>
      </c>
      <c r="B1241">
        <v>789</v>
      </c>
      <c r="C1241">
        <v>0</v>
      </c>
      <c r="D1241">
        <v>133</v>
      </c>
      <c r="E1241">
        <v>0</v>
      </c>
      <c r="F1241">
        <v>28</v>
      </c>
      <c r="G1241">
        <v>152</v>
      </c>
      <c r="H1241" t="s">
        <v>11</v>
      </c>
      <c r="I1241">
        <v>61074</v>
      </c>
      <c r="J1241">
        <v>0</v>
      </c>
      <c r="K1241">
        <v>1</v>
      </c>
      <c r="L1241">
        <v>0</v>
      </c>
      <c r="M1241">
        <v>1</v>
      </c>
      <c r="N1241">
        <f t="shared" si="38"/>
        <v>0.41719593884124706</v>
      </c>
      <c r="O1241">
        <f t="shared" si="39"/>
        <v>0.61448653390078545</v>
      </c>
    </row>
    <row r="1242" spans="1:15">
      <c r="A1242">
        <v>6445</v>
      </c>
      <c r="B1242">
        <v>243</v>
      </c>
      <c r="C1242">
        <v>101</v>
      </c>
      <c r="D1242">
        <v>405</v>
      </c>
      <c r="E1242">
        <v>29</v>
      </c>
      <c r="F1242">
        <v>40</v>
      </c>
      <c r="G1242">
        <v>40</v>
      </c>
      <c r="H1242" t="s">
        <v>11</v>
      </c>
      <c r="I1242">
        <v>66825</v>
      </c>
      <c r="J1242">
        <v>0</v>
      </c>
      <c r="K1242">
        <v>0</v>
      </c>
      <c r="L1242">
        <v>0</v>
      </c>
      <c r="M1242">
        <v>1</v>
      </c>
      <c r="N1242">
        <f t="shared" si="38"/>
        <v>0.6832815229776612</v>
      </c>
      <c r="O1242">
        <f t="shared" si="39"/>
        <v>0.93002080367051188</v>
      </c>
    </row>
    <row r="1243" spans="1:15">
      <c r="A1243">
        <v>6457</v>
      </c>
      <c r="B1243">
        <v>527</v>
      </c>
      <c r="C1243">
        <v>24</v>
      </c>
      <c r="D1243">
        <v>230</v>
      </c>
      <c r="E1243">
        <v>32</v>
      </c>
      <c r="F1243">
        <v>24</v>
      </c>
      <c r="G1243">
        <v>65</v>
      </c>
      <c r="H1243" t="s">
        <v>12</v>
      </c>
      <c r="I1243">
        <v>64892</v>
      </c>
      <c r="J1243">
        <v>0</v>
      </c>
      <c r="K1243">
        <v>1</v>
      </c>
      <c r="L1243">
        <v>1</v>
      </c>
      <c r="M1243">
        <v>0</v>
      </c>
      <c r="N1243">
        <f t="shared" si="38"/>
        <v>0.59384604495024185</v>
      </c>
      <c r="O1243">
        <f t="shared" si="39"/>
        <v>0.32061790262290452</v>
      </c>
    </row>
    <row r="1244" spans="1:15">
      <c r="A1244">
        <v>6460</v>
      </c>
      <c r="B1244">
        <v>12</v>
      </c>
      <c r="C1244">
        <v>4</v>
      </c>
      <c r="D1244">
        <v>6</v>
      </c>
      <c r="E1244">
        <v>11</v>
      </c>
      <c r="F1244">
        <v>8</v>
      </c>
      <c r="G1244">
        <v>16</v>
      </c>
      <c r="H1244" t="s">
        <v>11</v>
      </c>
      <c r="I1244">
        <v>28718</v>
      </c>
      <c r="J1244">
        <v>1</v>
      </c>
      <c r="K1244">
        <v>0</v>
      </c>
      <c r="L1244">
        <v>0</v>
      </c>
      <c r="M1244">
        <v>1</v>
      </c>
      <c r="N1244">
        <f t="shared" si="38"/>
        <v>-1.0798419954863159</v>
      </c>
      <c r="O1244">
        <f t="shared" si="39"/>
        <v>-0.18753325052907741</v>
      </c>
    </row>
    <row r="1245" spans="1:15">
      <c r="A1245">
        <v>6461</v>
      </c>
      <c r="B1245">
        <v>581</v>
      </c>
      <c r="C1245">
        <v>49</v>
      </c>
      <c r="D1245">
        <v>157</v>
      </c>
      <c r="E1245">
        <v>43</v>
      </c>
      <c r="F1245">
        <v>8</v>
      </c>
      <c r="G1245">
        <v>108</v>
      </c>
      <c r="H1245" t="s">
        <v>12</v>
      </c>
      <c r="I1245">
        <v>62772</v>
      </c>
      <c r="J1245">
        <v>0</v>
      </c>
      <c r="K1245">
        <v>1</v>
      </c>
      <c r="L1245">
        <v>1</v>
      </c>
      <c r="M1245">
        <v>0</v>
      </c>
      <c r="N1245">
        <f t="shared" si="38"/>
        <v>0.49575850567547264</v>
      </c>
      <c r="O1245">
        <f t="shared" si="39"/>
        <v>0.27395533237602776</v>
      </c>
    </row>
    <row r="1246" spans="1:15">
      <c r="A1246">
        <v>6466</v>
      </c>
      <c r="B1246">
        <v>105</v>
      </c>
      <c r="C1246">
        <v>0</v>
      </c>
      <c r="D1246">
        <v>9</v>
      </c>
      <c r="E1246">
        <v>2</v>
      </c>
      <c r="F1246">
        <v>1</v>
      </c>
      <c r="G1246">
        <v>4</v>
      </c>
      <c r="H1246" t="s">
        <v>11</v>
      </c>
      <c r="I1246">
        <v>57236</v>
      </c>
      <c r="J1246">
        <v>1</v>
      </c>
      <c r="K1246">
        <v>1</v>
      </c>
      <c r="L1246">
        <v>0</v>
      </c>
      <c r="M1246">
        <v>1</v>
      </c>
      <c r="N1246">
        <f t="shared" si="38"/>
        <v>0.23962047858815066</v>
      </c>
      <c r="O1246">
        <f t="shared" si="39"/>
        <v>0.43406679926537933</v>
      </c>
    </row>
    <row r="1247" spans="1:15">
      <c r="A1247">
        <v>6471</v>
      </c>
      <c r="B1247">
        <v>14</v>
      </c>
      <c r="C1247">
        <v>2</v>
      </c>
      <c r="D1247">
        <v>30</v>
      </c>
      <c r="E1247">
        <v>8</v>
      </c>
      <c r="F1247">
        <v>2</v>
      </c>
      <c r="G1247">
        <v>3</v>
      </c>
      <c r="H1247" t="s">
        <v>12</v>
      </c>
      <c r="I1247">
        <v>36230</v>
      </c>
      <c r="J1247">
        <v>1</v>
      </c>
      <c r="K1247">
        <v>0</v>
      </c>
      <c r="L1247">
        <v>1</v>
      </c>
      <c r="M1247">
        <v>0</v>
      </c>
      <c r="N1247">
        <f t="shared" si="38"/>
        <v>-0.73227897896175631</v>
      </c>
      <c r="O1247">
        <f t="shared" si="39"/>
        <v>-0.38078066283565282</v>
      </c>
    </row>
    <row r="1248" spans="1:15">
      <c r="A1248">
        <v>6488</v>
      </c>
      <c r="B1248">
        <v>76</v>
      </c>
      <c r="C1248">
        <v>0</v>
      </c>
      <c r="D1248">
        <v>7</v>
      </c>
      <c r="E1248">
        <v>0</v>
      </c>
      <c r="F1248">
        <v>0</v>
      </c>
      <c r="G1248">
        <v>16</v>
      </c>
      <c r="H1248" t="s">
        <v>11</v>
      </c>
      <c r="I1248">
        <v>38829</v>
      </c>
      <c r="J1248">
        <v>0</v>
      </c>
      <c r="K1248">
        <v>1</v>
      </c>
      <c r="L1248">
        <v>0</v>
      </c>
      <c r="M1248">
        <v>1</v>
      </c>
      <c r="N1248">
        <f t="shared" si="38"/>
        <v>-0.61202920793575377</v>
      </c>
      <c r="O1248">
        <f t="shared" si="39"/>
        <v>3.4860521086910685E-2</v>
      </c>
    </row>
    <row r="1249" spans="1:15">
      <c r="A1249">
        <v>6497</v>
      </c>
      <c r="B1249">
        <v>293</v>
      </c>
      <c r="C1249">
        <v>6</v>
      </c>
      <c r="D1249">
        <v>23</v>
      </c>
      <c r="E1249">
        <v>13</v>
      </c>
      <c r="F1249">
        <v>6</v>
      </c>
      <c r="G1249">
        <v>92</v>
      </c>
      <c r="H1249" t="s">
        <v>11</v>
      </c>
      <c r="I1249">
        <v>51651</v>
      </c>
      <c r="J1249">
        <v>0</v>
      </c>
      <c r="K1249">
        <v>1</v>
      </c>
      <c r="L1249">
        <v>0</v>
      </c>
      <c r="M1249">
        <v>1</v>
      </c>
      <c r="N1249">
        <f t="shared" si="38"/>
        <v>-1.878466615222019E-2</v>
      </c>
      <c r="O1249">
        <f t="shared" si="39"/>
        <v>0.3853364529984491</v>
      </c>
    </row>
    <row r="1250" spans="1:15">
      <c r="A1250">
        <v>6504</v>
      </c>
      <c r="B1250">
        <v>2</v>
      </c>
      <c r="C1250">
        <v>5</v>
      </c>
      <c r="D1250">
        <v>9</v>
      </c>
      <c r="E1250">
        <v>28</v>
      </c>
      <c r="F1250">
        <v>6</v>
      </c>
      <c r="G1250">
        <v>28</v>
      </c>
      <c r="H1250" t="s">
        <v>11</v>
      </c>
      <c r="I1250">
        <v>19789</v>
      </c>
      <c r="J1250">
        <v>1</v>
      </c>
      <c r="K1250">
        <v>0</v>
      </c>
      <c r="L1250">
        <v>0</v>
      </c>
      <c r="M1250">
        <v>1</v>
      </c>
      <c r="N1250">
        <f t="shared" si="38"/>
        <v>-1.4929663531204738</v>
      </c>
      <c r="O1250">
        <f t="shared" si="39"/>
        <v>-0.32862704263273218</v>
      </c>
    </row>
    <row r="1251" spans="1:15">
      <c r="A1251">
        <v>6507</v>
      </c>
      <c r="B1251">
        <v>16</v>
      </c>
      <c r="C1251">
        <v>11</v>
      </c>
      <c r="D1251">
        <v>15</v>
      </c>
      <c r="E1251">
        <v>2</v>
      </c>
      <c r="F1251">
        <v>0</v>
      </c>
      <c r="G1251">
        <v>12</v>
      </c>
      <c r="H1251" t="s">
        <v>12</v>
      </c>
      <c r="I1251">
        <v>30828</v>
      </c>
      <c r="J1251">
        <v>1</v>
      </c>
      <c r="K1251">
        <v>0</v>
      </c>
      <c r="L1251">
        <v>1</v>
      </c>
      <c r="M1251">
        <v>0</v>
      </c>
      <c r="N1251">
        <f t="shared" si="38"/>
        <v>-0.9822171332835975</v>
      </c>
      <c r="O1251">
        <f t="shared" si="39"/>
        <v>-0.47239607483115564</v>
      </c>
    </row>
    <row r="1252" spans="1:15">
      <c r="A1252">
        <v>6515</v>
      </c>
      <c r="B1252">
        <v>6</v>
      </c>
      <c r="C1252">
        <v>2</v>
      </c>
      <c r="D1252">
        <v>18</v>
      </c>
      <c r="E1252">
        <v>2</v>
      </c>
      <c r="F1252">
        <v>8</v>
      </c>
      <c r="G1252">
        <v>14</v>
      </c>
      <c r="H1252" t="s">
        <v>11</v>
      </c>
      <c r="I1252">
        <v>39771</v>
      </c>
      <c r="J1252">
        <v>1</v>
      </c>
      <c r="K1252">
        <v>0</v>
      </c>
      <c r="L1252">
        <v>0</v>
      </c>
      <c r="M1252">
        <v>1</v>
      </c>
      <c r="N1252">
        <f t="shared" si="38"/>
        <v>-0.56844502774856853</v>
      </c>
      <c r="O1252">
        <f t="shared" si="39"/>
        <v>5.8924612405545466E-2</v>
      </c>
    </row>
    <row r="1253" spans="1:15">
      <c r="A1253">
        <v>6516</v>
      </c>
      <c r="B1253">
        <v>0</v>
      </c>
      <c r="C1253">
        <v>0</v>
      </c>
      <c r="D1253">
        <v>1</v>
      </c>
      <c r="E1253">
        <v>7</v>
      </c>
      <c r="F1253">
        <v>4</v>
      </c>
      <c r="G1253">
        <v>6</v>
      </c>
      <c r="H1253" t="s">
        <v>11</v>
      </c>
      <c r="I1253">
        <v>17487</v>
      </c>
      <c r="J1253">
        <v>1</v>
      </c>
      <c r="K1253">
        <v>0</v>
      </c>
      <c r="L1253">
        <v>0</v>
      </c>
      <c r="M1253">
        <v>1</v>
      </c>
      <c r="N1253">
        <f t="shared" si="38"/>
        <v>-1.5994746151065675</v>
      </c>
      <c r="O1253">
        <f t="shared" si="39"/>
        <v>-0.35784341666382968</v>
      </c>
    </row>
    <row r="1254" spans="1:15">
      <c r="A1254">
        <v>6518</v>
      </c>
      <c r="B1254">
        <v>546</v>
      </c>
      <c r="C1254">
        <v>0</v>
      </c>
      <c r="D1254">
        <v>48</v>
      </c>
      <c r="E1254">
        <v>0</v>
      </c>
      <c r="F1254">
        <v>6</v>
      </c>
      <c r="G1254">
        <v>6</v>
      </c>
      <c r="H1254" t="s">
        <v>12</v>
      </c>
      <c r="I1254">
        <v>67680</v>
      </c>
      <c r="J1254">
        <v>0</v>
      </c>
      <c r="K1254">
        <v>1</v>
      </c>
      <c r="L1254">
        <v>1</v>
      </c>
      <c r="M1254">
        <v>0</v>
      </c>
      <c r="N1254">
        <f t="shared" si="38"/>
        <v>0.72284041263800447</v>
      </c>
      <c r="O1254">
        <f t="shared" si="39"/>
        <v>0.37689453263622846</v>
      </c>
    </row>
    <row r="1255" spans="1:15">
      <c r="A1255">
        <v>6521</v>
      </c>
      <c r="B1255">
        <v>613</v>
      </c>
      <c r="C1255">
        <v>22</v>
      </c>
      <c r="D1255">
        <v>319</v>
      </c>
      <c r="E1255">
        <v>33</v>
      </c>
      <c r="F1255">
        <v>102</v>
      </c>
      <c r="G1255">
        <v>12</v>
      </c>
      <c r="H1255" t="s">
        <v>11</v>
      </c>
      <c r="I1255">
        <v>77972</v>
      </c>
      <c r="J1255">
        <v>0</v>
      </c>
      <c r="K1255">
        <v>0</v>
      </c>
      <c r="L1255">
        <v>0</v>
      </c>
      <c r="M1255">
        <v>1</v>
      </c>
      <c r="N1255">
        <f t="shared" si="38"/>
        <v>1.1990276551926859</v>
      </c>
      <c r="O1255">
        <f t="shared" si="39"/>
        <v>0.99499570719275132</v>
      </c>
    </row>
    <row r="1256" spans="1:15">
      <c r="A1256">
        <v>6528</v>
      </c>
      <c r="B1256">
        <v>2</v>
      </c>
      <c r="C1256">
        <v>2</v>
      </c>
      <c r="D1256">
        <v>2</v>
      </c>
      <c r="E1256">
        <v>2</v>
      </c>
      <c r="F1256">
        <v>1</v>
      </c>
      <c r="G1256">
        <v>1</v>
      </c>
      <c r="H1256" t="s">
        <v>11</v>
      </c>
      <c r="I1256">
        <v>18492</v>
      </c>
      <c r="J1256">
        <v>1</v>
      </c>
      <c r="K1256">
        <v>0</v>
      </c>
      <c r="L1256">
        <v>0</v>
      </c>
      <c r="M1256">
        <v>1</v>
      </c>
      <c r="N1256">
        <f t="shared" si="38"/>
        <v>-1.5529755693654623</v>
      </c>
      <c r="O1256">
        <f t="shared" si="39"/>
        <v>-0.34540681256677941</v>
      </c>
    </row>
    <row r="1257" spans="1:15">
      <c r="A1257">
        <v>6534</v>
      </c>
      <c r="B1257">
        <v>29</v>
      </c>
      <c r="C1257">
        <v>0</v>
      </c>
      <c r="D1257">
        <v>29</v>
      </c>
      <c r="E1257">
        <v>0</v>
      </c>
      <c r="F1257">
        <v>5</v>
      </c>
      <c r="G1257">
        <v>4</v>
      </c>
      <c r="H1257" t="s">
        <v>11</v>
      </c>
      <c r="I1257">
        <v>47889</v>
      </c>
      <c r="J1257">
        <v>1</v>
      </c>
      <c r="K1257">
        <v>0</v>
      </c>
      <c r="L1257">
        <v>0</v>
      </c>
      <c r="M1257">
        <v>1</v>
      </c>
      <c r="N1257">
        <f t="shared" si="38"/>
        <v>-0.1928437806577305</v>
      </c>
      <c r="O1257">
        <f t="shared" si="39"/>
        <v>0.28084780889557526</v>
      </c>
    </row>
    <row r="1258" spans="1:15">
      <c r="A1258">
        <v>6543</v>
      </c>
      <c r="B1258">
        <v>521</v>
      </c>
      <c r="C1258">
        <v>168</v>
      </c>
      <c r="D1258">
        <v>706</v>
      </c>
      <c r="E1258">
        <v>80</v>
      </c>
      <c r="F1258">
        <v>76</v>
      </c>
      <c r="G1258">
        <v>61</v>
      </c>
      <c r="H1258" t="s">
        <v>11</v>
      </c>
      <c r="I1258">
        <v>62847</v>
      </c>
      <c r="J1258">
        <v>0</v>
      </c>
      <c r="K1258">
        <v>0</v>
      </c>
      <c r="L1258">
        <v>0</v>
      </c>
      <c r="M1258">
        <v>1</v>
      </c>
      <c r="N1258">
        <f t="shared" si="38"/>
        <v>0.4992285837158536</v>
      </c>
      <c r="O1258">
        <f t="shared" si="39"/>
        <v>0.87141650037860185</v>
      </c>
    </row>
    <row r="1259" spans="1:15">
      <c r="A1259">
        <v>6565</v>
      </c>
      <c r="B1259">
        <v>1012</v>
      </c>
      <c r="C1259">
        <v>80</v>
      </c>
      <c r="D1259">
        <v>498</v>
      </c>
      <c r="E1259">
        <v>0</v>
      </c>
      <c r="F1259">
        <v>16</v>
      </c>
      <c r="G1259">
        <v>176</v>
      </c>
      <c r="H1259" t="s">
        <v>11</v>
      </c>
      <c r="I1259">
        <v>76995</v>
      </c>
      <c r="J1259">
        <v>0</v>
      </c>
      <c r="K1259">
        <v>1</v>
      </c>
      <c r="L1259">
        <v>0</v>
      </c>
      <c r="M1259">
        <v>1</v>
      </c>
      <c r="N1259">
        <f t="shared" si="38"/>
        <v>1.1538241052533231</v>
      </c>
      <c r="O1259">
        <f t="shared" si="39"/>
        <v>0.83063016211414631</v>
      </c>
    </row>
    <row r="1260" spans="1:15">
      <c r="A1260">
        <v>6566</v>
      </c>
      <c r="B1260">
        <v>826</v>
      </c>
      <c r="C1260">
        <v>50</v>
      </c>
      <c r="D1260">
        <v>317</v>
      </c>
      <c r="E1260">
        <v>50</v>
      </c>
      <c r="F1260">
        <v>38</v>
      </c>
      <c r="G1260">
        <v>38</v>
      </c>
      <c r="H1260" t="s">
        <v>11</v>
      </c>
      <c r="I1260">
        <v>72550</v>
      </c>
      <c r="J1260">
        <v>1</v>
      </c>
      <c r="K1260">
        <v>1</v>
      </c>
      <c r="L1260">
        <v>0</v>
      </c>
      <c r="M1260">
        <v>1</v>
      </c>
      <c r="N1260">
        <f t="shared" si="38"/>
        <v>0.94816414672674321</v>
      </c>
      <c r="O1260">
        <f t="shared" si="39"/>
        <v>0.68153050805829318</v>
      </c>
    </row>
    <row r="1261" spans="1:15">
      <c r="A1261">
        <v>6568</v>
      </c>
      <c r="B1261">
        <v>11</v>
      </c>
      <c r="C1261">
        <v>0</v>
      </c>
      <c r="D1261">
        <v>36</v>
      </c>
      <c r="E1261">
        <v>15</v>
      </c>
      <c r="F1261">
        <v>5</v>
      </c>
      <c r="G1261">
        <v>12</v>
      </c>
      <c r="H1261" t="s">
        <v>11</v>
      </c>
      <c r="I1261">
        <v>38680</v>
      </c>
      <c r="J1261">
        <v>1</v>
      </c>
      <c r="K1261">
        <v>0</v>
      </c>
      <c r="L1261">
        <v>0</v>
      </c>
      <c r="M1261">
        <v>1</v>
      </c>
      <c r="N1261">
        <f t="shared" si="38"/>
        <v>-0.61892309630931064</v>
      </c>
      <c r="O1261">
        <f t="shared" si="39"/>
        <v>3.1100208125907226E-2</v>
      </c>
    </row>
    <row r="1262" spans="1:15">
      <c r="A1262">
        <v>6575</v>
      </c>
      <c r="B1262">
        <v>230</v>
      </c>
      <c r="C1262">
        <v>48</v>
      </c>
      <c r="D1262">
        <v>214</v>
      </c>
      <c r="E1262">
        <v>13</v>
      </c>
      <c r="F1262">
        <v>32</v>
      </c>
      <c r="G1262">
        <v>75</v>
      </c>
      <c r="H1262" t="s">
        <v>11</v>
      </c>
      <c r="I1262">
        <v>56386</v>
      </c>
      <c r="J1262">
        <v>1</v>
      </c>
      <c r="K1262">
        <v>1</v>
      </c>
      <c r="L1262">
        <v>0</v>
      </c>
      <c r="M1262">
        <v>1</v>
      </c>
      <c r="N1262">
        <f t="shared" si="38"/>
        <v>0.20029292746383281</v>
      </c>
      <c r="O1262">
        <f t="shared" si="39"/>
        <v>0.41662153059736629</v>
      </c>
    </row>
    <row r="1263" spans="1:15">
      <c r="A1263">
        <v>6605</v>
      </c>
      <c r="B1263">
        <v>504</v>
      </c>
      <c r="C1263">
        <v>13</v>
      </c>
      <c r="D1263">
        <v>131</v>
      </c>
      <c r="E1263">
        <v>8</v>
      </c>
      <c r="F1263">
        <v>0</v>
      </c>
      <c r="G1263">
        <v>26</v>
      </c>
      <c r="H1263" t="s">
        <v>12</v>
      </c>
      <c r="I1263">
        <v>55614</v>
      </c>
      <c r="J1263">
        <v>0</v>
      </c>
      <c r="K1263">
        <v>0</v>
      </c>
      <c r="L1263">
        <v>1</v>
      </c>
      <c r="M1263">
        <v>0</v>
      </c>
      <c r="N1263">
        <f t="shared" si="38"/>
        <v>0.1645742575015112</v>
      </c>
      <c r="O1263">
        <f t="shared" si="39"/>
        <v>0.13447811954484762</v>
      </c>
    </row>
    <row r="1264" spans="1:15">
      <c r="A1264">
        <v>6606</v>
      </c>
      <c r="B1264">
        <v>964</v>
      </c>
      <c r="C1264">
        <v>34</v>
      </c>
      <c r="D1264">
        <v>137</v>
      </c>
      <c r="E1264">
        <v>15</v>
      </c>
      <c r="F1264">
        <v>0</v>
      </c>
      <c r="G1264">
        <v>11</v>
      </c>
      <c r="H1264" t="s">
        <v>11</v>
      </c>
      <c r="I1264">
        <v>70091</v>
      </c>
      <c r="J1264">
        <v>1</v>
      </c>
      <c r="K1264">
        <v>0</v>
      </c>
      <c r="L1264">
        <v>0</v>
      </c>
      <c r="M1264">
        <v>1</v>
      </c>
      <c r="N1264">
        <f t="shared" si="38"/>
        <v>0.83439185470945187</v>
      </c>
      <c r="O1264">
        <f t="shared" si="39"/>
        <v>0.76219082737586519</v>
      </c>
    </row>
    <row r="1265" spans="1:15">
      <c r="A1265">
        <v>6609</v>
      </c>
      <c r="B1265">
        <v>1</v>
      </c>
      <c r="C1265">
        <v>26</v>
      </c>
      <c r="D1265">
        <v>25</v>
      </c>
      <c r="E1265">
        <v>17</v>
      </c>
      <c r="F1265">
        <v>23</v>
      </c>
      <c r="G1265">
        <v>15</v>
      </c>
      <c r="H1265" t="s">
        <v>12</v>
      </c>
      <c r="I1265">
        <v>27038</v>
      </c>
      <c r="J1265">
        <v>0</v>
      </c>
      <c r="K1265">
        <v>0</v>
      </c>
      <c r="L1265">
        <v>1</v>
      </c>
      <c r="M1265">
        <v>0</v>
      </c>
      <c r="N1265">
        <f t="shared" si="38"/>
        <v>-1.1575717435908501</v>
      </c>
      <c r="O1265">
        <f t="shared" si="39"/>
        <v>-0.62666495051407312</v>
      </c>
    </row>
    <row r="1266" spans="1:15">
      <c r="A1266">
        <v>6613</v>
      </c>
      <c r="B1266">
        <v>513</v>
      </c>
      <c r="C1266">
        <v>7</v>
      </c>
      <c r="D1266">
        <v>133</v>
      </c>
      <c r="E1266">
        <v>46</v>
      </c>
      <c r="F1266">
        <v>14</v>
      </c>
      <c r="G1266">
        <v>14</v>
      </c>
      <c r="H1266" t="s">
        <v>11</v>
      </c>
      <c r="I1266">
        <v>44511</v>
      </c>
      <c r="J1266">
        <v>1</v>
      </c>
      <c r="K1266">
        <v>0</v>
      </c>
      <c r="L1266">
        <v>0</v>
      </c>
      <c r="M1266">
        <v>1</v>
      </c>
      <c r="N1266">
        <f t="shared" si="38"/>
        <v>-0.34913609559649017</v>
      </c>
      <c r="O1266">
        <f t="shared" si="39"/>
        <v>0.18633266598399928</v>
      </c>
    </row>
    <row r="1267" spans="1:15">
      <c r="A1267">
        <v>6616</v>
      </c>
      <c r="B1267">
        <v>178</v>
      </c>
      <c r="C1267">
        <v>3</v>
      </c>
      <c r="D1267">
        <v>85</v>
      </c>
      <c r="E1267">
        <v>71</v>
      </c>
      <c r="F1267">
        <v>66</v>
      </c>
      <c r="G1267">
        <v>58</v>
      </c>
      <c r="H1267" t="s">
        <v>11</v>
      </c>
      <c r="I1267">
        <v>59481</v>
      </c>
      <c r="J1267">
        <v>0</v>
      </c>
      <c r="K1267">
        <v>1</v>
      </c>
      <c r="L1267">
        <v>0</v>
      </c>
      <c r="M1267">
        <v>1</v>
      </c>
      <c r="N1267">
        <f t="shared" si="38"/>
        <v>0.34349148126355489</v>
      </c>
      <c r="O1267">
        <f t="shared" si="39"/>
        <v>0.58062689728641648</v>
      </c>
    </row>
    <row r="1268" spans="1:15">
      <c r="A1268">
        <v>6619</v>
      </c>
      <c r="B1268">
        <v>22</v>
      </c>
      <c r="C1268">
        <v>1</v>
      </c>
      <c r="D1268">
        <v>13</v>
      </c>
      <c r="E1268">
        <v>4</v>
      </c>
      <c r="F1268">
        <v>0</v>
      </c>
      <c r="G1268">
        <v>4</v>
      </c>
      <c r="H1268" t="s">
        <v>11</v>
      </c>
      <c r="I1268">
        <v>38415</v>
      </c>
      <c r="J1268">
        <v>1</v>
      </c>
      <c r="K1268">
        <v>1</v>
      </c>
      <c r="L1268">
        <v>0</v>
      </c>
      <c r="M1268">
        <v>1</v>
      </c>
      <c r="N1268">
        <f t="shared" si="38"/>
        <v>-0.6311840387186568</v>
      </c>
      <c r="O1268">
        <f t="shared" si="39"/>
        <v>2.0535386995384354E-2</v>
      </c>
    </row>
    <row r="1269" spans="1:15">
      <c r="A1269">
        <v>6634</v>
      </c>
      <c r="B1269">
        <v>22</v>
      </c>
      <c r="C1269">
        <v>3</v>
      </c>
      <c r="D1269">
        <v>18</v>
      </c>
      <c r="E1269">
        <v>0</v>
      </c>
      <c r="F1269">
        <v>0</v>
      </c>
      <c r="G1269">
        <v>11</v>
      </c>
      <c r="H1269" t="s">
        <v>12</v>
      </c>
      <c r="I1269">
        <v>33462</v>
      </c>
      <c r="J1269">
        <v>1</v>
      </c>
      <c r="K1269">
        <v>0</v>
      </c>
      <c r="L1269">
        <v>1</v>
      </c>
      <c r="M1269">
        <v>0</v>
      </c>
      <c r="N1269">
        <f t="shared" si="38"/>
        <v>-0.86034799250541727</v>
      </c>
      <c r="O1269">
        <f t="shared" si="39"/>
        <v>-0.43040367846720762</v>
      </c>
    </row>
    <row r="1270" spans="1:15">
      <c r="A1270">
        <v>6637</v>
      </c>
      <c r="B1270">
        <v>277</v>
      </c>
      <c r="C1270">
        <v>162</v>
      </c>
      <c r="D1270">
        <v>305</v>
      </c>
      <c r="E1270">
        <v>173</v>
      </c>
      <c r="F1270">
        <v>76</v>
      </c>
      <c r="G1270">
        <v>124</v>
      </c>
      <c r="H1270" t="s">
        <v>12</v>
      </c>
      <c r="I1270">
        <v>66951</v>
      </c>
      <c r="J1270">
        <v>0</v>
      </c>
      <c r="K1270">
        <v>0</v>
      </c>
      <c r="L1270">
        <v>1</v>
      </c>
      <c r="M1270">
        <v>0</v>
      </c>
      <c r="N1270">
        <f t="shared" si="38"/>
        <v>0.68911125408550122</v>
      </c>
      <c r="O1270">
        <f t="shared" si="39"/>
        <v>0.46989917843836743</v>
      </c>
    </row>
    <row r="1271" spans="1:15">
      <c r="A1271">
        <v>6642</v>
      </c>
      <c r="B1271">
        <v>30</v>
      </c>
      <c r="C1271">
        <v>5</v>
      </c>
      <c r="D1271">
        <v>22</v>
      </c>
      <c r="E1271">
        <v>8</v>
      </c>
      <c r="F1271">
        <v>9</v>
      </c>
      <c r="G1271">
        <v>28</v>
      </c>
      <c r="H1271" t="s">
        <v>12</v>
      </c>
      <c r="I1271">
        <v>27215</v>
      </c>
      <c r="J1271">
        <v>2</v>
      </c>
      <c r="K1271">
        <v>1</v>
      </c>
      <c r="L1271">
        <v>1</v>
      </c>
      <c r="M1271">
        <v>0</v>
      </c>
      <c r="N1271">
        <f t="shared" si="38"/>
        <v>-1.149382359415551</v>
      </c>
      <c r="O1271">
        <f t="shared" si="39"/>
        <v>-0.35177891650738696</v>
      </c>
    </row>
    <row r="1272" spans="1:15">
      <c r="A1272">
        <v>6646</v>
      </c>
      <c r="B1272">
        <v>3</v>
      </c>
      <c r="C1272">
        <v>0</v>
      </c>
      <c r="D1272">
        <v>5</v>
      </c>
      <c r="E1272">
        <v>13</v>
      </c>
      <c r="F1272">
        <v>0</v>
      </c>
      <c r="G1272">
        <v>1</v>
      </c>
      <c r="H1272" t="s">
        <v>11</v>
      </c>
      <c r="I1272">
        <v>16529</v>
      </c>
      <c r="J1272">
        <v>1</v>
      </c>
      <c r="K1272">
        <v>0</v>
      </c>
      <c r="L1272">
        <v>0</v>
      </c>
      <c r="M1272">
        <v>1</v>
      </c>
      <c r="N1272">
        <f t="shared" si="38"/>
        <v>-1.643799078609034</v>
      </c>
      <c r="O1272">
        <f t="shared" si="39"/>
        <v>-0.36925823904189353</v>
      </c>
    </row>
    <row r="1273" spans="1:15">
      <c r="A1273">
        <v>6652</v>
      </c>
      <c r="B1273">
        <v>227</v>
      </c>
      <c r="C1273">
        <v>151</v>
      </c>
      <c r="D1273">
        <v>573</v>
      </c>
      <c r="E1273">
        <v>98</v>
      </c>
      <c r="F1273">
        <v>54</v>
      </c>
      <c r="G1273">
        <v>31</v>
      </c>
      <c r="H1273" t="s">
        <v>11</v>
      </c>
      <c r="I1273">
        <v>77343</v>
      </c>
      <c r="J1273">
        <v>0</v>
      </c>
      <c r="K1273">
        <v>0</v>
      </c>
      <c r="L1273">
        <v>0</v>
      </c>
      <c r="M1273">
        <v>1</v>
      </c>
      <c r="N1273">
        <f t="shared" si="38"/>
        <v>1.1699252673606908</v>
      </c>
      <c r="O1273">
        <f t="shared" si="39"/>
        <v>0.99371261764183749</v>
      </c>
    </row>
    <row r="1274" spans="1:15">
      <c r="A1274">
        <v>6653</v>
      </c>
      <c r="B1274">
        <v>293</v>
      </c>
      <c r="C1274">
        <v>0</v>
      </c>
      <c r="D1274">
        <v>87</v>
      </c>
      <c r="E1274">
        <v>4</v>
      </c>
      <c r="F1274">
        <v>11</v>
      </c>
      <c r="G1274">
        <v>23</v>
      </c>
      <c r="H1274" t="s">
        <v>11</v>
      </c>
      <c r="I1274">
        <v>55158</v>
      </c>
      <c r="J1274">
        <v>1</v>
      </c>
      <c r="K1274">
        <v>1</v>
      </c>
      <c r="L1274">
        <v>0</v>
      </c>
      <c r="M1274">
        <v>1</v>
      </c>
      <c r="N1274">
        <f t="shared" si="38"/>
        <v>0.14347618301599477</v>
      </c>
      <c r="O1274">
        <f t="shared" si="39"/>
        <v>0.39089414300104025</v>
      </c>
    </row>
    <row r="1275" spans="1:15">
      <c r="A1275">
        <v>6658</v>
      </c>
      <c r="B1275">
        <v>771</v>
      </c>
      <c r="C1275">
        <v>51</v>
      </c>
      <c r="D1275">
        <v>154</v>
      </c>
      <c r="E1275">
        <v>54</v>
      </c>
      <c r="F1275">
        <v>10</v>
      </c>
      <c r="G1275">
        <v>154</v>
      </c>
      <c r="H1275" t="s">
        <v>11</v>
      </c>
      <c r="I1275">
        <v>59868</v>
      </c>
      <c r="J1275">
        <v>0</v>
      </c>
      <c r="K1275">
        <v>1</v>
      </c>
      <c r="L1275">
        <v>0</v>
      </c>
      <c r="M1275">
        <v>1</v>
      </c>
      <c r="N1275">
        <f t="shared" si="38"/>
        <v>0.36139708395192077</v>
      </c>
      <c r="O1275">
        <f t="shared" si="39"/>
        <v>0.58906307265344882</v>
      </c>
    </row>
    <row r="1276" spans="1:15">
      <c r="A1276">
        <v>6663</v>
      </c>
      <c r="B1276">
        <v>144</v>
      </c>
      <c r="C1276">
        <v>0</v>
      </c>
      <c r="D1276">
        <v>7</v>
      </c>
      <c r="E1276">
        <v>0</v>
      </c>
      <c r="F1276">
        <v>0</v>
      </c>
      <c r="G1276">
        <v>6</v>
      </c>
      <c r="H1276" t="s">
        <v>12</v>
      </c>
      <c r="I1276">
        <v>51141</v>
      </c>
      <c r="J1276">
        <v>0</v>
      </c>
      <c r="K1276">
        <v>0</v>
      </c>
      <c r="L1276">
        <v>1</v>
      </c>
      <c r="M1276">
        <v>0</v>
      </c>
      <c r="N1276">
        <f t="shared" si="38"/>
        <v>-4.23811968268109E-2</v>
      </c>
      <c r="O1276">
        <f t="shared" si="39"/>
        <v>-3.5065205175770095E-2</v>
      </c>
    </row>
    <row r="1277" spans="1:15">
      <c r="A1277">
        <v>6673</v>
      </c>
      <c r="B1277">
        <v>28</v>
      </c>
      <c r="C1277">
        <v>6</v>
      </c>
      <c r="D1277">
        <v>27</v>
      </c>
      <c r="E1277">
        <v>12</v>
      </c>
      <c r="F1277">
        <v>17</v>
      </c>
      <c r="G1277">
        <v>39</v>
      </c>
      <c r="H1277" t="s">
        <v>12</v>
      </c>
      <c r="I1277">
        <v>23478</v>
      </c>
      <c r="J1277">
        <v>0</v>
      </c>
      <c r="K1277">
        <v>0</v>
      </c>
      <c r="L1277">
        <v>1</v>
      </c>
      <c r="M1277">
        <v>0</v>
      </c>
      <c r="N1277">
        <f t="shared" si="38"/>
        <v>-1.3222847812409342</v>
      </c>
      <c r="O1277">
        <f t="shared" si="39"/>
        <v>-0.66050324109456826</v>
      </c>
    </row>
    <row r="1278" spans="1:15">
      <c r="A1278">
        <v>6678</v>
      </c>
      <c r="B1278">
        <v>33</v>
      </c>
      <c r="C1278">
        <v>4</v>
      </c>
      <c r="D1278">
        <v>24</v>
      </c>
      <c r="E1278">
        <v>4</v>
      </c>
      <c r="F1278">
        <v>2</v>
      </c>
      <c r="G1278">
        <v>5</v>
      </c>
      <c r="H1278" t="s">
        <v>11</v>
      </c>
      <c r="I1278">
        <v>31928</v>
      </c>
      <c r="J1278">
        <v>1</v>
      </c>
      <c r="K1278">
        <v>0</v>
      </c>
      <c r="L1278">
        <v>0</v>
      </c>
      <c r="M1278">
        <v>1</v>
      </c>
      <c r="N1278">
        <f t="shared" si="38"/>
        <v>-0.93132265535800973</v>
      </c>
      <c r="O1278">
        <f t="shared" si="39"/>
        <v>-0.12442600274897583</v>
      </c>
    </row>
    <row r="1279" spans="1:15">
      <c r="A1279">
        <v>6679</v>
      </c>
      <c r="B1279">
        <v>10</v>
      </c>
      <c r="C1279">
        <v>3</v>
      </c>
      <c r="D1279">
        <v>3</v>
      </c>
      <c r="E1279">
        <v>0</v>
      </c>
      <c r="F1279">
        <v>0</v>
      </c>
      <c r="G1279">
        <v>0</v>
      </c>
      <c r="H1279" t="s">
        <v>12</v>
      </c>
      <c r="I1279">
        <v>33279</v>
      </c>
      <c r="J1279">
        <v>0</v>
      </c>
      <c r="K1279">
        <v>0</v>
      </c>
      <c r="L1279">
        <v>1</v>
      </c>
      <c r="M1279">
        <v>0</v>
      </c>
      <c r="N1279">
        <f t="shared" si="38"/>
        <v>-0.86881498292394688</v>
      </c>
      <c r="O1279">
        <f t="shared" si="39"/>
        <v>-0.54312707676310312</v>
      </c>
    </row>
    <row r="1280" spans="1:15">
      <c r="A1280">
        <v>6682</v>
      </c>
      <c r="B1280">
        <v>2</v>
      </c>
      <c r="C1280">
        <v>8</v>
      </c>
      <c r="D1280">
        <v>1</v>
      </c>
      <c r="E1280">
        <v>4</v>
      </c>
      <c r="F1280">
        <v>7</v>
      </c>
      <c r="G1280">
        <v>15</v>
      </c>
      <c r="H1280" t="s">
        <v>11</v>
      </c>
      <c r="I1280">
        <v>18978</v>
      </c>
      <c r="J1280">
        <v>1</v>
      </c>
      <c r="K1280">
        <v>0</v>
      </c>
      <c r="L1280">
        <v>0</v>
      </c>
      <c r="M1280">
        <v>1</v>
      </c>
      <c r="N1280">
        <f t="shared" si="38"/>
        <v>-1.5304894636637936</v>
      </c>
      <c r="O1280">
        <f t="shared" si="39"/>
        <v>-0.33921746744279818</v>
      </c>
    </row>
    <row r="1281" spans="1:15">
      <c r="A1281">
        <v>6690</v>
      </c>
      <c r="B1281">
        <v>38</v>
      </c>
      <c r="C1281">
        <v>4</v>
      </c>
      <c r="D1281">
        <v>22</v>
      </c>
      <c r="E1281">
        <v>4</v>
      </c>
      <c r="F1281">
        <v>2</v>
      </c>
      <c r="G1281">
        <v>20</v>
      </c>
      <c r="H1281" t="s">
        <v>11</v>
      </c>
      <c r="I1281">
        <v>38179</v>
      </c>
      <c r="J1281">
        <v>1</v>
      </c>
      <c r="K1281">
        <v>1</v>
      </c>
      <c r="L1281">
        <v>0</v>
      </c>
      <c r="M1281">
        <v>1</v>
      </c>
      <c r="N1281">
        <f t="shared" si="38"/>
        <v>-0.64210321761905564</v>
      </c>
      <c r="O1281">
        <f t="shared" si="39"/>
        <v>1.5598432921568796E-2</v>
      </c>
    </row>
    <row r="1282" spans="1:15">
      <c r="A1282">
        <v>6694</v>
      </c>
      <c r="B1282">
        <v>438</v>
      </c>
      <c r="C1282">
        <v>66</v>
      </c>
      <c r="D1282">
        <v>400</v>
      </c>
      <c r="E1282">
        <v>12</v>
      </c>
      <c r="F1282">
        <v>38</v>
      </c>
      <c r="G1282">
        <v>114</v>
      </c>
      <c r="H1282" t="s">
        <v>11</v>
      </c>
      <c r="I1282">
        <v>75236</v>
      </c>
      <c r="J1282">
        <v>0</v>
      </c>
      <c r="K1282">
        <v>1</v>
      </c>
      <c r="L1282">
        <v>0</v>
      </c>
      <c r="M1282">
        <v>1</v>
      </c>
      <c r="N1282">
        <f t="shared" si="38"/>
        <v>1.0724392082795877</v>
      </c>
      <c r="O1282">
        <f t="shared" si="39"/>
        <v>0.81621087896490851</v>
      </c>
    </row>
    <row r="1283" spans="1:15">
      <c r="A1283">
        <v>6710</v>
      </c>
      <c r="B1283">
        <v>68</v>
      </c>
      <c r="C1283">
        <v>1</v>
      </c>
      <c r="D1283">
        <v>13</v>
      </c>
      <c r="E1283">
        <v>3</v>
      </c>
      <c r="F1283">
        <v>5</v>
      </c>
      <c r="G1283">
        <v>13</v>
      </c>
      <c r="H1283" t="s">
        <v>12</v>
      </c>
      <c r="I1283">
        <v>58217</v>
      </c>
      <c r="J1283">
        <v>2</v>
      </c>
      <c r="K1283">
        <v>1</v>
      </c>
      <c r="L1283">
        <v>1</v>
      </c>
      <c r="M1283">
        <v>0</v>
      </c>
      <c r="N1283">
        <f t="shared" ref="N1283:N1346" si="40">STANDARDIZE(I1283,$Q$1,$R$1)</f>
        <v>0.28500909935633401</v>
      </c>
      <c r="O1283">
        <f t="shared" ref="O1283:O1346" si="41">SUMPRODUCT(J1283:N1283,$Q$4:$U$4) / SQRT(SUMSQ(J1283:N1283) * SUMSQ($Q$4:$U$4))</f>
        <v>9.5709677887079583E-2</v>
      </c>
    </row>
    <row r="1284" spans="1:15">
      <c r="A1284">
        <v>6715</v>
      </c>
      <c r="B1284">
        <v>502</v>
      </c>
      <c r="C1284">
        <v>19</v>
      </c>
      <c r="D1284">
        <v>132</v>
      </c>
      <c r="E1284">
        <v>0</v>
      </c>
      <c r="F1284">
        <v>6</v>
      </c>
      <c r="G1284">
        <v>26</v>
      </c>
      <c r="H1284" t="s">
        <v>12</v>
      </c>
      <c r="I1284">
        <v>60200</v>
      </c>
      <c r="J1284">
        <v>0</v>
      </c>
      <c r="K1284">
        <v>1</v>
      </c>
      <c r="L1284">
        <v>1</v>
      </c>
      <c r="M1284">
        <v>0</v>
      </c>
      <c r="N1284">
        <f t="shared" si="40"/>
        <v>0.3767579627440073</v>
      </c>
      <c r="O1284">
        <f t="shared" si="41"/>
        <v>0.21318221688164907</v>
      </c>
    </row>
    <row r="1285" spans="1:15">
      <c r="A1285">
        <v>6720</v>
      </c>
      <c r="B1285">
        <v>314</v>
      </c>
      <c r="C1285">
        <v>11</v>
      </c>
      <c r="D1285">
        <v>53</v>
      </c>
      <c r="E1285">
        <v>4</v>
      </c>
      <c r="F1285">
        <v>3</v>
      </c>
      <c r="G1285">
        <v>107</v>
      </c>
      <c r="H1285" t="s">
        <v>11</v>
      </c>
      <c r="I1285">
        <v>43795</v>
      </c>
      <c r="J1285">
        <v>0</v>
      </c>
      <c r="K1285">
        <v>1</v>
      </c>
      <c r="L1285">
        <v>0</v>
      </c>
      <c r="M1285">
        <v>1</v>
      </c>
      <c r="N1285">
        <f t="shared" si="40"/>
        <v>-0.38226377395532735</v>
      </c>
      <c r="O1285">
        <f t="shared" si="41"/>
        <v>0.16655135440862159</v>
      </c>
    </row>
    <row r="1286" spans="1:15">
      <c r="A1286">
        <v>6721</v>
      </c>
      <c r="B1286">
        <v>572</v>
      </c>
      <c r="C1286">
        <v>19</v>
      </c>
      <c r="D1286">
        <v>286</v>
      </c>
      <c r="E1286">
        <v>50</v>
      </c>
      <c r="F1286">
        <v>38</v>
      </c>
      <c r="G1286">
        <v>248</v>
      </c>
      <c r="H1286" t="s">
        <v>11</v>
      </c>
      <c r="I1286">
        <v>71965</v>
      </c>
      <c r="J1286">
        <v>0</v>
      </c>
      <c r="K1286">
        <v>1</v>
      </c>
      <c r="L1286">
        <v>0</v>
      </c>
      <c r="M1286">
        <v>1</v>
      </c>
      <c r="N1286">
        <f t="shared" si="40"/>
        <v>0.92109753801177152</v>
      </c>
      <c r="O1286">
        <f t="shared" si="41"/>
        <v>0.7840906782715984</v>
      </c>
    </row>
    <row r="1287" spans="1:15">
      <c r="A1287">
        <v>6722</v>
      </c>
      <c r="B1287">
        <v>479</v>
      </c>
      <c r="C1287">
        <v>28</v>
      </c>
      <c r="D1287">
        <v>136</v>
      </c>
      <c r="E1287">
        <v>75</v>
      </c>
      <c r="F1287">
        <v>14</v>
      </c>
      <c r="G1287">
        <v>35</v>
      </c>
      <c r="H1287" t="s">
        <v>11</v>
      </c>
      <c r="I1287">
        <v>70421</v>
      </c>
      <c r="J1287">
        <v>0</v>
      </c>
      <c r="K1287">
        <v>1</v>
      </c>
      <c r="L1287">
        <v>0</v>
      </c>
      <c r="M1287">
        <v>1</v>
      </c>
      <c r="N1287">
        <f t="shared" si="40"/>
        <v>0.84966019808712823</v>
      </c>
      <c r="O1287">
        <f t="shared" si="41"/>
        <v>0.76624610920634562</v>
      </c>
    </row>
    <row r="1288" spans="1:15">
      <c r="A1288">
        <v>6728</v>
      </c>
      <c r="B1288">
        <v>16</v>
      </c>
      <c r="C1288">
        <v>0</v>
      </c>
      <c r="D1288">
        <v>17</v>
      </c>
      <c r="E1288">
        <v>6</v>
      </c>
      <c r="F1288">
        <v>3</v>
      </c>
      <c r="G1288">
        <v>6</v>
      </c>
      <c r="H1288" t="s">
        <v>11</v>
      </c>
      <c r="I1288">
        <v>29103</v>
      </c>
      <c r="J1288">
        <v>1</v>
      </c>
      <c r="K1288">
        <v>0</v>
      </c>
      <c r="L1288">
        <v>0</v>
      </c>
      <c r="M1288">
        <v>1</v>
      </c>
      <c r="N1288">
        <f t="shared" si="40"/>
        <v>-1.0620289282123603</v>
      </c>
      <c r="O1288">
        <f t="shared" si="41"/>
        <v>-0.18033277901072822</v>
      </c>
    </row>
    <row r="1289" spans="1:15">
      <c r="A1289">
        <v>6729</v>
      </c>
      <c r="B1289">
        <v>456</v>
      </c>
      <c r="C1289">
        <v>19</v>
      </c>
      <c r="D1289">
        <v>832</v>
      </c>
      <c r="E1289">
        <v>75</v>
      </c>
      <c r="F1289">
        <v>118</v>
      </c>
      <c r="G1289">
        <v>38</v>
      </c>
      <c r="H1289" t="s">
        <v>12</v>
      </c>
      <c r="I1289">
        <v>68655</v>
      </c>
      <c r="J1289">
        <v>0</v>
      </c>
      <c r="K1289">
        <v>0</v>
      </c>
      <c r="L1289">
        <v>1</v>
      </c>
      <c r="M1289">
        <v>0</v>
      </c>
      <c r="N1289">
        <f t="shared" si="40"/>
        <v>0.76795142716295728</v>
      </c>
      <c r="O1289">
        <f t="shared" si="41"/>
        <v>0.50438512235181288</v>
      </c>
    </row>
    <row r="1290" spans="1:15">
      <c r="A1290">
        <v>6730</v>
      </c>
      <c r="B1290">
        <v>34</v>
      </c>
      <c r="C1290">
        <v>1</v>
      </c>
      <c r="D1290">
        <v>14</v>
      </c>
      <c r="E1290">
        <v>0</v>
      </c>
      <c r="F1290">
        <v>0</v>
      </c>
      <c r="G1290">
        <v>5</v>
      </c>
      <c r="H1290" t="s">
        <v>11</v>
      </c>
      <c r="I1290">
        <v>38998</v>
      </c>
      <c r="J1290">
        <v>1</v>
      </c>
      <c r="K1290">
        <v>1</v>
      </c>
      <c r="L1290">
        <v>0</v>
      </c>
      <c r="M1290">
        <v>1</v>
      </c>
      <c r="N1290">
        <f t="shared" si="40"/>
        <v>-0.60420996541809535</v>
      </c>
      <c r="O1290">
        <f t="shared" si="41"/>
        <v>3.281387279466598E-2</v>
      </c>
    </row>
    <row r="1291" spans="1:15">
      <c r="A1291">
        <v>6742</v>
      </c>
      <c r="B1291">
        <v>2</v>
      </c>
      <c r="C1291">
        <v>2</v>
      </c>
      <c r="D1291">
        <v>1</v>
      </c>
      <c r="E1291">
        <v>3</v>
      </c>
      <c r="F1291">
        <v>1</v>
      </c>
      <c r="G1291">
        <v>2</v>
      </c>
      <c r="H1291" t="s">
        <v>11</v>
      </c>
      <c r="I1291">
        <v>17688</v>
      </c>
      <c r="J1291">
        <v>1</v>
      </c>
      <c r="K1291">
        <v>0</v>
      </c>
      <c r="L1291">
        <v>0</v>
      </c>
      <c r="M1291">
        <v>1</v>
      </c>
      <c r="N1291">
        <f t="shared" si="40"/>
        <v>-1.5901748059583465</v>
      </c>
      <c r="O1291">
        <f t="shared" si="41"/>
        <v>-0.35539451117163584</v>
      </c>
    </row>
    <row r="1292" spans="1:15">
      <c r="A1292">
        <v>6749</v>
      </c>
      <c r="B1292">
        <v>957</v>
      </c>
      <c r="C1292">
        <v>47</v>
      </c>
      <c r="D1292">
        <v>494</v>
      </c>
      <c r="E1292">
        <v>82</v>
      </c>
      <c r="F1292">
        <v>47</v>
      </c>
      <c r="G1292">
        <v>95</v>
      </c>
      <c r="H1292" t="s">
        <v>12</v>
      </c>
      <c r="I1292">
        <v>86358</v>
      </c>
      <c r="J1292">
        <v>1</v>
      </c>
      <c r="K1292">
        <v>1</v>
      </c>
      <c r="L1292">
        <v>1</v>
      </c>
      <c r="M1292">
        <v>0</v>
      </c>
      <c r="N1292">
        <f t="shared" si="40"/>
        <v>1.5870286478144855</v>
      </c>
      <c r="O1292">
        <f t="shared" si="41"/>
        <v>0.55944938420959944</v>
      </c>
    </row>
    <row r="1293" spans="1:15">
      <c r="A1293">
        <v>6768</v>
      </c>
      <c r="B1293">
        <v>22</v>
      </c>
      <c r="C1293">
        <v>1</v>
      </c>
      <c r="D1293">
        <v>8</v>
      </c>
      <c r="E1293">
        <v>2</v>
      </c>
      <c r="F1293">
        <v>1</v>
      </c>
      <c r="G1293">
        <v>2</v>
      </c>
      <c r="H1293" t="s">
        <v>12</v>
      </c>
      <c r="I1293">
        <v>37859</v>
      </c>
      <c r="J1293">
        <v>1</v>
      </c>
      <c r="K1293">
        <v>2</v>
      </c>
      <c r="L1293">
        <v>1</v>
      </c>
      <c r="M1293">
        <v>0</v>
      </c>
      <c r="N1293">
        <f t="shared" si="40"/>
        <v>-0.65690888392468127</v>
      </c>
      <c r="O1293">
        <f t="shared" si="41"/>
        <v>-0.21450669905734437</v>
      </c>
    </row>
    <row r="1294" spans="1:15">
      <c r="A1294">
        <v>6770</v>
      </c>
      <c r="B1294">
        <v>5</v>
      </c>
      <c r="C1294">
        <v>13</v>
      </c>
      <c r="D1294">
        <v>14</v>
      </c>
      <c r="E1294">
        <v>0</v>
      </c>
      <c r="F1294">
        <v>5</v>
      </c>
      <c r="G1294">
        <v>31</v>
      </c>
      <c r="H1294" t="s">
        <v>11</v>
      </c>
      <c r="I1294">
        <v>21355</v>
      </c>
      <c r="J1294">
        <v>1</v>
      </c>
      <c r="K1294">
        <v>0</v>
      </c>
      <c r="L1294">
        <v>0</v>
      </c>
      <c r="M1294">
        <v>1</v>
      </c>
      <c r="N1294">
        <f t="shared" si="40"/>
        <v>-1.4205111236373187</v>
      </c>
      <c r="O1294">
        <f t="shared" si="41"/>
        <v>-0.30721545443568954</v>
      </c>
    </row>
    <row r="1295" spans="1:15">
      <c r="A1295">
        <v>6810</v>
      </c>
      <c r="B1295">
        <v>267</v>
      </c>
      <c r="C1295">
        <v>98</v>
      </c>
      <c r="D1295">
        <v>606</v>
      </c>
      <c r="E1295">
        <v>48</v>
      </c>
      <c r="F1295">
        <v>70</v>
      </c>
      <c r="G1295">
        <v>98</v>
      </c>
      <c r="H1295" t="s">
        <v>12</v>
      </c>
      <c r="I1295">
        <v>82025</v>
      </c>
      <c r="J1295">
        <v>0</v>
      </c>
      <c r="K1295">
        <v>0</v>
      </c>
      <c r="L1295">
        <v>1</v>
      </c>
      <c r="M1295">
        <v>0</v>
      </c>
      <c r="N1295">
        <f t="shared" si="40"/>
        <v>1.3865506724948746</v>
      </c>
      <c r="O1295">
        <f t="shared" si="41"/>
        <v>0.67166024634845067</v>
      </c>
    </row>
    <row r="1296" spans="1:15">
      <c r="A1296">
        <v>6815</v>
      </c>
      <c r="B1296">
        <v>448</v>
      </c>
      <c r="C1296">
        <v>21</v>
      </c>
      <c r="D1296">
        <v>125</v>
      </c>
      <c r="E1296">
        <v>52</v>
      </c>
      <c r="F1296">
        <v>101</v>
      </c>
      <c r="G1296">
        <v>62</v>
      </c>
      <c r="H1296" t="s">
        <v>11</v>
      </c>
      <c r="I1296">
        <v>96547</v>
      </c>
      <c r="J1296">
        <v>0</v>
      </c>
      <c r="K1296">
        <v>0</v>
      </c>
      <c r="L1296">
        <v>0</v>
      </c>
      <c r="M1296">
        <v>1</v>
      </c>
      <c r="N1296">
        <f t="shared" si="40"/>
        <v>2.0584503165270438</v>
      </c>
      <c r="O1296">
        <f t="shared" si="41"/>
        <v>0.98981752742470086</v>
      </c>
    </row>
    <row r="1297" spans="1:15">
      <c r="A1297">
        <v>6818</v>
      </c>
      <c r="B1297">
        <v>98</v>
      </c>
      <c r="C1297">
        <v>0</v>
      </c>
      <c r="D1297">
        <v>106</v>
      </c>
      <c r="E1297">
        <v>49</v>
      </c>
      <c r="F1297">
        <v>10</v>
      </c>
      <c r="G1297">
        <v>106</v>
      </c>
      <c r="H1297" t="s">
        <v>11</v>
      </c>
      <c r="I1297">
        <v>44989</v>
      </c>
      <c r="J1297">
        <v>0</v>
      </c>
      <c r="K1297">
        <v>1</v>
      </c>
      <c r="L1297">
        <v>0</v>
      </c>
      <c r="M1297">
        <v>1</v>
      </c>
      <c r="N1297">
        <f t="shared" si="40"/>
        <v>-0.32702013155246201</v>
      </c>
      <c r="O1297">
        <f t="shared" si="41"/>
        <v>0.19961021114009039</v>
      </c>
    </row>
    <row r="1298" spans="1:15">
      <c r="A1298">
        <v>6825</v>
      </c>
      <c r="B1298">
        <v>13</v>
      </c>
      <c r="C1298">
        <v>0</v>
      </c>
      <c r="D1298">
        <v>3</v>
      </c>
      <c r="E1298">
        <v>0</v>
      </c>
      <c r="F1298">
        <v>0</v>
      </c>
      <c r="G1298">
        <v>0</v>
      </c>
      <c r="H1298" t="s">
        <v>11</v>
      </c>
      <c r="I1298">
        <v>41452</v>
      </c>
      <c r="J1298">
        <v>1</v>
      </c>
      <c r="K1298">
        <v>1</v>
      </c>
      <c r="L1298">
        <v>0</v>
      </c>
      <c r="M1298">
        <v>1</v>
      </c>
      <c r="N1298">
        <f t="shared" si="40"/>
        <v>-0.49066901193682938</v>
      </c>
      <c r="O1298">
        <f t="shared" si="41"/>
        <v>8.5667574605175198E-2</v>
      </c>
    </row>
    <row r="1299" spans="1:15">
      <c r="A1299">
        <v>6853</v>
      </c>
      <c r="B1299">
        <v>712</v>
      </c>
      <c r="C1299">
        <v>26</v>
      </c>
      <c r="D1299">
        <v>538</v>
      </c>
      <c r="E1299">
        <v>69</v>
      </c>
      <c r="F1299">
        <v>13</v>
      </c>
      <c r="G1299">
        <v>80</v>
      </c>
      <c r="H1299" t="s">
        <v>12</v>
      </c>
      <c r="I1299">
        <v>75777</v>
      </c>
      <c r="J1299">
        <v>0</v>
      </c>
      <c r="K1299">
        <v>0</v>
      </c>
      <c r="L1299">
        <v>1</v>
      </c>
      <c r="M1299">
        <v>0</v>
      </c>
      <c r="N1299">
        <f t="shared" si="40"/>
        <v>1.0974700378775357</v>
      </c>
      <c r="O1299">
        <f t="shared" si="41"/>
        <v>0.61211966720662869</v>
      </c>
    </row>
    <row r="1300" spans="1:15">
      <c r="A1300">
        <v>6856</v>
      </c>
      <c r="B1300">
        <v>14</v>
      </c>
      <c r="C1300">
        <v>0</v>
      </c>
      <c r="D1300">
        <v>23</v>
      </c>
      <c r="E1300">
        <v>4</v>
      </c>
      <c r="F1300">
        <v>5</v>
      </c>
      <c r="G1300">
        <v>19</v>
      </c>
      <c r="H1300" t="s">
        <v>11</v>
      </c>
      <c r="I1300">
        <v>21645</v>
      </c>
      <c r="J1300">
        <v>1</v>
      </c>
      <c r="K1300">
        <v>0</v>
      </c>
      <c r="L1300">
        <v>0</v>
      </c>
      <c r="M1300">
        <v>1</v>
      </c>
      <c r="N1300">
        <f t="shared" si="40"/>
        <v>-1.4070934885478457</v>
      </c>
      <c r="O1300">
        <f t="shared" si="41"/>
        <v>-0.30310659166622972</v>
      </c>
    </row>
    <row r="1301" spans="1:15">
      <c r="A1301">
        <v>6859</v>
      </c>
      <c r="B1301">
        <v>37</v>
      </c>
      <c r="C1301">
        <v>4</v>
      </c>
      <c r="D1301">
        <v>24</v>
      </c>
      <c r="E1301">
        <v>16</v>
      </c>
      <c r="F1301">
        <v>9</v>
      </c>
      <c r="G1301">
        <v>9</v>
      </c>
      <c r="H1301" t="s">
        <v>12</v>
      </c>
      <c r="I1301">
        <v>29236</v>
      </c>
      <c r="J1301">
        <v>1</v>
      </c>
      <c r="K1301">
        <v>0</v>
      </c>
      <c r="L1301">
        <v>1</v>
      </c>
      <c r="M1301">
        <v>0</v>
      </c>
      <c r="N1301">
        <f t="shared" si="40"/>
        <v>-1.0558753231540847</v>
      </c>
      <c r="O1301">
        <f t="shared" si="41"/>
        <v>-0.49543346581547221</v>
      </c>
    </row>
    <row r="1302" spans="1:15">
      <c r="A1302">
        <v>6862</v>
      </c>
      <c r="B1302">
        <v>1</v>
      </c>
      <c r="C1302">
        <v>1</v>
      </c>
      <c r="D1302">
        <v>3</v>
      </c>
      <c r="E1302">
        <v>1</v>
      </c>
      <c r="F1302">
        <v>1</v>
      </c>
      <c r="G1302">
        <v>1</v>
      </c>
      <c r="H1302" t="s">
        <v>12</v>
      </c>
      <c r="I1302">
        <v>1730</v>
      </c>
      <c r="J1302">
        <v>0</v>
      </c>
      <c r="K1302">
        <v>0</v>
      </c>
      <c r="L1302">
        <v>1</v>
      </c>
      <c r="M1302">
        <v>0</v>
      </c>
      <c r="N1302">
        <f t="shared" si="40"/>
        <v>-2.3285148775370104</v>
      </c>
      <c r="O1302">
        <f t="shared" si="41"/>
        <v>-0.76091709468357704</v>
      </c>
    </row>
    <row r="1303" spans="1:15">
      <c r="A1303">
        <v>6864</v>
      </c>
      <c r="B1303">
        <v>8</v>
      </c>
      <c r="C1303">
        <v>4</v>
      </c>
      <c r="D1303">
        <v>10</v>
      </c>
      <c r="E1303">
        <v>2</v>
      </c>
      <c r="F1303">
        <v>2</v>
      </c>
      <c r="G1303">
        <v>4</v>
      </c>
      <c r="H1303" t="s">
        <v>12</v>
      </c>
      <c r="I1303">
        <v>10979</v>
      </c>
      <c r="J1303">
        <v>0</v>
      </c>
      <c r="K1303">
        <v>0</v>
      </c>
      <c r="L1303">
        <v>1</v>
      </c>
      <c r="M1303">
        <v>0</v>
      </c>
      <c r="N1303">
        <f t="shared" si="40"/>
        <v>-1.9005848535972272</v>
      </c>
      <c r="O1303">
        <f t="shared" si="41"/>
        <v>-0.73286667790612725</v>
      </c>
    </row>
    <row r="1304" spans="1:15">
      <c r="A1304">
        <v>6866</v>
      </c>
      <c r="B1304">
        <v>8</v>
      </c>
      <c r="C1304">
        <v>0</v>
      </c>
      <c r="D1304">
        <v>14</v>
      </c>
      <c r="E1304">
        <v>2</v>
      </c>
      <c r="F1304">
        <v>3</v>
      </c>
      <c r="G1304">
        <v>7</v>
      </c>
      <c r="H1304" t="s">
        <v>11</v>
      </c>
      <c r="I1304">
        <v>35924</v>
      </c>
      <c r="J1304">
        <v>1</v>
      </c>
      <c r="K1304">
        <v>1</v>
      </c>
      <c r="L1304">
        <v>0</v>
      </c>
      <c r="M1304">
        <v>1</v>
      </c>
      <c r="N1304">
        <f t="shared" si="40"/>
        <v>-0.74643689736651064</v>
      </c>
      <c r="O1304">
        <f t="shared" si="41"/>
        <v>-3.053302064062775E-2</v>
      </c>
    </row>
    <row r="1305" spans="1:15">
      <c r="A1305">
        <v>6870</v>
      </c>
      <c r="B1305">
        <v>182</v>
      </c>
      <c r="C1305">
        <v>2</v>
      </c>
      <c r="D1305">
        <v>49</v>
      </c>
      <c r="E1305">
        <v>17</v>
      </c>
      <c r="F1305">
        <v>13</v>
      </c>
      <c r="G1305">
        <v>20</v>
      </c>
      <c r="H1305" t="s">
        <v>12</v>
      </c>
      <c r="I1305">
        <v>68805</v>
      </c>
      <c r="J1305">
        <v>0</v>
      </c>
      <c r="K1305">
        <v>1</v>
      </c>
      <c r="L1305">
        <v>1</v>
      </c>
      <c r="M1305">
        <v>0</v>
      </c>
      <c r="N1305">
        <f t="shared" si="40"/>
        <v>0.77489158324371921</v>
      </c>
      <c r="O1305">
        <f t="shared" si="41"/>
        <v>0.39793208576620931</v>
      </c>
    </row>
    <row r="1306" spans="1:15">
      <c r="A1306">
        <v>6872</v>
      </c>
      <c r="B1306">
        <v>284</v>
      </c>
      <c r="C1306">
        <v>3</v>
      </c>
      <c r="D1306">
        <v>84</v>
      </c>
      <c r="E1306">
        <v>4</v>
      </c>
      <c r="F1306">
        <v>7</v>
      </c>
      <c r="G1306">
        <v>23</v>
      </c>
      <c r="H1306" t="s">
        <v>11</v>
      </c>
      <c r="I1306">
        <v>65352</v>
      </c>
      <c r="J1306">
        <v>0</v>
      </c>
      <c r="K1306">
        <v>1</v>
      </c>
      <c r="L1306">
        <v>0</v>
      </c>
      <c r="M1306">
        <v>1</v>
      </c>
      <c r="N1306">
        <f t="shared" si="40"/>
        <v>0.61512919026457857</v>
      </c>
      <c r="O1306">
        <f t="shared" si="41"/>
        <v>0.69378267867724874</v>
      </c>
    </row>
    <row r="1307" spans="1:15">
      <c r="A1307">
        <v>6875</v>
      </c>
      <c r="B1307">
        <v>167</v>
      </c>
      <c r="C1307">
        <v>13</v>
      </c>
      <c r="D1307">
        <v>180</v>
      </c>
      <c r="E1307">
        <v>86</v>
      </c>
      <c r="F1307">
        <v>13</v>
      </c>
      <c r="G1307">
        <v>70</v>
      </c>
      <c r="H1307" t="s">
        <v>11</v>
      </c>
      <c r="I1307">
        <v>32727</v>
      </c>
      <c r="J1307">
        <v>0</v>
      </c>
      <c r="K1307">
        <v>0</v>
      </c>
      <c r="L1307">
        <v>0</v>
      </c>
      <c r="M1307">
        <v>1</v>
      </c>
      <c r="N1307">
        <f t="shared" si="40"/>
        <v>-0.89435475730115088</v>
      </c>
      <c r="O1307">
        <f t="shared" si="41"/>
        <v>-0.13422875315569496</v>
      </c>
    </row>
    <row r="1308" spans="1:15">
      <c r="A1308">
        <v>6878</v>
      </c>
      <c r="B1308">
        <v>43</v>
      </c>
      <c r="C1308">
        <v>12</v>
      </c>
      <c r="D1308">
        <v>96</v>
      </c>
      <c r="E1308">
        <v>78</v>
      </c>
      <c r="F1308">
        <v>40</v>
      </c>
      <c r="G1308">
        <v>55</v>
      </c>
      <c r="H1308" t="s">
        <v>12</v>
      </c>
      <c r="I1308">
        <v>27421</v>
      </c>
      <c r="J1308">
        <v>0</v>
      </c>
      <c r="K1308">
        <v>0</v>
      </c>
      <c r="L1308">
        <v>1</v>
      </c>
      <c r="M1308">
        <v>0</v>
      </c>
      <c r="N1308">
        <f t="shared" si="40"/>
        <v>-1.1398512117313044</v>
      </c>
      <c r="O1308">
        <f t="shared" si="41"/>
        <v>-0.62251081267029118</v>
      </c>
    </row>
    <row r="1309" spans="1:15">
      <c r="A1309">
        <v>6885</v>
      </c>
      <c r="B1309">
        <v>38</v>
      </c>
      <c r="C1309">
        <v>0</v>
      </c>
      <c r="D1309">
        <v>12</v>
      </c>
      <c r="E1309">
        <v>3</v>
      </c>
      <c r="F1309">
        <v>1</v>
      </c>
      <c r="G1309">
        <v>1</v>
      </c>
      <c r="H1309" t="s">
        <v>12</v>
      </c>
      <c r="I1309">
        <v>32952</v>
      </c>
      <c r="J1309">
        <v>1</v>
      </c>
      <c r="K1309">
        <v>0</v>
      </c>
      <c r="L1309">
        <v>1</v>
      </c>
      <c r="M1309">
        <v>0</v>
      </c>
      <c r="N1309">
        <f t="shared" si="40"/>
        <v>-0.88394452318000794</v>
      </c>
      <c r="O1309">
        <f t="shared" si="41"/>
        <v>-0.43892409220504625</v>
      </c>
    </row>
    <row r="1310" spans="1:15">
      <c r="A1310">
        <v>6887</v>
      </c>
      <c r="B1310">
        <v>245</v>
      </c>
      <c r="C1310">
        <v>16</v>
      </c>
      <c r="D1310">
        <v>223</v>
      </c>
      <c r="E1310">
        <v>21</v>
      </c>
      <c r="F1310">
        <v>43</v>
      </c>
      <c r="G1310">
        <v>16</v>
      </c>
      <c r="H1310" t="s">
        <v>12</v>
      </c>
      <c r="I1310">
        <v>79146</v>
      </c>
      <c r="J1310">
        <v>1</v>
      </c>
      <c r="K1310">
        <v>1</v>
      </c>
      <c r="L1310">
        <v>1</v>
      </c>
      <c r="M1310">
        <v>0</v>
      </c>
      <c r="N1310">
        <f t="shared" si="40"/>
        <v>1.2533459434514498</v>
      </c>
      <c r="O1310">
        <f t="shared" si="41"/>
        <v>0.48547188908687861</v>
      </c>
    </row>
    <row r="1311" spans="1:15">
      <c r="A1311">
        <v>6892</v>
      </c>
      <c r="B1311">
        <v>641</v>
      </c>
      <c r="C1311">
        <v>7</v>
      </c>
      <c r="D1311">
        <v>56</v>
      </c>
      <c r="E1311">
        <v>0</v>
      </c>
      <c r="F1311">
        <v>0</v>
      </c>
      <c r="G1311">
        <v>28</v>
      </c>
      <c r="H1311" t="s">
        <v>12</v>
      </c>
      <c r="I1311">
        <v>61671</v>
      </c>
      <c r="J1311">
        <v>0</v>
      </c>
      <c r="K1311">
        <v>1</v>
      </c>
      <c r="L1311">
        <v>1</v>
      </c>
      <c r="M1311">
        <v>0</v>
      </c>
      <c r="N1311">
        <f t="shared" si="40"/>
        <v>0.4448177600426797</v>
      </c>
      <c r="O1311">
        <f t="shared" si="41"/>
        <v>0.24847040956297942</v>
      </c>
    </row>
    <row r="1312" spans="1:15">
      <c r="A1312">
        <v>6905</v>
      </c>
      <c r="B1312">
        <v>241</v>
      </c>
      <c r="C1312">
        <v>45</v>
      </c>
      <c r="D1312">
        <v>604</v>
      </c>
      <c r="E1312">
        <v>34</v>
      </c>
      <c r="F1312">
        <v>26</v>
      </c>
      <c r="G1312">
        <v>54</v>
      </c>
      <c r="H1312" t="s">
        <v>11</v>
      </c>
      <c r="I1312">
        <v>80685</v>
      </c>
      <c r="J1312">
        <v>0</v>
      </c>
      <c r="K1312">
        <v>0</v>
      </c>
      <c r="L1312">
        <v>0</v>
      </c>
      <c r="M1312">
        <v>1</v>
      </c>
      <c r="N1312">
        <f t="shared" si="40"/>
        <v>1.3245519448400676</v>
      </c>
      <c r="O1312">
        <f t="shared" si="41"/>
        <v>0.99866780317922843</v>
      </c>
    </row>
    <row r="1313" spans="1:15">
      <c r="A1313">
        <v>6906</v>
      </c>
      <c r="B1313">
        <v>167</v>
      </c>
      <c r="C1313">
        <v>48</v>
      </c>
      <c r="D1313">
        <v>602</v>
      </c>
      <c r="E1313">
        <v>63</v>
      </c>
      <c r="F1313">
        <v>72</v>
      </c>
      <c r="G1313">
        <v>72</v>
      </c>
      <c r="H1313" t="s">
        <v>12</v>
      </c>
      <c r="I1313">
        <v>84953</v>
      </c>
      <c r="J1313">
        <v>0</v>
      </c>
      <c r="K1313">
        <v>0</v>
      </c>
      <c r="L1313">
        <v>1</v>
      </c>
      <c r="M1313">
        <v>0</v>
      </c>
      <c r="N1313">
        <f t="shared" si="40"/>
        <v>1.5220225191913483</v>
      </c>
      <c r="O1313">
        <f t="shared" si="41"/>
        <v>0.69210260975620996</v>
      </c>
    </row>
    <row r="1314" spans="1:15">
      <c r="A1314">
        <v>6912</v>
      </c>
      <c r="B1314">
        <v>593</v>
      </c>
      <c r="C1314">
        <v>30</v>
      </c>
      <c r="D1314">
        <v>91</v>
      </c>
      <c r="E1314">
        <v>29</v>
      </c>
      <c r="F1314">
        <v>22</v>
      </c>
      <c r="G1314">
        <v>7</v>
      </c>
      <c r="H1314" t="s">
        <v>11</v>
      </c>
      <c r="I1314">
        <v>63246</v>
      </c>
      <c r="J1314">
        <v>0</v>
      </c>
      <c r="K1314">
        <v>2</v>
      </c>
      <c r="L1314">
        <v>0</v>
      </c>
      <c r="M1314">
        <v>1</v>
      </c>
      <c r="N1314">
        <f t="shared" si="40"/>
        <v>0.51768939889068044</v>
      </c>
      <c r="O1314">
        <f t="shared" si="41"/>
        <v>0.43101037521782126</v>
      </c>
    </row>
    <row r="1315" spans="1:15">
      <c r="A1315">
        <v>6919</v>
      </c>
      <c r="B1315">
        <v>4</v>
      </c>
      <c r="C1315">
        <v>7</v>
      </c>
      <c r="D1315">
        <v>15</v>
      </c>
      <c r="E1315">
        <v>13</v>
      </c>
      <c r="F1315">
        <v>9</v>
      </c>
      <c r="G1315">
        <v>15</v>
      </c>
      <c r="H1315" t="s">
        <v>11</v>
      </c>
      <c r="I1315">
        <v>26224</v>
      </c>
      <c r="J1315">
        <v>1</v>
      </c>
      <c r="K1315">
        <v>0</v>
      </c>
      <c r="L1315">
        <v>0</v>
      </c>
      <c r="M1315">
        <v>1</v>
      </c>
      <c r="N1315">
        <f t="shared" si="40"/>
        <v>-1.1952336572557851</v>
      </c>
      <c r="O1315">
        <f t="shared" si="41"/>
        <v>-0.2318177823315149</v>
      </c>
    </row>
    <row r="1316" spans="1:15">
      <c r="A1316">
        <v>6927</v>
      </c>
      <c r="B1316">
        <v>224</v>
      </c>
      <c r="C1316">
        <v>0</v>
      </c>
      <c r="D1316">
        <v>30</v>
      </c>
      <c r="E1316">
        <v>0</v>
      </c>
      <c r="F1316">
        <v>0</v>
      </c>
      <c r="G1316">
        <v>10</v>
      </c>
      <c r="H1316" t="s">
        <v>11</v>
      </c>
      <c r="I1316">
        <v>44377</v>
      </c>
      <c r="J1316">
        <v>1</v>
      </c>
      <c r="K1316">
        <v>1</v>
      </c>
      <c r="L1316">
        <v>0</v>
      </c>
      <c r="M1316">
        <v>1</v>
      </c>
      <c r="N1316">
        <f t="shared" si="40"/>
        <v>-0.3553359683619709</v>
      </c>
      <c r="O1316">
        <f t="shared" si="41"/>
        <v>0.15060678224949625</v>
      </c>
    </row>
    <row r="1317" spans="1:15">
      <c r="A1317">
        <v>6931</v>
      </c>
      <c r="B1317">
        <v>464</v>
      </c>
      <c r="C1317">
        <v>151</v>
      </c>
      <c r="D1317">
        <v>292</v>
      </c>
      <c r="E1317">
        <v>65</v>
      </c>
      <c r="F1317">
        <v>60</v>
      </c>
      <c r="G1317">
        <v>30</v>
      </c>
      <c r="H1317" t="s">
        <v>12</v>
      </c>
      <c r="I1317">
        <v>76982</v>
      </c>
      <c r="J1317">
        <v>0</v>
      </c>
      <c r="K1317">
        <v>0</v>
      </c>
      <c r="L1317">
        <v>1</v>
      </c>
      <c r="M1317">
        <v>0</v>
      </c>
      <c r="N1317">
        <f t="shared" si="40"/>
        <v>1.1532226250596571</v>
      </c>
      <c r="O1317">
        <f t="shared" si="41"/>
        <v>0.62565551034319811</v>
      </c>
    </row>
    <row r="1318" spans="1:15">
      <c r="A1318">
        <v>6932</v>
      </c>
      <c r="B1318">
        <v>1285</v>
      </c>
      <c r="C1318">
        <v>42</v>
      </c>
      <c r="D1318">
        <v>716</v>
      </c>
      <c r="E1318">
        <v>55</v>
      </c>
      <c r="F1318">
        <v>0</v>
      </c>
      <c r="G1318">
        <v>21</v>
      </c>
      <c r="H1318" t="s">
        <v>11</v>
      </c>
      <c r="I1318">
        <v>93027</v>
      </c>
      <c r="J1318">
        <v>0</v>
      </c>
      <c r="K1318">
        <v>0</v>
      </c>
      <c r="L1318">
        <v>0</v>
      </c>
      <c r="M1318">
        <v>1</v>
      </c>
      <c r="N1318">
        <f t="shared" si="40"/>
        <v>1.8955879871651629</v>
      </c>
      <c r="O1318">
        <f t="shared" si="41"/>
        <v>0.99399822793104908</v>
      </c>
    </row>
    <row r="1319" spans="1:15">
      <c r="A1319">
        <v>6940</v>
      </c>
      <c r="B1319">
        <v>100</v>
      </c>
      <c r="C1319">
        <v>1</v>
      </c>
      <c r="D1319">
        <v>39</v>
      </c>
      <c r="E1319">
        <v>6</v>
      </c>
      <c r="F1319">
        <v>1</v>
      </c>
      <c r="G1319">
        <v>76</v>
      </c>
      <c r="H1319" t="s">
        <v>12</v>
      </c>
      <c r="I1319">
        <v>46734</v>
      </c>
      <c r="J1319">
        <v>1</v>
      </c>
      <c r="K1319">
        <v>2</v>
      </c>
      <c r="L1319">
        <v>1</v>
      </c>
      <c r="M1319">
        <v>0</v>
      </c>
      <c r="N1319">
        <f t="shared" si="40"/>
        <v>-0.24628298247959771</v>
      </c>
      <c r="O1319">
        <f t="shared" si="41"/>
        <v>-8.2845221235355676E-2</v>
      </c>
    </row>
    <row r="1320" spans="1:15">
      <c r="A1320">
        <v>6941</v>
      </c>
      <c r="B1320">
        <v>17</v>
      </c>
      <c r="C1320">
        <v>8</v>
      </c>
      <c r="D1320">
        <v>12</v>
      </c>
      <c r="E1320">
        <v>11</v>
      </c>
      <c r="F1320">
        <v>15</v>
      </c>
      <c r="G1320">
        <v>32</v>
      </c>
      <c r="H1320" t="s">
        <v>12</v>
      </c>
      <c r="I1320">
        <v>31632</v>
      </c>
      <c r="J1320">
        <v>0</v>
      </c>
      <c r="K1320">
        <v>0</v>
      </c>
      <c r="L1320">
        <v>1</v>
      </c>
      <c r="M1320">
        <v>0</v>
      </c>
      <c r="N1320">
        <f t="shared" si="40"/>
        <v>-0.94501789669071334</v>
      </c>
      <c r="O1320">
        <f t="shared" si="41"/>
        <v>-0.56878852828440252</v>
      </c>
    </row>
    <row r="1321" spans="1:15">
      <c r="A1321">
        <v>6945</v>
      </c>
      <c r="B1321">
        <v>387</v>
      </c>
      <c r="C1321">
        <v>20</v>
      </c>
      <c r="D1321">
        <v>713</v>
      </c>
      <c r="E1321">
        <v>38</v>
      </c>
      <c r="F1321">
        <v>54</v>
      </c>
      <c r="G1321">
        <v>163</v>
      </c>
      <c r="H1321" t="s">
        <v>12</v>
      </c>
      <c r="I1321">
        <v>84574</v>
      </c>
      <c r="J1321">
        <v>0</v>
      </c>
      <c r="K1321">
        <v>0</v>
      </c>
      <c r="L1321">
        <v>1</v>
      </c>
      <c r="M1321">
        <v>0</v>
      </c>
      <c r="N1321">
        <f t="shared" si="40"/>
        <v>1.5044870581606231</v>
      </c>
      <c r="O1321">
        <f t="shared" si="41"/>
        <v>0.68966905767250319</v>
      </c>
    </row>
    <row r="1322" spans="1:15">
      <c r="A1322">
        <v>6950</v>
      </c>
      <c r="B1322">
        <v>35</v>
      </c>
      <c r="C1322">
        <v>1</v>
      </c>
      <c r="D1322">
        <v>16</v>
      </c>
      <c r="E1322">
        <v>0</v>
      </c>
      <c r="F1322">
        <v>1</v>
      </c>
      <c r="G1322">
        <v>1</v>
      </c>
      <c r="H1322" t="s">
        <v>11</v>
      </c>
      <c r="I1322">
        <v>49572</v>
      </c>
      <c r="J1322">
        <v>1</v>
      </c>
      <c r="K1322">
        <v>1</v>
      </c>
      <c r="L1322">
        <v>0</v>
      </c>
      <c r="M1322">
        <v>1</v>
      </c>
      <c r="N1322">
        <f t="shared" si="40"/>
        <v>-0.11497522943158116</v>
      </c>
      <c r="O1322">
        <f t="shared" si="41"/>
        <v>0.26807353946623358</v>
      </c>
    </row>
    <row r="1323" spans="1:15">
      <c r="A1323">
        <v>6958</v>
      </c>
      <c r="B1323">
        <v>14</v>
      </c>
      <c r="C1323">
        <v>0</v>
      </c>
      <c r="D1323">
        <v>4</v>
      </c>
      <c r="E1323">
        <v>0</v>
      </c>
      <c r="F1323">
        <v>0</v>
      </c>
      <c r="G1323">
        <v>8</v>
      </c>
      <c r="H1323" t="s">
        <v>11</v>
      </c>
      <c r="I1323">
        <v>27889</v>
      </c>
      <c r="J1323">
        <v>1</v>
      </c>
      <c r="K1323">
        <v>0</v>
      </c>
      <c r="L1323">
        <v>0</v>
      </c>
      <c r="M1323">
        <v>1</v>
      </c>
      <c r="N1323">
        <f t="shared" si="40"/>
        <v>-1.1181979247593272</v>
      </c>
      <c r="O1323">
        <f t="shared" si="41"/>
        <v>-0.20270326173830958</v>
      </c>
    </row>
    <row r="1324" spans="1:15">
      <c r="A1324">
        <v>6961</v>
      </c>
      <c r="B1324">
        <v>1</v>
      </c>
      <c r="C1324">
        <v>1</v>
      </c>
      <c r="D1324">
        <v>5</v>
      </c>
      <c r="E1324">
        <v>0</v>
      </c>
      <c r="F1324">
        <v>3</v>
      </c>
      <c r="G1324">
        <v>1</v>
      </c>
      <c r="H1324" t="s">
        <v>11</v>
      </c>
      <c r="I1324">
        <v>26751</v>
      </c>
      <c r="J1324">
        <v>2</v>
      </c>
      <c r="K1324">
        <v>0</v>
      </c>
      <c r="L1324">
        <v>0</v>
      </c>
      <c r="M1324">
        <v>1</v>
      </c>
      <c r="N1324">
        <f t="shared" si="40"/>
        <v>-1.170850575558708</v>
      </c>
      <c r="O1324">
        <f t="shared" si="41"/>
        <v>-0.16206088243877109</v>
      </c>
    </row>
    <row r="1325" spans="1:15">
      <c r="A1325">
        <v>6963</v>
      </c>
      <c r="B1325">
        <v>675</v>
      </c>
      <c r="C1325">
        <v>11</v>
      </c>
      <c r="D1325">
        <v>400</v>
      </c>
      <c r="E1325">
        <v>15</v>
      </c>
      <c r="F1325">
        <v>45</v>
      </c>
      <c r="G1325">
        <v>11</v>
      </c>
      <c r="H1325" t="s">
        <v>12</v>
      </c>
      <c r="I1325">
        <v>77457</v>
      </c>
      <c r="J1325">
        <v>0</v>
      </c>
      <c r="K1325">
        <v>0</v>
      </c>
      <c r="L1325">
        <v>1</v>
      </c>
      <c r="M1325">
        <v>0</v>
      </c>
      <c r="N1325">
        <f t="shared" si="40"/>
        <v>1.17519978598207</v>
      </c>
      <c r="O1325">
        <f t="shared" si="41"/>
        <v>0.63069042046297286</v>
      </c>
    </row>
    <row r="1326" spans="1:15">
      <c r="A1326">
        <v>6969</v>
      </c>
      <c r="B1326">
        <v>99</v>
      </c>
      <c r="C1326">
        <v>13</v>
      </c>
      <c r="D1326">
        <v>66</v>
      </c>
      <c r="E1326">
        <v>43</v>
      </c>
      <c r="F1326">
        <v>8</v>
      </c>
      <c r="G1326">
        <v>4</v>
      </c>
      <c r="H1326" t="s">
        <v>11</v>
      </c>
      <c r="I1326">
        <v>50272</v>
      </c>
      <c r="J1326">
        <v>1</v>
      </c>
      <c r="K1326">
        <v>0</v>
      </c>
      <c r="L1326">
        <v>0</v>
      </c>
      <c r="M1326">
        <v>1</v>
      </c>
      <c r="N1326">
        <f t="shared" si="40"/>
        <v>-8.2587834388025277E-2</v>
      </c>
      <c r="O1326">
        <f t="shared" si="41"/>
        <v>0.34741739861435339</v>
      </c>
    </row>
    <row r="1327" spans="1:15">
      <c r="A1327">
        <v>6974</v>
      </c>
      <c r="B1327">
        <v>518</v>
      </c>
      <c r="C1327">
        <v>42</v>
      </c>
      <c r="D1327">
        <v>742</v>
      </c>
      <c r="E1327">
        <v>55</v>
      </c>
      <c r="F1327">
        <v>56</v>
      </c>
      <c r="G1327">
        <v>84</v>
      </c>
      <c r="H1327" t="s">
        <v>11</v>
      </c>
      <c r="I1327">
        <v>83443</v>
      </c>
      <c r="J1327">
        <v>0</v>
      </c>
      <c r="K1327">
        <v>0</v>
      </c>
      <c r="L1327">
        <v>0</v>
      </c>
      <c r="M1327">
        <v>1</v>
      </c>
      <c r="N1327">
        <f t="shared" si="40"/>
        <v>1.4521582813116778</v>
      </c>
      <c r="O1327">
        <f t="shared" si="41"/>
        <v>0.9999679834230637</v>
      </c>
    </row>
    <row r="1328" spans="1:15">
      <c r="A1328">
        <v>6977</v>
      </c>
      <c r="B1328">
        <v>1073</v>
      </c>
      <c r="C1328">
        <v>0</v>
      </c>
      <c r="D1328">
        <v>629</v>
      </c>
      <c r="E1328">
        <v>145</v>
      </c>
      <c r="F1328">
        <v>37</v>
      </c>
      <c r="G1328">
        <v>37</v>
      </c>
      <c r="H1328" t="s">
        <v>11</v>
      </c>
      <c r="I1328">
        <v>75702</v>
      </c>
      <c r="J1328">
        <v>0</v>
      </c>
      <c r="K1328">
        <v>1</v>
      </c>
      <c r="L1328">
        <v>0</v>
      </c>
      <c r="M1328">
        <v>1</v>
      </c>
      <c r="N1328">
        <f t="shared" si="40"/>
        <v>1.0939999598371548</v>
      </c>
      <c r="O1328">
        <f t="shared" si="41"/>
        <v>0.82021208449232597</v>
      </c>
    </row>
    <row r="1329" spans="1:15">
      <c r="A1329">
        <v>6982</v>
      </c>
      <c r="B1329">
        <v>783</v>
      </c>
      <c r="C1329">
        <v>30</v>
      </c>
      <c r="D1329">
        <v>537</v>
      </c>
      <c r="E1329">
        <v>140</v>
      </c>
      <c r="F1329">
        <v>76</v>
      </c>
      <c r="G1329">
        <v>15</v>
      </c>
      <c r="H1329" t="s">
        <v>11</v>
      </c>
      <c r="I1329">
        <v>74068</v>
      </c>
      <c r="J1329">
        <v>0</v>
      </c>
      <c r="K1329">
        <v>0</v>
      </c>
      <c r="L1329">
        <v>0</v>
      </c>
      <c r="M1329">
        <v>1</v>
      </c>
      <c r="N1329">
        <f t="shared" si="40"/>
        <v>1.0183985262640545</v>
      </c>
      <c r="O1329">
        <f t="shared" si="41"/>
        <v>0.98362261152920261</v>
      </c>
    </row>
    <row r="1330" spans="1:15">
      <c r="A1330">
        <v>6983</v>
      </c>
      <c r="B1330">
        <v>23</v>
      </c>
      <c r="C1330">
        <v>2</v>
      </c>
      <c r="D1330">
        <v>17</v>
      </c>
      <c r="E1330">
        <v>2</v>
      </c>
      <c r="F1330">
        <v>1</v>
      </c>
      <c r="G1330">
        <v>0</v>
      </c>
      <c r="H1330" t="s">
        <v>12</v>
      </c>
      <c r="I1330">
        <v>38054</v>
      </c>
      <c r="J1330">
        <v>1</v>
      </c>
      <c r="K1330">
        <v>1</v>
      </c>
      <c r="L1330">
        <v>1</v>
      </c>
      <c r="M1330">
        <v>0</v>
      </c>
      <c r="N1330">
        <f t="shared" si="40"/>
        <v>-0.6478866810196906</v>
      </c>
      <c r="O1330">
        <f t="shared" si="41"/>
        <v>-0.29013108955207773</v>
      </c>
    </row>
    <row r="1331" spans="1:15">
      <c r="A1331">
        <v>6991</v>
      </c>
      <c r="B1331">
        <v>537</v>
      </c>
      <c r="C1331">
        <v>6</v>
      </c>
      <c r="D1331">
        <v>42</v>
      </c>
      <c r="E1331">
        <v>16</v>
      </c>
      <c r="F1331">
        <v>6</v>
      </c>
      <c r="G1331">
        <v>30</v>
      </c>
      <c r="H1331" t="s">
        <v>12</v>
      </c>
      <c r="I1331">
        <v>43185</v>
      </c>
      <c r="J1331">
        <v>0</v>
      </c>
      <c r="K1331">
        <v>1</v>
      </c>
      <c r="L1331">
        <v>1</v>
      </c>
      <c r="M1331">
        <v>0</v>
      </c>
      <c r="N1331">
        <f t="shared" si="40"/>
        <v>-0.41048707535042606</v>
      </c>
      <c r="O1331">
        <f t="shared" si="41"/>
        <v>-0.23084084771361435</v>
      </c>
    </row>
    <row r="1332" spans="1:15">
      <c r="A1332">
        <v>6999</v>
      </c>
      <c r="B1332">
        <v>656</v>
      </c>
      <c r="C1332">
        <v>16</v>
      </c>
      <c r="D1332">
        <v>106</v>
      </c>
      <c r="E1332">
        <v>32</v>
      </c>
      <c r="F1332">
        <v>16</v>
      </c>
      <c r="G1332">
        <v>8</v>
      </c>
      <c r="H1332" t="s">
        <v>11</v>
      </c>
      <c r="I1332">
        <v>69661</v>
      </c>
      <c r="J1332">
        <v>0</v>
      </c>
      <c r="K1332">
        <v>0</v>
      </c>
      <c r="L1332">
        <v>0</v>
      </c>
      <c r="M1332">
        <v>1</v>
      </c>
      <c r="N1332">
        <f t="shared" si="40"/>
        <v>0.81449674061126753</v>
      </c>
      <c r="O1332">
        <f t="shared" si="41"/>
        <v>0.95760499489513817</v>
      </c>
    </row>
    <row r="1333" spans="1:15">
      <c r="A1333">
        <v>7000</v>
      </c>
      <c r="B1333">
        <v>279</v>
      </c>
      <c r="C1333">
        <v>172</v>
      </c>
      <c r="D1333">
        <v>74</v>
      </c>
      <c r="E1333">
        <v>38</v>
      </c>
      <c r="F1333">
        <v>8</v>
      </c>
      <c r="G1333">
        <v>246</v>
      </c>
      <c r="H1333" t="s">
        <v>12</v>
      </c>
      <c r="I1333">
        <v>65704</v>
      </c>
      <c r="J1333">
        <v>0</v>
      </c>
      <c r="K1333">
        <v>0</v>
      </c>
      <c r="L1333">
        <v>1</v>
      </c>
      <c r="M1333">
        <v>0</v>
      </c>
      <c r="N1333">
        <f t="shared" si="40"/>
        <v>0.63141542320076671</v>
      </c>
      <c r="O1333">
        <f t="shared" si="41"/>
        <v>0.44212798976405693</v>
      </c>
    </row>
    <row r="1334" spans="1:15">
      <c r="A1334">
        <v>7002</v>
      </c>
      <c r="B1334">
        <v>163</v>
      </c>
      <c r="C1334">
        <v>48</v>
      </c>
      <c r="D1334">
        <v>90</v>
      </c>
      <c r="E1334">
        <v>0</v>
      </c>
      <c r="F1334">
        <v>45</v>
      </c>
      <c r="G1334">
        <v>52</v>
      </c>
      <c r="H1334" t="s">
        <v>12</v>
      </c>
      <c r="I1334">
        <v>62535</v>
      </c>
      <c r="J1334">
        <v>0</v>
      </c>
      <c r="K1334">
        <v>1</v>
      </c>
      <c r="L1334">
        <v>1</v>
      </c>
      <c r="M1334">
        <v>0</v>
      </c>
      <c r="N1334">
        <f t="shared" si="40"/>
        <v>0.48479305906786868</v>
      </c>
      <c r="O1334">
        <f t="shared" si="41"/>
        <v>0.26853946404542717</v>
      </c>
    </row>
    <row r="1335" spans="1:15">
      <c r="A1335">
        <v>7004</v>
      </c>
      <c r="B1335">
        <v>24</v>
      </c>
      <c r="C1335">
        <v>3</v>
      </c>
      <c r="D1335">
        <v>26</v>
      </c>
      <c r="E1335">
        <v>7</v>
      </c>
      <c r="F1335">
        <v>1</v>
      </c>
      <c r="G1335">
        <v>23</v>
      </c>
      <c r="H1335" t="s">
        <v>12</v>
      </c>
      <c r="I1335">
        <v>11012</v>
      </c>
      <c r="J1335">
        <v>1</v>
      </c>
      <c r="K1335">
        <v>0</v>
      </c>
      <c r="L1335">
        <v>1</v>
      </c>
      <c r="M1335">
        <v>0</v>
      </c>
      <c r="N1335">
        <f t="shared" si="40"/>
        <v>-1.8990580192594595</v>
      </c>
      <c r="O1335">
        <f t="shared" si="41"/>
        <v>-0.66418370442594266</v>
      </c>
    </row>
    <row r="1336" spans="1:15">
      <c r="A1336">
        <v>7005</v>
      </c>
      <c r="B1336">
        <v>479</v>
      </c>
      <c r="C1336">
        <v>35</v>
      </c>
      <c r="D1336">
        <v>179</v>
      </c>
      <c r="E1336">
        <v>28</v>
      </c>
      <c r="F1336">
        <v>7</v>
      </c>
      <c r="G1336">
        <v>85</v>
      </c>
      <c r="H1336" t="s">
        <v>12</v>
      </c>
      <c r="I1336">
        <v>58684</v>
      </c>
      <c r="J1336">
        <v>0</v>
      </c>
      <c r="K1336">
        <v>0</v>
      </c>
      <c r="L1336">
        <v>1</v>
      </c>
      <c r="M1336">
        <v>0</v>
      </c>
      <c r="N1336">
        <f t="shared" si="40"/>
        <v>0.30661611862110627</v>
      </c>
      <c r="O1336">
        <f t="shared" si="41"/>
        <v>0.24275964983230319</v>
      </c>
    </row>
    <row r="1337" spans="1:15">
      <c r="A1337">
        <v>7007</v>
      </c>
      <c r="B1337">
        <v>17</v>
      </c>
      <c r="C1337">
        <v>3</v>
      </c>
      <c r="D1337">
        <v>18</v>
      </c>
      <c r="E1337">
        <v>3</v>
      </c>
      <c r="F1337">
        <v>4</v>
      </c>
      <c r="G1337">
        <v>18</v>
      </c>
      <c r="H1337" t="s">
        <v>11</v>
      </c>
      <c r="I1337">
        <v>29543</v>
      </c>
      <c r="J1337">
        <v>2</v>
      </c>
      <c r="K1337">
        <v>0</v>
      </c>
      <c r="L1337">
        <v>0</v>
      </c>
      <c r="M1337">
        <v>1</v>
      </c>
      <c r="N1337">
        <f t="shared" si="40"/>
        <v>-1.041671137042125</v>
      </c>
      <c r="O1337">
        <f t="shared" si="41"/>
        <v>-0.12245678314104994</v>
      </c>
    </row>
    <row r="1338" spans="1:15">
      <c r="A1338">
        <v>7011</v>
      </c>
      <c r="B1338">
        <v>43</v>
      </c>
      <c r="C1338">
        <v>2</v>
      </c>
      <c r="D1338">
        <v>27</v>
      </c>
      <c r="E1338">
        <v>0</v>
      </c>
      <c r="F1338">
        <v>9</v>
      </c>
      <c r="G1338">
        <v>12</v>
      </c>
      <c r="H1338" t="s">
        <v>11</v>
      </c>
      <c r="I1338">
        <v>33471</v>
      </c>
      <c r="J1338">
        <v>1</v>
      </c>
      <c r="K1338">
        <v>0</v>
      </c>
      <c r="L1338">
        <v>0</v>
      </c>
      <c r="M1338">
        <v>1</v>
      </c>
      <c r="N1338">
        <f t="shared" si="40"/>
        <v>-0.8599315831405715</v>
      </c>
      <c r="O1338">
        <f t="shared" si="41"/>
        <v>-9.157773097089153E-2</v>
      </c>
    </row>
    <row r="1339" spans="1:15">
      <c r="A1339">
        <v>7019</v>
      </c>
      <c r="B1339">
        <v>109</v>
      </c>
      <c r="C1339">
        <v>18</v>
      </c>
      <c r="D1339">
        <v>16</v>
      </c>
      <c r="E1339">
        <v>24</v>
      </c>
      <c r="F1339">
        <v>26</v>
      </c>
      <c r="G1339">
        <v>18</v>
      </c>
      <c r="H1339" t="s">
        <v>11</v>
      </c>
      <c r="I1339">
        <v>54414</v>
      </c>
      <c r="J1339">
        <v>1</v>
      </c>
      <c r="K1339">
        <v>1</v>
      </c>
      <c r="L1339">
        <v>0</v>
      </c>
      <c r="M1339">
        <v>1</v>
      </c>
      <c r="N1339">
        <f t="shared" si="40"/>
        <v>0.10905300885541538</v>
      </c>
      <c r="O1339">
        <f t="shared" si="41"/>
        <v>0.375032126202475</v>
      </c>
    </row>
    <row r="1340" spans="1:15">
      <c r="A1340">
        <v>7022</v>
      </c>
      <c r="B1340">
        <v>739</v>
      </c>
      <c r="C1340">
        <v>107</v>
      </c>
      <c r="D1340">
        <v>309</v>
      </c>
      <c r="E1340">
        <v>140</v>
      </c>
      <c r="F1340">
        <v>80</v>
      </c>
      <c r="G1340">
        <v>35</v>
      </c>
      <c r="H1340" t="s">
        <v>11</v>
      </c>
      <c r="I1340">
        <v>76445</v>
      </c>
      <c r="J1340">
        <v>1</v>
      </c>
      <c r="K1340">
        <v>0</v>
      </c>
      <c r="L1340">
        <v>0</v>
      </c>
      <c r="M1340">
        <v>1</v>
      </c>
      <c r="N1340">
        <f t="shared" si="40"/>
        <v>1.1283768662905291</v>
      </c>
      <c r="O1340">
        <f t="shared" si="41"/>
        <v>0.82631870768942361</v>
      </c>
    </row>
    <row r="1341" spans="1:15">
      <c r="A1341">
        <v>7023</v>
      </c>
      <c r="B1341">
        <v>189</v>
      </c>
      <c r="C1341">
        <v>2</v>
      </c>
      <c r="D1341">
        <v>55</v>
      </c>
      <c r="E1341">
        <v>0</v>
      </c>
      <c r="F1341">
        <v>5</v>
      </c>
      <c r="G1341">
        <v>12</v>
      </c>
      <c r="H1341" t="s">
        <v>12</v>
      </c>
      <c r="I1341">
        <v>46231</v>
      </c>
      <c r="J1341">
        <v>2</v>
      </c>
      <c r="K1341">
        <v>1</v>
      </c>
      <c r="L1341">
        <v>1</v>
      </c>
      <c r="M1341">
        <v>0</v>
      </c>
      <c r="N1341">
        <f t="shared" si="40"/>
        <v>-0.26955563920375286</v>
      </c>
      <c r="O1341">
        <f t="shared" si="41"/>
        <v>-9.058405963804958E-2</v>
      </c>
    </row>
    <row r="1342" spans="1:15">
      <c r="A1342">
        <v>7030</v>
      </c>
      <c r="B1342">
        <v>1200</v>
      </c>
      <c r="C1342">
        <v>0</v>
      </c>
      <c r="D1342">
        <v>204</v>
      </c>
      <c r="E1342">
        <v>38</v>
      </c>
      <c r="F1342">
        <v>29</v>
      </c>
      <c r="G1342">
        <v>14</v>
      </c>
      <c r="H1342" t="s">
        <v>11</v>
      </c>
      <c r="I1342">
        <v>66465</v>
      </c>
      <c r="J1342">
        <v>0</v>
      </c>
      <c r="K1342">
        <v>1</v>
      </c>
      <c r="L1342">
        <v>0</v>
      </c>
      <c r="M1342">
        <v>1</v>
      </c>
      <c r="N1342">
        <f t="shared" si="40"/>
        <v>0.66662514838383247</v>
      </c>
      <c r="O1342">
        <f t="shared" si="41"/>
        <v>0.71162757388811337</v>
      </c>
    </row>
    <row r="1343" spans="1:15">
      <c r="A1343">
        <v>7034</v>
      </c>
      <c r="B1343">
        <v>8</v>
      </c>
      <c r="C1343">
        <v>7</v>
      </c>
      <c r="D1343">
        <v>9</v>
      </c>
      <c r="E1343">
        <v>13</v>
      </c>
      <c r="F1343">
        <v>6</v>
      </c>
      <c r="G1343">
        <v>12</v>
      </c>
      <c r="H1343" t="s">
        <v>11</v>
      </c>
      <c r="I1343">
        <v>25804</v>
      </c>
      <c r="J1343">
        <v>1</v>
      </c>
      <c r="K1343">
        <v>0</v>
      </c>
      <c r="L1343">
        <v>0</v>
      </c>
      <c r="M1343">
        <v>1</v>
      </c>
      <c r="N1343">
        <f t="shared" si="40"/>
        <v>-1.2146660942819185</v>
      </c>
      <c r="O1343">
        <f t="shared" si="41"/>
        <v>-0.23888275340678344</v>
      </c>
    </row>
    <row r="1344" spans="1:15">
      <c r="A1344">
        <v>7037</v>
      </c>
      <c r="B1344">
        <v>194</v>
      </c>
      <c r="C1344">
        <v>55</v>
      </c>
      <c r="D1344">
        <v>134</v>
      </c>
      <c r="E1344">
        <v>15</v>
      </c>
      <c r="F1344">
        <v>0</v>
      </c>
      <c r="G1344">
        <v>3</v>
      </c>
      <c r="H1344" t="s">
        <v>11</v>
      </c>
      <c r="I1344">
        <v>37087</v>
      </c>
      <c r="J1344">
        <v>1</v>
      </c>
      <c r="K1344">
        <v>0</v>
      </c>
      <c r="L1344">
        <v>0</v>
      </c>
      <c r="M1344">
        <v>1</v>
      </c>
      <c r="N1344">
        <f t="shared" si="40"/>
        <v>-0.69262755388700281</v>
      </c>
      <c r="O1344">
        <f t="shared" si="41"/>
        <v>-8.2720395351208471E-3</v>
      </c>
    </row>
    <row r="1345" spans="1:15">
      <c r="A1345">
        <v>7042</v>
      </c>
      <c r="B1345">
        <v>3</v>
      </c>
      <c r="C1345">
        <v>3</v>
      </c>
      <c r="D1345">
        <v>14</v>
      </c>
      <c r="E1345">
        <v>15</v>
      </c>
      <c r="F1345">
        <v>21</v>
      </c>
      <c r="G1345">
        <v>10</v>
      </c>
      <c r="H1345" t="s">
        <v>11</v>
      </c>
      <c r="I1345">
        <v>36790</v>
      </c>
      <c r="J1345">
        <v>0</v>
      </c>
      <c r="K1345">
        <v>0</v>
      </c>
      <c r="L1345">
        <v>0</v>
      </c>
      <c r="M1345">
        <v>1</v>
      </c>
      <c r="N1345">
        <f t="shared" si="40"/>
        <v>-0.7063690629269116</v>
      </c>
      <c r="O1345">
        <f t="shared" si="41"/>
        <v>-1.9934122450586712E-2</v>
      </c>
    </row>
    <row r="1346" spans="1:15">
      <c r="A1346">
        <v>7053</v>
      </c>
      <c r="B1346">
        <v>604</v>
      </c>
      <c r="C1346">
        <v>28</v>
      </c>
      <c r="D1346">
        <v>674</v>
      </c>
      <c r="E1346">
        <v>91</v>
      </c>
      <c r="F1346">
        <v>28</v>
      </c>
      <c r="G1346">
        <v>28</v>
      </c>
      <c r="H1346" t="s">
        <v>12</v>
      </c>
      <c r="I1346">
        <v>78420</v>
      </c>
      <c r="J1346">
        <v>0</v>
      </c>
      <c r="K1346">
        <v>0</v>
      </c>
      <c r="L1346">
        <v>1</v>
      </c>
      <c r="M1346">
        <v>0</v>
      </c>
      <c r="N1346">
        <f t="shared" si="40"/>
        <v>1.2197555880205617</v>
      </c>
      <c r="O1346">
        <f t="shared" si="41"/>
        <v>0.64040927383983248</v>
      </c>
    </row>
    <row r="1347" spans="1:15">
      <c r="A1347">
        <v>7055</v>
      </c>
      <c r="B1347">
        <v>888</v>
      </c>
      <c r="C1347">
        <v>0</v>
      </c>
      <c r="D1347">
        <v>57</v>
      </c>
      <c r="E1347">
        <v>0</v>
      </c>
      <c r="F1347">
        <v>0</v>
      </c>
      <c r="G1347">
        <v>76</v>
      </c>
      <c r="H1347" t="s">
        <v>11</v>
      </c>
      <c r="I1347">
        <v>61010</v>
      </c>
      <c r="J1347">
        <v>0</v>
      </c>
      <c r="K1347">
        <v>1</v>
      </c>
      <c r="L1347">
        <v>0</v>
      </c>
      <c r="M1347">
        <v>1</v>
      </c>
      <c r="N1347">
        <f t="shared" ref="N1347:N1410" si="42">STANDARDIZE(I1347,$Q$1,$R$1)</f>
        <v>0.41423480558012193</v>
      </c>
      <c r="O1347">
        <f t="shared" ref="O1347:O1410" si="43">SUMPRODUCT(J1347:N1347,$Q$4:$U$4) / SQRT(SUMSQ(J1347:N1347) * SUMSQ($Q$4:$U$4))</f>
        <v>0.61317073067167727</v>
      </c>
    </row>
    <row r="1348" spans="1:15">
      <c r="A1348">
        <v>7072</v>
      </c>
      <c r="B1348">
        <v>432</v>
      </c>
      <c r="C1348">
        <v>79</v>
      </c>
      <c r="D1348">
        <v>341</v>
      </c>
      <c r="E1348">
        <v>177</v>
      </c>
      <c r="F1348">
        <v>136</v>
      </c>
      <c r="G1348">
        <v>170</v>
      </c>
      <c r="H1348" t="s">
        <v>11</v>
      </c>
      <c r="I1348">
        <v>67432</v>
      </c>
      <c r="J1348">
        <v>0</v>
      </c>
      <c r="K1348">
        <v>1</v>
      </c>
      <c r="L1348">
        <v>0</v>
      </c>
      <c r="M1348">
        <v>1</v>
      </c>
      <c r="N1348">
        <f t="shared" si="42"/>
        <v>0.71136602125114468</v>
      </c>
      <c r="O1348">
        <f t="shared" si="43"/>
        <v>0.72622419450391695</v>
      </c>
    </row>
    <row r="1349" spans="1:15">
      <c r="A1349">
        <v>7079</v>
      </c>
      <c r="B1349">
        <v>897</v>
      </c>
      <c r="C1349">
        <v>23</v>
      </c>
      <c r="D1349">
        <v>207</v>
      </c>
      <c r="E1349">
        <v>15</v>
      </c>
      <c r="F1349">
        <v>11</v>
      </c>
      <c r="G1349">
        <v>92</v>
      </c>
      <c r="H1349" t="s">
        <v>12</v>
      </c>
      <c r="I1349">
        <v>63887</v>
      </c>
      <c r="J1349">
        <v>0</v>
      </c>
      <c r="K1349">
        <v>1</v>
      </c>
      <c r="L1349">
        <v>1</v>
      </c>
      <c r="M1349">
        <v>0</v>
      </c>
      <c r="N1349">
        <f t="shared" si="42"/>
        <v>0.54734699920913665</v>
      </c>
      <c r="O1349">
        <f t="shared" si="43"/>
        <v>0.29890315910560994</v>
      </c>
    </row>
    <row r="1350" spans="1:15">
      <c r="A1350">
        <v>7093</v>
      </c>
      <c r="B1350">
        <v>3</v>
      </c>
      <c r="C1350">
        <v>6</v>
      </c>
      <c r="D1350">
        <v>5</v>
      </c>
      <c r="E1350">
        <v>0</v>
      </c>
      <c r="F1350">
        <v>2</v>
      </c>
      <c r="G1350">
        <v>6</v>
      </c>
      <c r="H1350" t="s">
        <v>11</v>
      </c>
      <c r="I1350">
        <v>19986</v>
      </c>
      <c r="J1350">
        <v>1</v>
      </c>
      <c r="K1350">
        <v>0</v>
      </c>
      <c r="L1350">
        <v>0</v>
      </c>
      <c r="M1350">
        <v>1</v>
      </c>
      <c r="N1350">
        <f t="shared" si="42"/>
        <v>-1.483851614801073</v>
      </c>
      <c r="O1350">
        <f t="shared" si="43"/>
        <v>-0.32600408293574795</v>
      </c>
    </row>
    <row r="1351" spans="1:15">
      <c r="A1351">
        <v>7101</v>
      </c>
      <c r="B1351">
        <v>953</v>
      </c>
      <c r="C1351">
        <v>0</v>
      </c>
      <c r="D1351">
        <v>71</v>
      </c>
      <c r="E1351">
        <v>0</v>
      </c>
      <c r="F1351">
        <v>0</v>
      </c>
      <c r="G1351">
        <v>174</v>
      </c>
      <c r="H1351" t="s">
        <v>12</v>
      </c>
      <c r="I1351">
        <v>52278</v>
      </c>
      <c r="J1351">
        <v>0</v>
      </c>
      <c r="K1351">
        <v>1</v>
      </c>
      <c r="L1351">
        <v>1</v>
      </c>
      <c r="M1351">
        <v>0</v>
      </c>
      <c r="N1351">
        <f t="shared" si="42"/>
        <v>1.0225186265364866E-2</v>
      </c>
      <c r="O1351">
        <f t="shared" si="43"/>
        <v>5.9873924970561439E-3</v>
      </c>
    </row>
    <row r="1352" spans="1:15">
      <c r="A1352">
        <v>7106</v>
      </c>
      <c r="B1352">
        <v>483</v>
      </c>
      <c r="C1352">
        <v>0</v>
      </c>
      <c r="D1352">
        <v>591</v>
      </c>
      <c r="E1352">
        <v>156</v>
      </c>
      <c r="F1352">
        <v>0</v>
      </c>
      <c r="G1352">
        <v>12</v>
      </c>
      <c r="H1352" t="s">
        <v>11</v>
      </c>
      <c r="I1352">
        <v>75865</v>
      </c>
      <c r="J1352">
        <v>0</v>
      </c>
      <c r="K1352">
        <v>0</v>
      </c>
      <c r="L1352">
        <v>0</v>
      </c>
      <c r="M1352">
        <v>1</v>
      </c>
      <c r="N1352">
        <f t="shared" si="42"/>
        <v>1.1015415961115829</v>
      </c>
      <c r="O1352">
        <f t="shared" si="43"/>
        <v>0.98992562135230855</v>
      </c>
    </row>
    <row r="1353" spans="1:15">
      <c r="A1353">
        <v>7108</v>
      </c>
      <c r="B1353">
        <v>205</v>
      </c>
      <c r="C1353">
        <v>20</v>
      </c>
      <c r="D1353">
        <v>47</v>
      </c>
      <c r="E1353">
        <v>23</v>
      </c>
      <c r="F1353">
        <v>2</v>
      </c>
      <c r="G1353">
        <v>56</v>
      </c>
      <c r="H1353" t="s">
        <v>12</v>
      </c>
      <c r="I1353">
        <v>51390</v>
      </c>
      <c r="J1353">
        <v>1</v>
      </c>
      <c r="K1353">
        <v>1</v>
      </c>
      <c r="L1353">
        <v>1</v>
      </c>
      <c r="M1353">
        <v>0</v>
      </c>
      <c r="N1353">
        <f t="shared" si="42"/>
        <v>-3.0860537732746024E-2</v>
      </c>
      <c r="O1353">
        <f t="shared" si="43"/>
        <v>-1.4752539560297945E-2</v>
      </c>
    </row>
    <row r="1354" spans="1:15">
      <c r="A1354">
        <v>7118</v>
      </c>
      <c r="B1354">
        <v>833</v>
      </c>
      <c r="C1354">
        <v>80</v>
      </c>
      <c r="D1354">
        <v>363</v>
      </c>
      <c r="E1354">
        <v>52</v>
      </c>
      <c r="F1354">
        <v>26</v>
      </c>
      <c r="G1354">
        <v>174</v>
      </c>
      <c r="H1354" t="s">
        <v>11</v>
      </c>
      <c r="I1354">
        <v>73803</v>
      </c>
      <c r="J1354">
        <v>0</v>
      </c>
      <c r="K1354">
        <v>1</v>
      </c>
      <c r="L1354">
        <v>0</v>
      </c>
      <c r="M1354">
        <v>1</v>
      </c>
      <c r="N1354">
        <f t="shared" si="42"/>
        <v>1.0061375838547082</v>
      </c>
      <c r="O1354">
        <f t="shared" si="43"/>
        <v>0.80303792815376085</v>
      </c>
    </row>
    <row r="1355" spans="1:15">
      <c r="A1355">
        <v>7119</v>
      </c>
      <c r="B1355">
        <v>395</v>
      </c>
      <c r="C1355">
        <v>15</v>
      </c>
      <c r="D1355">
        <v>263</v>
      </c>
      <c r="E1355">
        <v>60</v>
      </c>
      <c r="F1355">
        <v>54</v>
      </c>
      <c r="G1355">
        <v>38</v>
      </c>
      <c r="H1355" t="s">
        <v>12</v>
      </c>
      <c r="I1355">
        <v>68627</v>
      </c>
      <c r="J1355">
        <v>0</v>
      </c>
      <c r="K1355">
        <v>0</v>
      </c>
      <c r="L1355">
        <v>1</v>
      </c>
      <c r="M1355">
        <v>0</v>
      </c>
      <c r="N1355">
        <f t="shared" si="42"/>
        <v>0.76665593136121502</v>
      </c>
      <c r="O1355">
        <f t="shared" si="43"/>
        <v>0.50384939534588624</v>
      </c>
    </row>
    <row r="1356" spans="1:15">
      <c r="A1356">
        <v>7124</v>
      </c>
      <c r="B1356">
        <v>43</v>
      </c>
      <c r="C1356">
        <v>4</v>
      </c>
      <c r="D1356">
        <v>12</v>
      </c>
      <c r="E1356">
        <v>8</v>
      </c>
      <c r="F1356">
        <v>0</v>
      </c>
      <c r="G1356">
        <v>27</v>
      </c>
      <c r="H1356" t="s">
        <v>12</v>
      </c>
      <c r="I1356">
        <v>36997</v>
      </c>
      <c r="J1356">
        <v>1</v>
      </c>
      <c r="K1356">
        <v>1</v>
      </c>
      <c r="L1356">
        <v>1</v>
      </c>
      <c r="M1356">
        <v>0</v>
      </c>
      <c r="N1356">
        <f t="shared" si="42"/>
        <v>-0.69679164753546008</v>
      </c>
      <c r="O1356">
        <f t="shared" si="43"/>
        <v>-0.30907372330819621</v>
      </c>
    </row>
    <row r="1357" spans="1:15">
      <c r="A1357">
        <v>7128</v>
      </c>
      <c r="B1357">
        <v>4</v>
      </c>
      <c r="C1357">
        <v>0</v>
      </c>
      <c r="D1357">
        <v>5</v>
      </c>
      <c r="E1357">
        <v>0</v>
      </c>
      <c r="F1357">
        <v>1</v>
      </c>
      <c r="G1357">
        <v>5</v>
      </c>
      <c r="H1357" t="s">
        <v>12</v>
      </c>
      <c r="I1357">
        <v>42997</v>
      </c>
      <c r="J1357">
        <v>1</v>
      </c>
      <c r="K1357">
        <v>1</v>
      </c>
      <c r="L1357">
        <v>1</v>
      </c>
      <c r="M1357">
        <v>0</v>
      </c>
      <c r="N1357">
        <f t="shared" si="42"/>
        <v>-0.41918540430498102</v>
      </c>
      <c r="O1357">
        <f t="shared" si="43"/>
        <v>-0.19479515307915937</v>
      </c>
    </row>
    <row r="1358" spans="1:15">
      <c r="A1358">
        <v>7129</v>
      </c>
      <c r="B1358">
        <v>686</v>
      </c>
      <c r="C1358">
        <v>17</v>
      </c>
      <c r="D1358">
        <v>142</v>
      </c>
      <c r="E1358">
        <v>23</v>
      </c>
      <c r="F1358">
        <v>26</v>
      </c>
      <c r="G1358">
        <v>35</v>
      </c>
      <c r="H1358" t="s">
        <v>11</v>
      </c>
      <c r="I1358">
        <v>54693</v>
      </c>
      <c r="J1358">
        <v>0</v>
      </c>
      <c r="K1358">
        <v>1</v>
      </c>
      <c r="L1358">
        <v>0</v>
      </c>
      <c r="M1358">
        <v>1</v>
      </c>
      <c r="N1358">
        <f t="shared" si="42"/>
        <v>0.12196169916563265</v>
      </c>
      <c r="O1358">
        <f t="shared" si="43"/>
        <v>0.46605721036583003</v>
      </c>
    </row>
    <row r="1359" spans="1:15">
      <c r="A1359">
        <v>7141</v>
      </c>
      <c r="B1359">
        <v>88</v>
      </c>
      <c r="C1359">
        <v>10</v>
      </c>
      <c r="D1359">
        <v>46</v>
      </c>
      <c r="E1359">
        <v>2</v>
      </c>
      <c r="F1359">
        <v>3</v>
      </c>
      <c r="G1359">
        <v>64</v>
      </c>
      <c r="H1359" t="s">
        <v>12</v>
      </c>
      <c r="I1359">
        <v>21888</v>
      </c>
      <c r="J1359">
        <v>1</v>
      </c>
      <c r="K1359">
        <v>0</v>
      </c>
      <c r="L1359">
        <v>1</v>
      </c>
      <c r="M1359">
        <v>0</v>
      </c>
      <c r="N1359">
        <f t="shared" si="42"/>
        <v>-1.3958504356970112</v>
      </c>
      <c r="O1359">
        <f t="shared" si="43"/>
        <v>-0.58172971842890653</v>
      </c>
    </row>
    <row r="1360" spans="1:15">
      <c r="A1360">
        <v>7143</v>
      </c>
      <c r="B1360">
        <v>209</v>
      </c>
      <c r="C1360">
        <v>162</v>
      </c>
      <c r="D1360">
        <v>209</v>
      </c>
      <c r="E1360">
        <v>41</v>
      </c>
      <c r="F1360">
        <v>162</v>
      </c>
      <c r="G1360">
        <v>37</v>
      </c>
      <c r="H1360" t="s">
        <v>11</v>
      </c>
      <c r="I1360">
        <v>74805</v>
      </c>
      <c r="J1360">
        <v>0</v>
      </c>
      <c r="K1360">
        <v>1</v>
      </c>
      <c r="L1360">
        <v>0</v>
      </c>
      <c r="M1360">
        <v>1</v>
      </c>
      <c r="N1360">
        <f t="shared" si="42"/>
        <v>1.0524978264741982</v>
      </c>
      <c r="O1360">
        <f t="shared" si="43"/>
        <v>0.81238902826129322</v>
      </c>
    </row>
    <row r="1361" spans="1:15">
      <c r="A1361">
        <v>7165</v>
      </c>
      <c r="B1361">
        <v>381</v>
      </c>
      <c r="C1361">
        <v>35</v>
      </c>
      <c r="D1361">
        <v>172</v>
      </c>
      <c r="E1361">
        <v>56</v>
      </c>
      <c r="F1361">
        <v>86</v>
      </c>
      <c r="G1361">
        <v>93</v>
      </c>
      <c r="H1361" t="s">
        <v>11</v>
      </c>
      <c r="I1361">
        <v>64474</v>
      </c>
      <c r="J1361">
        <v>0</v>
      </c>
      <c r="K1361">
        <v>1</v>
      </c>
      <c r="L1361">
        <v>0</v>
      </c>
      <c r="M1361">
        <v>1</v>
      </c>
      <c r="N1361">
        <f t="shared" si="42"/>
        <v>0.57450614333851846</v>
      </c>
      <c r="O1361">
        <f t="shared" si="43"/>
        <v>0.67890196303263672</v>
      </c>
    </row>
    <row r="1362" spans="1:15">
      <c r="A1362">
        <v>7181</v>
      </c>
      <c r="B1362">
        <v>35</v>
      </c>
      <c r="C1362">
        <v>0</v>
      </c>
      <c r="D1362">
        <v>13</v>
      </c>
      <c r="E1362">
        <v>2</v>
      </c>
      <c r="F1362">
        <v>0</v>
      </c>
      <c r="G1362">
        <v>2</v>
      </c>
      <c r="H1362" t="s">
        <v>11</v>
      </c>
      <c r="I1362">
        <v>30368</v>
      </c>
      <c r="J1362">
        <v>0</v>
      </c>
      <c r="K1362">
        <v>1</v>
      </c>
      <c r="L1362">
        <v>0</v>
      </c>
      <c r="M1362">
        <v>1</v>
      </c>
      <c r="N1362">
        <f t="shared" si="42"/>
        <v>-1.0035002785979343</v>
      </c>
      <c r="O1362">
        <f t="shared" si="43"/>
        <v>-0.15597130318115737</v>
      </c>
    </row>
    <row r="1363" spans="1:15">
      <c r="A1363">
        <v>7186</v>
      </c>
      <c r="B1363">
        <v>24</v>
      </c>
      <c r="C1363">
        <v>0</v>
      </c>
      <c r="D1363">
        <v>2</v>
      </c>
      <c r="E1363">
        <v>0</v>
      </c>
      <c r="F1363">
        <v>0</v>
      </c>
      <c r="G1363">
        <v>9</v>
      </c>
      <c r="H1363" t="s">
        <v>11</v>
      </c>
      <c r="I1363">
        <v>30843</v>
      </c>
      <c r="J1363">
        <v>1</v>
      </c>
      <c r="K1363">
        <v>1</v>
      </c>
      <c r="L1363">
        <v>0</v>
      </c>
      <c r="M1363">
        <v>1</v>
      </c>
      <c r="N1363">
        <f t="shared" si="42"/>
        <v>-0.98152311767552136</v>
      </c>
      <c r="O1363">
        <f t="shared" si="43"/>
        <v>-0.12671428717060843</v>
      </c>
    </row>
    <row r="1364" spans="1:15">
      <c r="A1364">
        <v>7192</v>
      </c>
      <c r="B1364">
        <v>172</v>
      </c>
      <c r="C1364">
        <v>73</v>
      </c>
      <c r="D1364">
        <v>93</v>
      </c>
      <c r="E1364">
        <v>95</v>
      </c>
      <c r="F1364">
        <v>78</v>
      </c>
      <c r="G1364">
        <v>34</v>
      </c>
      <c r="H1364" t="s">
        <v>11</v>
      </c>
      <c r="I1364">
        <v>65748</v>
      </c>
      <c r="J1364">
        <v>0</v>
      </c>
      <c r="K1364">
        <v>1</v>
      </c>
      <c r="L1364">
        <v>0</v>
      </c>
      <c r="M1364">
        <v>1</v>
      </c>
      <c r="N1364">
        <f t="shared" si="42"/>
        <v>0.63345120231779017</v>
      </c>
      <c r="O1364">
        <f t="shared" si="43"/>
        <v>0.70026141572306022</v>
      </c>
    </row>
    <row r="1365" spans="1:15">
      <c r="A1365">
        <v>7196</v>
      </c>
      <c r="B1365">
        <v>9</v>
      </c>
      <c r="C1365">
        <v>0</v>
      </c>
      <c r="D1365">
        <v>3</v>
      </c>
      <c r="E1365">
        <v>0</v>
      </c>
      <c r="F1365">
        <v>0</v>
      </c>
      <c r="G1365">
        <v>1</v>
      </c>
      <c r="H1365" t="s">
        <v>11</v>
      </c>
      <c r="I1365">
        <v>41145</v>
      </c>
      <c r="J1365">
        <v>1</v>
      </c>
      <c r="K1365">
        <v>1</v>
      </c>
      <c r="L1365">
        <v>0</v>
      </c>
      <c r="M1365">
        <v>1</v>
      </c>
      <c r="N1365">
        <f t="shared" si="42"/>
        <v>-0.50487319804878894</v>
      </c>
      <c r="O1365">
        <f t="shared" si="43"/>
        <v>7.8961386375187265E-2</v>
      </c>
    </row>
    <row r="1366" spans="1:15">
      <c r="A1366">
        <v>7214</v>
      </c>
      <c r="B1366">
        <v>792</v>
      </c>
      <c r="C1366">
        <v>0</v>
      </c>
      <c r="D1366">
        <v>275</v>
      </c>
      <c r="E1366">
        <v>45</v>
      </c>
      <c r="F1366">
        <v>45</v>
      </c>
      <c r="G1366">
        <v>126</v>
      </c>
      <c r="H1366" t="s">
        <v>11</v>
      </c>
      <c r="I1366">
        <v>62187</v>
      </c>
      <c r="J1366">
        <v>0</v>
      </c>
      <c r="K1366">
        <v>0</v>
      </c>
      <c r="L1366">
        <v>0</v>
      </c>
      <c r="M1366">
        <v>1</v>
      </c>
      <c r="N1366">
        <f t="shared" si="42"/>
        <v>0.4686918969605009</v>
      </c>
      <c r="O1366">
        <f t="shared" si="43"/>
        <v>0.85901431611626333</v>
      </c>
    </row>
    <row r="1367" spans="1:15">
      <c r="A1367">
        <v>7215</v>
      </c>
      <c r="B1367">
        <v>722</v>
      </c>
      <c r="C1367">
        <v>27</v>
      </c>
      <c r="D1367">
        <v>102</v>
      </c>
      <c r="E1367">
        <v>44</v>
      </c>
      <c r="F1367">
        <v>72</v>
      </c>
      <c r="G1367">
        <v>168</v>
      </c>
      <c r="H1367" t="s">
        <v>12</v>
      </c>
      <c r="I1367">
        <v>101970</v>
      </c>
      <c r="J1367">
        <v>0</v>
      </c>
      <c r="K1367">
        <v>0</v>
      </c>
      <c r="L1367">
        <v>1</v>
      </c>
      <c r="M1367">
        <v>0</v>
      </c>
      <c r="N1367">
        <f t="shared" si="42"/>
        <v>2.3093600927001918</v>
      </c>
      <c r="O1367">
        <f t="shared" si="43"/>
        <v>0.75993216000774488</v>
      </c>
    </row>
    <row r="1368" spans="1:15">
      <c r="A1368">
        <v>7232</v>
      </c>
      <c r="B1368">
        <v>55</v>
      </c>
      <c r="C1368">
        <v>0</v>
      </c>
      <c r="D1368">
        <v>6</v>
      </c>
      <c r="E1368">
        <v>2</v>
      </c>
      <c r="F1368">
        <v>0</v>
      </c>
      <c r="G1368">
        <v>4</v>
      </c>
      <c r="H1368" t="s">
        <v>12</v>
      </c>
      <c r="I1368">
        <v>42429</v>
      </c>
      <c r="J1368">
        <v>0</v>
      </c>
      <c r="K1368">
        <v>1</v>
      </c>
      <c r="L1368">
        <v>1</v>
      </c>
      <c r="M1368">
        <v>0</v>
      </c>
      <c r="N1368">
        <f t="shared" si="42"/>
        <v>-0.44546546199746639</v>
      </c>
      <c r="O1368">
        <f t="shared" si="43"/>
        <v>-0.24879957312099688</v>
      </c>
    </row>
    <row r="1369" spans="1:15">
      <c r="A1369">
        <v>7233</v>
      </c>
      <c r="B1369">
        <v>496</v>
      </c>
      <c r="C1369">
        <v>32</v>
      </c>
      <c r="D1369">
        <v>849</v>
      </c>
      <c r="E1369">
        <v>229</v>
      </c>
      <c r="F1369">
        <v>48</v>
      </c>
      <c r="G1369">
        <v>128</v>
      </c>
      <c r="H1369" t="s">
        <v>11</v>
      </c>
      <c r="I1369">
        <v>69209</v>
      </c>
      <c r="J1369">
        <v>0</v>
      </c>
      <c r="K1369">
        <v>0</v>
      </c>
      <c r="L1369">
        <v>0</v>
      </c>
      <c r="M1369">
        <v>1</v>
      </c>
      <c r="N1369">
        <f t="shared" si="42"/>
        <v>0.79358373695457152</v>
      </c>
      <c r="O1369">
        <f t="shared" si="43"/>
        <v>0.95386865495191875</v>
      </c>
    </row>
    <row r="1370" spans="1:15">
      <c r="A1370">
        <v>7235</v>
      </c>
      <c r="B1370">
        <v>2</v>
      </c>
      <c r="C1370">
        <v>5</v>
      </c>
      <c r="D1370">
        <v>12</v>
      </c>
      <c r="E1370">
        <v>4</v>
      </c>
      <c r="F1370">
        <v>8</v>
      </c>
      <c r="G1370">
        <v>7</v>
      </c>
      <c r="H1370" t="s">
        <v>11</v>
      </c>
      <c r="I1370">
        <v>17003</v>
      </c>
      <c r="J1370">
        <v>1</v>
      </c>
      <c r="K1370">
        <v>0</v>
      </c>
      <c r="L1370">
        <v>0</v>
      </c>
      <c r="M1370">
        <v>1</v>
      </c>
      <c r="N1370">
        <f t="shared" si="42"/>
        <v>-1.6218681853938262</v>
      </c>
      <c r="O1370">
        <f t="shared" si="43"/>
        <v>-0.36366303003455336</v>
      </c>
    </row>
    <row r="1371" spans="1:15">
      <c r="A1371">
        <v>7247</v>
      </c>
      <c r="B1371">
        <v>505</v>
      </c>
      <c r="C1371">
        <v>0</v>
      </c>
      <c r="D1371">
        <v>26</v>
      </c>
      <c r="E1371">
        <v>0</v>
      </c>
      <c r="F1371">
        <v>0</v>
      </c>
      <c r="G1371">
        <v>75</v>
      </c>
      <c r="H1371" t="s">
        <v>12</v>
      </c>
      <c r="I1371">
        <v>47916</v>
      </c>
      <c r="J1371">
        <v>0</v>
      </c>
      <c r="K1371">
        <v>1</v>
      </c>
      <c r="L1371">
        <v>1</v>
      </c>
      <c r="M1371">
        <v>0</v>
      </c>
      <c r="N1371">
        <f t="shared" si="42"/>
        <v>-0.19159455256319335</v>
      </c>
      <c r="O1371">
        <f t="shared" si="43"/>
        <v>-0.11117613507623274</v>
      </c>
    </row>
    <row r="1372" spans="1:15">
      <c r="A1372">
        <v>7250</v>
      </c>
      <c r="B1372">
        <v>344</v>
      </c>
      <c r="C1372">
        <v>35</v>
      </c>
      <c r="D1372">
        <v>178</v>
      </c>
      <c r="E1372">
        <v>15</v>
      </c>
      <c r="F1372">
        <v>23</v>
      </c>
      <c r="G1372">
        <v>17</v>
      </c>
      <c r="H1372" t="s">
        <v>11</v>
      </c>
      <c r="I1372">
        <v>57867</v>
      </c>
      <c r="J1372">
        <v>1</v>
      </c>
      <c r="K1372">
        <v>0</v>
      </c>
      <c r="L1372">
        <v>0</v>
      </c>
      <c r="M1372">
        <v>1</v>
      </c>
      <c r="N1372">
        <f t="shared" si="42"/>
        <v>0.26881540183455604</v>
      </c>
      <c r="O1372">
        <f t="shared" si="43"/>
        <v>0.54403895147745152</v>
      </c>
    </row>
    <row r="1373" spans="1:15">
      <c r="A1373">
        <v>7254</v>
      </c>
      <c r="B1373">
        <v>39</v>
      </c>
      <c r="C1373">
        <v>0</v>
      </c>
      <c r="D1373">
        <v>56</v>
      </c>
      <c r="E1373">
        <v>20</v>
      </c>
      <c r="F1373">
        <v>8</v>
      </c>
      <c r="G1373">
        <v>14</v>
      </c>
      <c r="H1373" t="s">
        <v>11</v>
      </c>
      <c r="I1373">
        <v>38361</v>
      </c>
      <c r="J1373">
        <v>1</v>
      </c>
      <c r="K1373">
        <v>0</v>
      </c>
      <c r="L1373">
        <v>0</v>
      </c>
      <c r="M1373">
        <v>1</v>
      </c>
      <c r="N1373">
        <f t="shared" si="42"/>
        <v>-0.6336824949077311</v>
      </c>
      <c r="O1373">
        <f t="shared" si="43"/>
        <v>2.3093204366014624E-2</v>
      </c>
    </row>
    <row r="1374" spans="1:15">
      <c r="A1374">
        <v>7264</v>
      </c>
      <c r="B1374">
        <v>12</v>
      </c>
      <c r="C1374">
        <v>0</v>
      </c>
      <c r="D1374">
        <v>4</v>
      </c>
      <c r="E1374">
        <v>0</v>
      </c>
      <c r="F1374">
        <v>0</v>
      </c>
      <c r="G1374">
        <v>1</v>
      </c>
      <c r="H1374" t="s">
        <v>12</v>
      </c>
      <c r="I1374">
        <v>52195</v>
      </c>
      <c r="J1374">
        <v>2</v>
      </c>
      <c r="K1374">
        <v>1</v>
      </c>
      <c r="L1374">
        <v>1</v>
      </c>
      <c r="M1374">
        <v>0</v>
      </c>
      <c r="N1374">
        <f t="shared" si="42"/>
        <v>6.3849665673432398E-3</v>
      </c>
      <c r="O1374">
        <f t="shared" si="43"/>
        <v>2.1586109566753167E-3</v>
      </c>
    </row>
    <row r="1375" spans="1:15">
      <c r="A1375">
        <v>7270</v>
      </c>
      <c r="B1375">
        <v>908</v>
      </c>
      <c r="C1375">
        <v>48</v>
      </c>
      <c r="D1375">
        <v>217</v>
      </c>
      <c r="E1375">
        <v>32</v>
      </c>
      <c r="F1375">
        <v>12</v>
      </c>
      <c r="G1375">
        <v>24</v>
      </c>
      <c r="H1375" t="s">
        <v>12</v>
      </c>
      <c r="I1375">
        <v>56981</v>
      </c>
      <c r="J1375">
        <v>0</v>
      </c>
      <c r="K1375">
        <v>0</v>
      </c>
      <c r="L1375">
        <v>1</v>
      </c>
      <c r="M1375">
        <v>0</v>
      </c>
      <c r="N1375">
        <f t="shared" si="42"/>
        <v>0.2278222132508553</v>
      </c>
      <c r="O1375">
        <f t="shared" si="43"/>
        <v>0.18395054464296956</v>
      </c>
    </row>
    <row r="1376" spans="1:15">
      <c r="A1376">
        <v>7274</v>
      </c>
      <c r="B1376">
        <v>736</v>
      </c>
      <c r="C1376">
        <v>163</v>
      </c>
      <c r="D1376">
        <v>818</v>
      </c>
      <c r="E1376">
        <v>212</v>
      </c>
      <c r="F1376">
        <v>163</v>
      </c>
      <c r="G1376">
        <v>61</v>
      </c>
      <c r="H1376" t="s">
        <v>11</v>
      </c>
      <c r="I1376">
        <v>78618</v>
      </c>
      <c r="J1376">
        <v>0</v>
      </c>
      <c r="K1376">
        <v>0</v>
      </c>
      <c r="L1376">
        <v>0</v>
      </c>
      <c r="M1376">
        <v>1</v>
      </c>
      <c r="N1376">
        <f t="shared" si="42"/>
        <v>1.2289165940471676</v>
      </c>
      <c r="O1376">
        <f t="shared" si="43"/>
        <v>0.99613035427586283</v>
      </c>
    </row>
    <row r="1377" spans="1:15">
      <c r="A1377">
        <v>7275</v>
      </c>
      <c r="B1377">
        <v>79</v>
      </c>
      <c r="C1377">
        <v>1</v>
      </c>
      <c r="D1377">
        <v>31</v>
      </c>
      <c r="E1377">
        <v>4</v>
      </c>
      <c r="F1377">
        <v>4</v>
      </c>
      <c r="G1377">
        <v>12</v>
      </c>
      <c r="H1377" t="s">
        <v>12</v>
      </c>
      <c r="I1377">
        <v>33316</v>
      </c>
      <c r="J1377">
        <v>1</v>
      </c>
      <c r="K1377">
        <v>1</v>
      </c>
      <c r="L1377">
        <v>1</v>
      </c>
      <c r="M1377">
        <v>0</v>
      </c>
      <c r="N1377">
        <f t="shared" si="42"/>
        <v>-0.86710307775735895</v>
      </c>
      <c r="O1377">
        <f t="shared" si="43"/>
        <v>-0.37071470837380632</v>
      </c>
    </row>
    <row r="1378" spans="1:15">
      <c r="A1378">
        <v>7279</v>
      </c>
      <c r="B1378">
        <v>260</v>
      </c>
      <c r="C1378">
        <v>86</v>
      </c>
      <c r="D1378">
        <v>559</v>
      </c>
      <c r="E1378">
        <v>63</v>
      </c>
      <c r="F1378">
        <v>9</v>
      </c>
      <c r="G1378">
        <v>67</v>
      </c>
      <c r="H1378" t="s">
        <v>11</v>
      </c>
      <c r="I1378">
        <v>69476</v>
      </c>
      <c r="J1378">
        <v>0</v>
      </c>
      <c r="K1378">
        <v>0</v>
      </c>
      <c r="L1378">
        <v>0</v>
      </c>
      <c r="M1378">
        <v>1</v>
      </c>
      <c r="N1378">
        <f t="shared" si="42"/>
        <v>0.8059372147783278</v>
      </c>
      <c r="O1378">
        <f t="shared" si="43"/>
        <v>0.95610356936654883</v>
      </c>
    </row>
    <row r="1379" spans="1:15">
      <c r="A1379">
        <v>7284</v>
      </c>
      <c r="B1379">
        <v>10</v>
      </c>
      <c r="C1379">
        <v>0</v>
      </c>
      <c r="D1379">
        <v>7</v>
      </c>
      <c r="E1379">
        <v>2</v>
      </c>
      <c r="F1379">
        <v>0</v>
      </c>
      <c r="G1379">
        <v>1</v>
      </c>
      <c r="H1379" t="s">
        <v>11</v>
      </c>
      <c r="I1379">
        <v>48686</v>
      </c>
      <c r="J1379">
        <v>1</v>
      </c>
      <c r="K1379">
        <v>2</v>
      </c>
      <c r="L1379">
        <v>0</v>
      </c>
      <c r="M1379">
        <v>1</v>
      </c>
      <c r="N1379">
        <f t="shared" si="42"/>
        <v>-0.15596841801528188</v>
      </c>
      <c r="O1379">
        <f t="shared" si="43"/>
        <v>0.17575895327154553</v>
      </c>
    </row>
    <row r="1380" spans="1:15">
      <c r="A1380">
        <v>7286</v>
      </c>
      <c r="B1380">
        <v>13</v>
      </c>
      <c r="C1380">
        <v>6</v>
      </c>
      <c r="D1380">
        <v>15</v>
      </c>
      <c r="E1380">
        <v>3</v>
      </c>
      <c r="F1380">
        <v>5</v>
      </c>
      <c r="G1380">
        <v>13</v>
      </c>
      <c r="H1380" t="s">
        <v>11</v>
      </c>
      <c r="I1380">
        <v>41728</v>
      </c>
      <c r="J1380">
        <v>1</v>
      </c>
      <c r="K1380">
        <v>0</v>
      </c>
      <c r="L1380">
        <v>0</v>
      </c>
      <c r="M1380">
        <v>1</v>
      </c>
      <c r="N1380">
        <f t="shared" si="42"/>
        <v>-0.47789912474822738</v>
      </c>
      <c r="O1380">
        <f t="shared" si="43"/>
        <v>0.11039455406282746</v>
      </c>
    </row>
    <row r="1381" spans="1:15">
      <c r="A1381">
        <v>7290</v>
      </c>
      <c r="B1381">
        <v>347</v>
      </c>
      <c r="C1381">
        <v>44</v>
      </c>
      <c r="D1381">
        <v>534</v>
      </c>
      <c r="E1381">
        <v>17</v>
      </c>
      <c r="F1381">
        <v>0</v>
      </c>
      <c r="G1381">
        <v>26</v>
      </c>
      <c r="H1381" t="s">
        <v>12</v>
      </c>
      <c r="I1381">
        <v>70596</v>
      </c>
      <c r="J1381">
        <v>0</v>
      </c>
      <c r="K1381">
        <v>0</v>
      </c>
      <c r="L1381">
        <v>1</v>
      </c>
      <c r="M1381">
        <v>0</v>
      </c>
      <c r="N1381">
        <f t="shared" si="42"/>
        <v>0.85775704684801723</v>
      </c>
      <c r="O1381">
        <f t="shared" si="43"/>
        <v>0.53915534403361065</v>
      </c>
    </row>
    <row r="1382" spans="1:15">
      <c r="A1382">
        <v>7297</v>
      </c>
      <c r="B1382">
        <v>5</v>
      </c>
      <c r="C1382">
        <v>3</v>
      </c>
      <c r="D1382">
        <v>10</v>
      </c>
      <c r="E1382">
        <v>12</v>
      </c>
      <c r="F1382">
        <v>7</v>
      </c>
      <c r="G1382">
        <v>20</v>
      </c>
      <c r="H1382" t="s">
        <v>12</v>
      </c>
      <c r="I1382">
        <v>7500</v>
      </c>
      <c r="J1382">
        <v>1</v>
      </c>
      <c r="K1382">
        <v>0</v>
      </c>
      <c r="L1382">
        <v>1</v>
      </c>
      <c r="M1382">
        <v>0</v>
      </c>
      <c r="N1382">
        <f t="shared" si="42"/>
        <v>-2.0615502069636999</v>
      </c>
      <c r="O1382">
        <f t="shared" si="43"/>
        <v>-0.68288430434933434</v>
      </c>
    </row>
    <row r="1383" spans="1:15">
      <c r="A1383">
        <v>7300</v>
      </c>
      <c r="B1383">
        <v>448</v>
      </c>
      <c r="C1383">
        <v>4</v>
      </c>
      <c r="D1383">
        <v>34</v>
      </c>
      <c r="E1383">
        <v>6</v>
      </c>
      <c r="F1383">
        <v>4</v>
      </c>
      <c r="G1383">
        <v>39</v>
      </c>
      <c r="H1383" t="s">
        <v>12</v>
      </c>
      <c r="I1383">
        <v>69142</v>
      </c>
      <c r="J1383">
        <v>0</v>
      </c>
      <c r="K1383">
        <v>1</v>
      </c>
      <c r="L1383">
        <v>1</v>
      </c>
      <c r="M1383">
        <v>0</v>
      </c>
      <c r="N1383">
        <f t="shared" si="42"/>
        <v>0.7904838005718311</v>
      </c>
      <c r="O1383">
        <f t="shared" si="43"/>
        <v>0.40404744827707229</v>
      </c>
    </row>
    <row r="1384" spans="1:15">
      <c r="A1384">
        <v>7301</v>
      </c>
      <c r="B1384">
        <v>4</v>
      </c>
      <c r="C1384">
        <v>22</v>
      </c>
      <c r="D1384">
        <v>11</v>
      </c>
      <c r="E1384">
        <v>3</v>
      </c>
      <c r="F1384">
        <v>7</v>
      </c>
      <c r="G1384">
        <v>32</v>
      </c>
      <c r="H1384" t="s">
        <v>12</v>
      </c>
      <c r="I1384">
        <v>23616</v>
      </c>
      <c r="J1384">
        <v>1</v>
      </c>
      <c r="K1384">
        <v>0</v>
      </c>
      <c r="L1384">
        <v>1</v>
      </c>
      <c r="M1384">
        <v>0</v>
      </c>
      <c r="N1384">
        <f t="shared" si="42"/>
        <v>-1.3158998376466333</v>
      </c>
      <c r="O1384">
        <f t="shared" si="43"/>
        <v>-0.56411621665279565</v>
      </c>
    </row>
    <row r="1385" spans="1:15">
      <c r="A1385">
        <v>7313</v>
      </c>
      <c r="B1385">
        <v>570</v>
      </c>
      <c r="C1385">
        <v>73</v>
      </c>
      <c r="D1385">
        <v>614</v>
      </c>
      <c r="E1385">
        <v>133</v>
      </c>
      <c r="F1385">
        <v>102</v>
      </c>
      <c r="G1385">
        <v>73</v>
      </c>
      <c r="H1385" t="s">
        <v>12</v>
      </c>
      <c r="I1385">
        <v>74859</v>
      </c>
      <c r="J1385">
        <v>0</v>
      </c>
      <c r="K1385">
        <v>0</v>
      </c>
      <c r="L1385">
        <v>1</v>
      </c>
      <c r="M1385">
        <v>0</v>
      </c>
      <c r="N1385">
        <f t="shared" si="42"/>
        <v>1.0549962826632726</v>
      </c>
      <c r="O1385">
        <f t="shared" si="43"/>
        <v>0.60102462743331131</v>
      </c>
    </row>
    <row r="1386" spans="1:15">
      <c r="A1386">
        <v>7325</v>
      </c>
      <c r="B1386">
        <v>23</v>
      </c>
      <c r="C1386">
        <v>0</v>
      </c>
      <c r="D1386">
        <v>11</v>
      </c>
      <c r="E1386">
        <v>2</v>
      </c>
      <c r="F1386">
        <v>1</v>
      </c>
      <c r="G1386">
        <v>3</v>
      </c>
      <c r="H1386" t="s">
        <v>11</v>
      </c>
      <c r="I1386">
        <v>38197</v>
      </c>
      <c r="J1386">
        <v>1</v>
      </c>
      <c r="K1386">
        <v>0</v>
      </c>
      <c r="L1386">
        <v>0</v>
      </c>
      <c r="M1386">
        <v>1</v>
      </c>
      <c r="N1386">
        <f t="shared" si="42"/>
        <v>-0.64127039888936421</v>
      </c>
      <c r="O1386">
        <f t="shared" si="43"/>
        <v>1.9000181796525222E-2</v>
      </c>
    </row>
    <row r="1387" spans="1:15">
      <c r="A1387">
        <v>7326</v>
      </c>
      <c r="B1387">
        <v>34</v>
      </c>
      <c r="C1387">
        <v>1</v>
      </c>
      <c r="D1387">
        <v>19</v>
      </c>
      <c r="E1387">
        <v>2</v>
      </c>
      <c r="F1387">
        <v>7</v>
      </c>
      <c r="G1387">
        <v>0</v>
      </c>
      <c r="H1387" t="s">
        <v>11</v>
      </c>
      <c r="I1387">
        <v>56850</v>
      </c>
      <c r="J1387">
        <v>0</v>
      </c>
      <c r="K1387">
        <v>1</v>
      </c>
      <c r="L1387">
        <v>0</v>
      </c>
      <c r="M1387">
        <v>1</v>
      </c>
      <c r="N1387">
        <f t="shared" si="42"/>
        <v>0.22176114360698987</v>
      </c>
      <c r="O1387">
        <f t="shared" si="43"/>
        <v>0.51987376696053555</v>
      </c>
    </row>
    <row r="1388" spans="1:15">
      <c r="A1388">
        <v>7327</v>
      </c>
      <c r="B1388">
        <v>21</v>
      </c>
      <c r="C1388">
        <v>5</v>
      </c>
      <c r="D1388">
        <v>3</v>
      </c>
      <c r="E1388">
        <v>10</v>
      </c>
      <c r="F1388">
        <v>1</v>
      </c>
      <c r="G1388">
        <v>7</v>
      </c>
      <c r="H1388" t="s">
        <v>11</v>
      </c>
      <c r="I1388">
        <v>36732</v>
      </c>
      <c r="J1388">
        <v>1</v>
      </c>
      <c r="K1388">
        <v>1</v>
      </c>
      <c r="L1388">
        <v>0</v>
      </c>
      <c r="M1388">
        <v>1</v>
      </c>
      <c r="N1388">
        <f t="shared" si="42"/>
        <v>-0.70905258994480624</v>
      </c>
      <c r="O1388">
        <f t="shared" si="43"/>
        <v>-1.4227668791453553E-2</v>
      </c>
    </row>
    <row r="1389" spans="1:15">
      <c r="A1389">
        <v>7342</v>
      </c>
      <c r="B1389">
        <v>341</v>
      </c>
      <c r="C1389">
        <v>142</v>
      </c>
      <c r="D1389">
        <v>113</v>
      </c>
      <c r="E1389">
        <v>259</v>
      </c>
      <c r="F1389">
        <v>151</v>
      </c>
      <c r="G1389">
        <v>66</v>
      </c>
      <c r="H1389" t="s">
        <v>12</v>
      </c>
      <c r="I1389">
        <v>59184</v>
      </c>
      <c r="J1389">
        <v>0</v>
      </c>
      <c r="K1389">
        <v>1</v>
      </c>
      <c r="L1389">
        <v>1</v>
      </c>
      <c r="M1389">
        <v>0</v>
      </c>
      <c r="N1389">
        <f t="shared" si="42"/>
        <v>0.32974997222364616</v>
      </c>
      <c r="O1389">
        <f t="shared" si="43"/>
        <v>0.18804708693016384</v>
      </c>
    </row>
    <row r="1390" spans="1:15">
      <c r="A1390">
        <v>7348</v>
      </c>
      <c r="B1390">
        <v>336</v>
      </c>
      <c r="C1390">
        <v>130</v>
      </c>
      <c r="D1390">
        <v>411</v>
      </c>
      <c r="E1390">
        <v>240</v>
      </c>
      <c r="F1390">
        <v>32</v>
      </c>
      <c r="G1390">
        <v>43</v>
      </c>
      <c r="H1390" t="s">
        <v>12</v>
      </c>
      <c r="I1390">
        <v>71691</v>
      </c>
      <c r="J1390">
        <v>0</v>
      </c>
      <c r="K1390">
        <v>0</v>
      </c>
      <c r="L1390">
        <v>1</v>
      </c>
      <c r="M1390">
        <v>0</v>
      </c>
      <c r="N1390">
        <f t="shared" si="42"/>
        <v>0.90842018623757959</v>
      </c>
      <c r="O1390">
        <f t="shared" si="43"/>
        <v>0.55682811619595085</v>
      </c>
    </row>
    <row r="1391" spans="1:15">
      <c r="A1391">
        <v>7349</v>
      </c>
      <c r="B1391">
        <v>6</v>
      </c>
      <c r="C1391">
        <v>17</v>
      </c>
      <c r="D1391">
        <v>16</v>
      </c>
      <c r="E1391">
        <v>6</v>
      </c>
      <c r="F1391">
        <v>16</v>
      </c>
      <c r="G1391">
        <v>42</v>
      </c>
      <c r="H1391" t="s">
        <v>11</v>
      </c>
      <c r="I1391">
        <v>9722</v>
      </c>
      <c r="J1391">
        <v>1</v>
      </c>
      <c r="K1391">
        <v>0</v>
      </c>
      <c r="L1391">
        <v>0</v>
      </c>
      <c r="M1391">
        <v>1</v>
      </c>
      <c r="N1391">
        <f t="shared" si="42"/>
        <v>-1.9587433615540124</v>
      </c>
      <c r="O1391">
        <f t="shared" si="43"/>
        <v>-0.439385561009625</v>
      </c>
    </row>
    <row r="1392" spans="1:15">
      <c r="A1392">
        <v>7352</v>
      </c>
      <c r="B1392">
        <v>161</v>
      </c>
      <c r="C1392">
        <v>28</v>
      </c>
      <c r="D1392">
        <v>136</v>
      </c>
      <c r="E1392">
        <v>32</v>
      </c>
      <c r="F1392">
        <v>3</v>
      </c>
      <c r="G1392">
        <v>45</v>
      </c>
      <c r="H1392" t="s">
        <v>11</v>
      </c>
      <c r="I1392">
        <v>55267</v>
      </c>
      <c r="J1392">
        <v>0</v>
      </c>
      <c r="K1392">
        <v>1</v>
      </c>
      <c r="L1392">
        <v>0</v>
      </c>
      <c r="M1392">
        <v>1</v>
      </c>
      <c r="N1392">
        <f t="shared" si="42"/>
        <v>0.14851936310134847</v>
      </c>
      <c r="O1392">
        <f t="shared" si="43"/>
        <v>0.48069492327547891</v>
      </c>
    </row>
    <row r="1393" spans="1:15">
      <c r="A1393">
        <v>7369</v>
      </c>
      <c r="B1393">
        <v>25</v>
      </c>
      <c r="C1393">
        <v>6</v>
      </c>
      <c r="D1393">
        <v>25</v>
      </c>
      <c r="E1393">
        <v>6</v>
      </c>
      <c r="F1393">
        <v>0</v>
      </c>
      <c r="G1393">
        <v>0</v>
      </c>
      <c r="H1393" t="s">
        <v>11</v>
      </c>
      <c r="I1393">
        <v>36959</v>
      </c>
      <c r="J1393">
        <v>1</v>
      </c>
      <c r="K1393">
        <v>0</v>
      </c>
      <c r="L1393">
        <v>0</v>
      </c>
      <c r="M1393">
        <v>1</v>
      </c>
      <c r="N1393">
        <f t="shared" si="42"/>
        <v>-0.69854982040925306</v>
      </c>
      <c r="O1393">
        <f t="shared" si="43"/>
        <v>-1.1367599095787859E-2</v>
      </c>
    </row>
    <row r="1394" spans="1:15">
      <c r="A1394">
        <v>7373</v>
      </c>
      <c r="B1394">
        <v>96</v>
      </c>
      <c r="C1394">
        <v>12</v>
      </c>
      <c r="D1394">
        <v>96</v>
      </c>
      <c r="E1394">
        <v>33</v>
      </c>
      <c r="F1394">
        <v>22</v>
      </c>
      <c r="G1394">
        <v>43</v>
      </c>
      <c r="H1394" t="s">
        <v>12</v>
      </c>
      <c r="I1394">
        <v>46610</v>
      </c>
      <c r="J1394">
        <v>0</v>
      </c>
      <c r="K1394">
        <v>2</v>
      </c>
      <c r="L1394">
        <v>1</v>
      </c>
      <c r="M1394">
        <v>0</v>
      </c>
      <c r="N1394">
        <f t="shared" si="42"/>
        <v>-0.25202017817302763</v>
      </c>
      <c r="O1394">
        <f t="shared" si="43"/>
        <v>-9.2747486655982037E-2</v>
      </c>
    </row>
    <row r="1395" spans="1:15">
      <c r="A1395">
        <v>7375</v>
      </c>
      <c r="B1395">
        <v>297</v>
      </c>
      <c r="C1395">
        <v>7</v>
      </c>
      <c r="D1395">
        <v>79</v>
      </c>
      <c r="E1395">
        <v>0</v>
      </c>
      <c r="F1395">
        <v>11</v>
      </c>
      <c r="G1395">
        <v>182</v>
      </c>
      <c r="H1395" t="s">
        <v>11</v>
      </c>
      <c r="I1395">
        <v>51369</v>
      </c>
      <c r="J1395">
        <v>0</v>
      </c>
      <c r="K1395">
        <v>1</v>
      </c>
      <c r="L1395">
        <v>0</v>
      </c>
      <c r="M1395">
        <v>1</v>
      </c>
      <c r="N1395">
        <f t="shared" si="42"/>
        <v>-3.1832159584052701E-2</v>
      </c>
      <c r="O1395">
        <f t="shared" si="43"/>
        <v>0.37763458969902985</v>
      </c>
    </row>
    <row r="1396" spans="1:15">
      <c r="A1396">
        <v>7378</v>
      </c>
      <c r="B1396">
        <v>393</v>
      </c>
      <c r="C1396">
        <v>5</v>
      </c>
      <c r="D1396">
        <v>136</v>
      </c>
      <c r="E1396">
        <v>7</v>
      </c>
      <c r="F1396">
        <v>5</v>
      </c>
      <c r="G1396">
        <v>27</v>
      </c>
      <c r="H1396" t="s">
        <v>11</v>
      </c>
      <c r="I1396">
        <v>42021</v>
      </c>
      <c r="J1396">
        <v>1</v>
      </c>
      <c r="K1396">
        <v>0</v>
      </c>
      <c r="L1396">
        <v>0</v>
      </c>
      <c r="M1396">
        <v>1</v>
      </c>
      <c r="N1396">
        <f t="shared" si="42"/>
        <v>-0.46434268653713895</v>
      </c>
      <c r="O1396">
        <f t="shared" si="43"/>
        <v>0.11825440403979606</v>
      </c>
    </row>
    <row r="1397" spans="1:15">
      <c r="A1397">
        <v>7381</v>
      </c>
      <c r="B1397">
        <v>797</v>
      </c>
      <c r="C1397">
        <v>153</v>
      </c>
      <c r="D1397">
        <v>293</v>
      </c>
      <c r="E1397">
        <v>72</v>
      </c>
      <c r="F1397">
        <v>97</v>
      </c>
      <c r="G1397">
        <v>30</v>
      </c>
      <c r="H1397" t="s">
        <v>12</v>
      </c>
      <c r="I1397">
        <v>75693</v>
      </c>
      <c r="J1397">
        <v>0</v>
      </c>
      <c r="K1397">
        <v>0</v>
      </c>
      <c r="L1397">
        <v>1</v>
      </c>
      <c r="M1397">
        <v>0</v>
      </c>
      <c r="N1397">
        <f t="shared" si="42"/>
        <v>1.093583550472309</v>
      </c>
      <c r="O1397">
        <f t="shared" si="43"/>
        <v>0.6111334700440243</v>
      </c>
    </row>
    <row r="1398" spans="1:15">
      <c r="A1398">
        <v>7384</v>
      </c>
      <c r="B1398">
        <v>113</v>
      </c>
      <c r="C1398">
        <v>61</v>
      </c>
      <c r="D1398">
        <v>204</v>
      </c>
      <c r="E1398">
        <v>34</v>
      </c>
      <c r="F1398">
        <v>26</v>
      </c>
      <c r="G1398">
        <v>47</v>
      </c>
      <c r="H1398" t="s">
        <v>11</v>
      </c>
      <c r="I1398">
        <v>39767</v>
      </c>
      <c r="J1398">
        <v>0</v>
      </c>
      <c r="K1398">
        <v>0</v>
      </c>
      <c r="L1398">
        <v>0</v>
      </c>
      <c r="M1398">
        <v>1</v>
      </c>
      <c r="N1398">
        <f t="shared" si="42"/>
        <v>-0.56863009857738889</v>
      </c>
      <c r="O1398">
        <f t="shared" si="43"/>
        <v>7.7939205682230631E-2</v>
      </c>
    </row>
    <row r="1399" spans="1:15">
      <c r="A1399">
        <v>7393</v>
      </c>
      <c r="B1399">
        <v>56</v>
      </c>
      <c r="C1399">
        <v>5</v>
      </c>
      <c r="D1399">
        <v>24</v>
      </c>
      <c r="E1399">
        <v>4</v>
      </c>
      <c r="F1399">
        <v>0</v>
      </c>
      <c r="G1399">
        <v>3</v>
      </c>
      <c r="H1399" t="s">
        <v>11</v>
      </c>
      <c r="I1399">
        <v>41580</v>
      </c>
      <c r="J1399">
        <v>1</v>
      </c>
      <c r="K1399">
        <v>1</v>
      </c>
      <c r="L1399">
        <v>0</v>
      </c>
      <c r="M1399">
        <v>1</v>
      </c>
      <c r="N1399">
        <f t="shared" si="42"/>
        <v>-0.48474674541457918</v>
      </c>
      <c r="O1399">
        <f t="shared" si="43"/>
        <v>8.8470776597196224E-2</v>
      </c>
    </row>
    <row r="1400" spans="1:15">
      <c r="A1400">
        <v>7396</v>
      </c>
      <c r="B1400">
        <v>342</v>
      </c>
      <c r="C1400">
        <v>51</v>
      </c>
      <c r="D1400">
        <v>936</v>
      </c>
      <c r="E1400">
        <v>207</v>
      </c>
      <c r="F1400">
        <v>35</v>
      </c>
      <c r="G1400">
        <v>26</v>
      </c>
      <c r="H1400" t="s">
        <v>11</v>
      </c>
      <c r="I1400">
        <v>80398</v>
      </c>
      <c r="J1400">
        <v>0</v>
      </c>
      <c r="K1400">
        <v>0</v>
      </c>
      <c r="L1400">
        <v>0</v>
      </c>
      <c r="M1400">
        <v>1</v>
      </c>
      <c r="N1400">
        <f t="shared" si="42"/>
        <v>1.3112731128722097</v>
      </c>
      <c r="O1400">
        <f t="shared" si="43"/>
        <v>0.99840569254109257</v>
      </c>
    </row>
    <row r="1401" spans="1:15">
      <c r="A1401">
        <v>7397</v>
      </c>
      <c r="B1401">
        <v>494</v>
      </c>
      <c r="C1401">
        <v>5</v>
      </c>
      <c r="D1401">
        <v>82</v>
      </c>
      <c r="E1401">
        <v>7</v>
      </c>
      <c r="F1401">
        <v>0</v>
      </c>
      <c r="G1401">
        <v>100</v>
      </c>
      <c r="H1401" t="s">
        <v>12</v>
      </c>
      <c r="I1401">
        <v>49090</v>
      </c>
      <c r="J1401">
        <v>0</v>
      </c>
      <c r="K1401">
        <v>1</v>
      </c>
      <c r="L1401">
        <v>1</v>
      </c>
      <c r="M1401">
        <v>0</v>
      </c>
      <c r="N1401">
        <f t="shared" si="42"/>
        <v>-0.13727626430442963</v>
      </c>
      <c r="O1401">
        <f t="shared" si="43"/>
        <v>-8.0008630840465791E-2</v>
      </c>
    </row>
    <row r="1402" spans="1:15">
      <c r="A1402">
        <v>7408</v>
      </c>
      <c r="B1402">
        <v>216</v>
      </c>
      <c r="C1402">
        <v>2</v>
      </c>
      <c r="D1402">
        <v>6</v>
      </c>
      <c r="E1402">
        <v>0</v>
      </c>
      <c r="F1402">
        <v>0</v>
      </c>
      <c r="G1402">
        <v>9</v>
      </c>
      <c r="H1402" t="s">
        <v>11</v>
      </c>
      <c r="I1402">
        <v>54549</v>
      </c>
      <c r="J1402">
        <v>0</v>
      </c>
      <c r="K1402">
        <v>1</v>
      </c>
      <c r="L1402">
        <v>0</v>
      </c>
      <c r="M1402">
        <v>1</v>
      </c>
      <c r="N1402">
        <f t="shared" si="42"/>
        <v>0.11529914932810116</v>
      </c>
      <c r="O1402">
        <f t="shared" si="43"/>
        <v>0.46235166093932889</v>
      </c>
    </row>
    <row r="1403" spans="1:15">
      <c r="A1403">
        <v>7409</v>
      </c>
      <c r="B1403">
        <v>211</v>
      </c>
      <c r="C1403">
        <v>2</v>
      </c>
      <c r="D1403">
        <v>30</v>
      </c>
      <c r="E1403">
        <v>7</v>
      </c>
      <c r="F1403">
        <v>7</v>
      </c>
      <c r="G1403">
        <v>10</v>
      </c>
      <c r="H1403" t="s">
        <v>11</v>
      </c>
      <c r="I1403">
        <v>53187</v>
      </c>
      <c r="J1403">
        <v>1</v>
      </c>
      <c r="K1403">
        <v>0</v>
      </c>
      <c r="L1403">
        <v>0</v>
      </c>
      <c r="M1403">
        <v>1</v>
      </c>
      <c r="N1403">
        <f t="shared" si="42"/>
        <v>5.2282532114782433E-2</v>
      </c>
      <c r="O1403">
        <f t="shared" si="43"/>
        <v>0.42669368268829977</v>
      </c>
    </row>
    <row r="1404" spans="1:15">
      <c r="A1404">
        <v>7411</v>
      </c>
      <c r="B1404">
        <v>11</v>
      </c>
      <c r="C1404">
        <v>0</v>
      </c>
      <c r="D1404">
        <v>5</v>
      </c>
      <c r="E1404">
        <v>0</v>
      </c>
      <c r="F1404">
        <v>0</v>
      </c>
      <c r="G1404">
        <v>1</v>
      </c>
      <c r="H1404" t="s">
        <v>11</v>
      </c>
      <c r="I1404">
        <v>31686</v>
      </c>
      <c r="J1404">
        <v>1</v>
      </c>
      <c r="K1404">
        <v>1</v>
      </c>
      <c r="L1404">
        <v>0</v>
      </c>
      <c r="M1404">
        <v>1</v>
      </c>
      <c r="N1404">
        <f t="shared" si="42"/>
        <v>-0.94251944050163905</v>
      </c>
      <c r="O1404">
        <f t="shared" si="43"/>
        <v>-0.11155114773265133</v>
      </c>
    </row>
    <row r="1405" spans="1:15">
      <c r="A1405">
        <v>7414</v>
      </c>
      <c r="B1405">
        <v>96</v>
      </c>
      <c r="C1405">
        <v>1</v>
      </c>
      <c r="D1405">
        <v>42</v>
      </c>
      <c r="E1405">
        <v>12</v>
      </c>
      <c r="F1405">
        <v>3</v>
      </c>
      <c r="G1405">
        <v>32</v>
      </c>
      <c r="H1405" t="s">
        <v>11</v>
      </c>
      <c r="I1405">
        <v>43824</v>
      </c>
      <c r="J1405">
        <v>1</v>
      </c>
      <c r="K1405">
        <v>1</v>
      </c>
      <c r="L1405">
        <v>0</v>
      </c>
      <c r="M1405">
        <v>1</v>
      </c>
      <c r="N1405">
        <f t="shared" si="42"/>
        <v>-0.38092201044638002</v>
      </c>
      <c r="O1405">
        <f t="shared" si="43"/>
        <v>0.13820752345315912</v>
      </c>
    </row>
    <row r="1406" spans="1:15">
      <c r="A1406">
        <v>7419</v>
      </c>
      <c r="B1406">
        <v>8</v>
      </c>
      <c r="C1406">
        <v>3</v>
      </c>
      <c r="D1406">
        <v>19</v>
      </c>
      <c r="E1406">
        <v>0</v>
      </c>
      <c r="F1406">
        <v>2</v>
      </c>
      <c r="G1406">
        <v>3</v>
      </c>
      <c r="H1406" t="s">
        <v>12</v>
      </c>
      <c r="I1406">
        <v>27071</v>
      </c>
      <c r="J1406">
        <v>1</v>
      </c>
      <c r="K1406">
        <v>0</v>
      </c>
      <c r="L1406">
        <v>1</v>
      </c>
      <c r="M1406">
        <v>0</v>
      </c>
      <c r="N1406">
        <f t="shared" si="42"/>
        <v>-1.1560449092530825</v>
      </c>
      <c r="O1406">
        <f t="shared" si="43"/>
        <v>-0.52411417673074923</v>
      </c>
    </row>
    <row r="1407" spans="1:15">
      <c r="A1407">
        <v>7422</v>
      </c>
      <c r="B1407">
        <v>85</v>
      </c>
      <c r="C1407">
        <v>44</v>
      </c>
      <c r="D1407">
        <v>54</v>
      </c>
      <c r="E1407">
        <v>102</v>
      </c>
      <c r="F1407">
        <v>78</v>
      </c>
      <c r="G1407">
        <v>6</v>
      </c>
      <c r="H1407" t="s">
        <v>12</v>
      </c>
      <c r="I1407">
        <v>46923</v>
      </c>
      <c r="J1407">
        <v>1</v>
      </c>
      <c r="K1407">
        <v>0</v>
      </c>
      <c r="L1407">
        <v>1</v>
      </c>
      <c r="M1407">
        <v>0</v>
      </c>
      <c r="N1407">
        <f t="shared" si="42"/>
        <v>-0.23753838581783762</v>
      </c>
      <c r="O1407">
        <f t="shared" si="43"/>
        <v>-0.1371735152113831</v>
      </c>
    </row>
    <row r="1408" spans="1:15">
      <c r="A1408">
        <v>7426</v>
      </c>
      <c r="B1408">
        <v>111</v>
      </c>
      <c r="C1408">
        <v>16</v>
      </c>
      <c r="D1408">
        <v>37</v>
      </c>
      <c r="E1408">
        <v>7</v>
      </c>
      <c r="F1408">
        <v>9</v>
      </c>
      <c r="G1408">
        <v>18</v>
      </c>
      <c r="H1408" t="s">
        <v>11</v>
      </c>
      <c r="I1408">
        <v>54690</v>
      </c>
      <c r="J1408">
        <v>1</v>
      </c>
      <c r="K1408">
        <v>1</v>
      </c>
      <c r="L1408">
        <v>0</v>
      </c>
      <c r="M1408">
        <v>1</v>
      </c>
      <c r="N1408">
        <f t="shared" si="42"/>
        <v>0.12182289604401741</v>
      </c>
      <c r="O1408">
        <f t="shared" si="43"/>
        <v>0.38093913315925049</v>
      </c>
    </row>
    <row r="1409" spans="1:15">
      <c r="A1409">
        <v>7428</v>
      </c>
      <c r="B1409">
        <v>240</v>
      </c>
      <c r="C1409">
        <v>132</v>
      </c>
      <c r="D1409">
        <v>445</v>
      </c>
      <c r="E1409">
        <v>250</v>
      </c>
      <c r="F1409">
        <v>192</v>
      </c>
      <c r="G1409">
        <v>108</v>
      </c>
      <c r="H1409" t="s">
        <v>11</v>
      </c>
      <c r="I1409">
        <v>80144</v>
      </c>
      <c r="J1409">
        <v>0</v>
      </c>
      <c r="K1409">
        <v>0</v>
      </c>
      <c r="L1409">
        <v>0</v>
      </c>
      <c r="M1409">
        <v>1</v>
      </c>
      <c r="N1409">
        <f t="shared" si="42"/>
        <v>1.2995211152421196</v>
      </c>
      <c r="O1409">
        <f t="shared" si="43"/>
        <v>0.9981509482187999</v>
      </c>
    </row>
    <row r="1410" spans="1:15">
      <c r="A1410">
        <v>7431</v>
      </c>
      <c r="B1410">
        <v>1332</v>
      </c>
      <c r="C1410">
        <v>17</v>
      </c>
      <c r="D1410">
        <v>311</v>
      </c>
      <c r="E1410">
        <v>23</v>
      </c>
      <c r="F1410">
        <v>51</v>
      </c>
      <c r="G1410">
        <v>86</v>
      </c>
      <c r="H1410" t="s">
        <v>12</v>
      </c>
      <c r="I1410">
        <v>68126</v>
      </c>
      <c r="J1410">
        <v>0</v>
      </c>
      <c r="K1410">
        <v>0</v>
      </c>
      <c r="L1410">
        <v>1</v>
      </c>
      <c r="M1410">
        <v>0</v>
      </c>
      <c r="N1410">
        <f t="shared" si="42"/>
        <v>0.74347581005147001</v>
      </c>
      <c r="O1410">
        <f t="shared" si="43"/>
        <v>0.49409225434694254</v>
      </c>
    </row>
    <row r="1411" spans="1:15">
      <c r="A1411">
        <v>7437</v>
      </c>
      <c r="B1411">
        <v>13</v>
      </c>
      <c r="C1411">
        <v>0</v>
      </c>
      <c r="D1411">
        <v>8</v>
      </c>
      <c r="E1411">
        <v>2</v>
      </c>
      <c r="F1411">
        <v>1</v>
      </c>
      <c r="G1411">
        <v>5</v>
      </c>
      <c r="H1411" t="s">
        <v>12</v>
      </c>
      <c r="I1411">
        <v>27938</v>
      </c>
      <c r="J1411">
        <v>1</v>
      </c>
      <c r="K1411">
        <v>0</v>
      </c>
      <c r="L1411">
        <v>1</v>
      </c>
      <c r="M1411">
        <v>0</v>
      </c>
      <c r="N1411">
        <f t="shared" ref="N1411:N1474" si="44">STANDARDIZE(I1411,$Q$1,$R$1)</f>
        <v>-1.1159308071062781</v>
      </c>
      <c r="O1411">
        <f t="shared" ref="O1411:O1474" si="45">SUMPRODUCT(J1411:N1411,$Q$4:$U$4) / SQRT(SUMSQ(J1411:N1411) * SUMSQ($Q$4:$U$4))</f>
        <v>-0.51298254476830329</v>
      </c>
    </row>
    <row r="1412" spans="1:15">
      <c r="A1412">
        <v>7441</v>
      </c>
      <c r="B1412">
        <v>958</v>
      </c>
      <c r="C1412">
        <v>159</v>
      </c>
      <c r="D1412">
        <v>447</v>
      </c>
      <c r="E1412">
        <v>20</v>
      </c>
      <c r="F1412">
        <v>0</v>
      </c>
      <c r="G1412">
        <v>31</v>
      </c>
      <c r="H1412" t="s">
        <v>12</v>
      </c>
      <c r="I1412">
        <v>71128</v>
      </c>
      <c r="J1412">
        <v>1</v>
      </c>
      <c r="K1412">
        <v>0</v>
      </c>
      <c r="L1412">
        <v>1</v>
      </c>
      <c r="M1412">
        <v>0</v>
      </c>
      <c r="N1412">
        <f t="shared" si="44"/>
        <v>0.88237146708111969</v>
      </c>
      <c r="O1412">
        <f t="shared" si="45"/>
        <v>0.43836200024863176</v>
      </c>
    </row>
    <row r="1413" spans="1:15">
      <c r="A1413">
        <v>7444</v>
      </c>
      <c r="B1413">
        <v>19</v>
      </c>
      <c r="C1413">
        <v>0</v>
      </c>
      <c r="D1413">
        <v>9</v>
      </c>
      <c r="E1413">
        <v>0</v>
      </c>
      <c r="F1413">
        <v>0</v>
      </c>
      <c r="G1413">
        <v>2</v>
      </c>
      <c r="H1413" t="s">
        <v>11</v>
      </c>
      <c r="I1413">
        <v>42169</v>
      </c>
      <c r="J1413">
        <v>1</v>
      </c>
      <c r="K1413">
        <v>1</v>
      </c>
      <c r="L1413">
        <v>0</v>
      </c>
      <c r="M1413">
        <v>1</v>
      </c>
      <c r="N1413">
        <f t="shared" si="44"/>
        <v>-0.45749506587078714</v>
      </c>
      <c r="O1413">
        <f t="shared" si="45"/>
        <v>0.10142139740920707</v>
      </c>
    </row>
    <row r="1414" spans="1:15">
      <c r="A1414">
        <v>7446</v>
      </c>
      <c r="B1414">
        <v>520</v>
      </c>
      <c r="C1414">
        <v>42</v>
      </c>
      <c r="D1414">
        <v>98</v>
      </c>
      <c r="E1414">
        <v>0</v>
      </c>
      <c r="F1414">
        <v>42</v>
      </c>
      <c r="G1414">
        <v>14</v>
      </c>
      <c r="H1414" t="s">
        <v>11</v>
      </c>
      <c r="I1414">
        <v>62513</v>
      </c>
      <c r="J1414">
        <v>0</v>
      </c>
      <c r="K1414">
        <v>1</v>
      </c>
      <c r="L1414">
        <v>0</v>
      </c>
      <c r="M1414">
        <v>1</v>
      </c>
      <c r="N1414">
        <f t="shared" si="44"/>
        <v>0.48377516950935695</v>
      </c>
      <c r="O1414">
        <f t="shared" si="45"/>
        <v>0.6430687396731174</v>
      </c>
    </row>
    <row r="1415" spans="1:15">
      <c r="A1415">
        <v>7453</v>
      </c>
      <c r="B1415">
        <v>157</v>
      </c>
      <c r="C1415">
        <v>43</v>
      </c>
      <c r="D1415">
        <v>127</v>
      </c>
      <c r="E1415">
        <v>68</v>
      </c>
      <c r="F1415">
        <v>56</v>
      </c>
      <c r="G1415">
        <v>37</v>
      </c>
      <c r="H1415" t="s">
        <v>12</v>
      </c>
      <c r="I1415">
        <v>36130</v>
      </c>
      <c r="J1415">
        <v>0</v>
      </c>
      <c r="K1415">
        <v>1</v>
      </c>
      <c r="L1415">
        <v>1</v>
      </c>
      <c r="M1415">
        <v>0</v>
      </c>
      <c r="N1415">
        <f t="shared" si="44"/>
        <v>-0.7369057496822643</v>
      </c>
      <c r="O1415">
        <f t="shared" si="45"/>
        <v>-0.38267407961288274</v>
      </c>
    </row>
    <row r="1416" spans="1:15">
      <c r="A1416">
        <v>7458</v>
      </c>
      <c r="B1416">
        <v>39</v>
      </c>
      <c r="C1416">
        <v>2</v>
      </c>
      <c r="D1416">
        <v>25</v>
      </c>
      <c r="E1416">
        <v>4</v>
      </c>
      <c r="F1416">
        <v>3</v>
      </c>
      <c r="G1416">
        <v>24</v>
      </c>
      <c r="H1416" t="s">
        <v>11</v>
      </c>
      <c r="I1416">
        <v>34941</v>
      </c>
      <c r="J1416">
        <v>1</v>
      </c>
      <c r="K1416">
        <v>1</v>
      </c>
      <c r="L1416">
        <v>0</v>
      </c>
      <c r="M1416">
        <v>1</v>
      </c>
      <c r="N1416">
        <f t="shared" si="44"/>
        <v>-0.79191805354910416</v>
      </c>
      <c r="O1416">
        <f t="shared" si="45"/>
        <v>-5.0013286775742724E-2</v>
      </c>
    </row>
    <row r="1417" spans="1:15">
      <c r="A1417">
        <v>7462</v>
      </c>
      <c r="B1417">
        <v>68</v>
      </c>
      <c r="C1417">
        <v>0</v>
      </c>
      <c r="D1417">
        <v>226</v>
      </c>
      <c r="E1417">
        <v>51</v>
      </c>
      <c r="F1417">
        <v>157</v>
      </c>
      <c r="G1417">
        <v>68</v>
      </c>
      <c r="H1417" t="s">
        <v>12</v>
      </c>
      <c r="I1417">
        <v>22507</v>
      </c>
      <c r="J1417">
        <v>0</v>
      </c>
      <c r="K1417">
        <v>0</v>
      </c>
      <c r="L1417">
        <v>1</v>
      </c>
      <c r="M1417">
        <v>0</v>
      </c>
      <c r="N1417">
        <f t="shared" si="44"/>
        <v>-1.3672107249370669</v>
      </c>
      <c r="O1417">
        <f t="shared" si="45"/>
        <v>-0.6684100385056374</v>
      </c>
    </row>
    <row r="1418" spans="1:15">
      <c r="A1418">
        <v>7476</v>
      </c>
      <c r="B1418">
        <v>928</v>
      </c>
      <c r="C1418">
        <v>63</v>
      </c>
      <c r="D1418">
        <v>254</v>
      </c>
      <c r="E1418">
        <v>0</v>
      </c>
      <c r="F1418">
        <v>12</v>
      </c>
      <c r="G1418">
        <v>12</v>
      </c>
      <c r="H1418" t="s">
        <v>12</v>
      </c>
      <c r="I1418">
        <v>63972</v>
      </c>
      <c r="J1418">
        <v>0</v>
      </c>
      <c r="K1418">
        <v>1</v>
      </c>
      <c r="L1418">
        <v>1</v>
      </c>
      <c r="M1418">
        <v>0</v>
      </c>
      <c r="N1418">
        <f t="shared" si="44"/>
        <v>0.55127975432156839</v>
      </c>
      <c r="O1418">
        <f t="shared" si="45"/>
        <v>0.30076839497780544</v>
      </c>
    </row>
    <row r="1419" spans="1:15">
      <c r="A1419">
        <v>7485</v>
      </c>
      <c r="B1419">
        <v>67</v>
      </c>
      <c r="C1419">
        <v>4</v>
      </c>
      <c r="D1419">
        <v>32</v>
      </c>
      <c r="E1419">
        <v>17</v>
      </c>
      <c r="F1419">
        <v>2</v>
      </c>
      <c r="G1419">
        <v>16</v>
      </c>
      <c r="H1419" t="s">
        <v>12</v>
      </c>
      <c r="I1419">
        <v>56551</v>
      </c>
      <c r="J1419">
        <v>1</v>
      </c>
      <c r="K1419">
        <v>1</v>
      </c>
      <c r="L1419">
        <v>1</v>
      </c>
      <c r="M1419">
        <v>0</v>
      </c>
      <c r="N1419">
        <f t="shared" si="44"/>
        <v>0.20792709915267099</v>
      </c>
      <c r="O1419">
        <f t="shared" si="45"/>
        <v>9.8704350269978661E-2</v>
      </c>
    </row>
    <row r="1420" spans="1:15">
      <c r="A1420">
        <v>7488</v>
      </c>
      <c r="B1420">
        <v>420</v>
      </c>
      <c r="C1420">
        <v>15</v>
      </c>
      <c r="D1420">
        <v>186</v>
      </c>
      <c r="E1420">
        <v>151</v>
      </c>
      <c r="F1420">
        <v>38</v>
      </c>
      <c r="G1420">
        <v>15</v>
      </c>
      <c r="H1420" t="s">
        <v>12</v>
      </c>
      <c r="I1420">
        <v>64191</v>
      </c>
      <c r="J1420">
        <v>0</v>
      </c>
      <c r="K1420">
        <v>1</v>
      </c>
      <c r="L1420">
        <v>1</v>
      </c>
      <c r="M1420">
        <v>0</v>
      </c>
      <c r="N1420">
        <f t="shared" si="44"/>
        <v>0.56141238219948086</v>
      </c>
      <c r="O1420">
        <f t="shared" si="45"/>
        <v>0.30554986331816403</v>
      </c>
    </row>
    <row r="1421" spans="1:15">
      <c r="A1421">
        <v>7494</v>
      </c>
      <c r="B1421">
        <v>209</v>
      </c>
      <c r="C1421">
        <v>0</v>
      </c>
      <c r="D1421">
        <v>40</v>
      </c>
      <c r="E1421">
        <v>3</v>
      </c>
      <c r="F1421">
        <v>2</v>
      </c>
      <c r="G1421">
        <v>15</v>
      </c>
      <c r="H1421" t="s">
        <v>12</v>
      </c>
      <c r="I1421">
        <v>42873</v>
      </c>
      <c r="J1421">
        <v>1</v>
      </c>
      <c r="K1421">
        <v>1</v>
      </c>
      <c r="L1421">
        <v>1</v>
      </c>
      <c r="M1421">
        <v>0</v>
      </c>
      <c r="N1421">
        <f t="shared" si="44"/>
        <v>-0.42492259999841092</v>
      </c>
      <c r="O1421">
        <f t="shared" si="45"/>
        <v>-0.19731083635794794</v>
      </c>
    </row>
    <row r="1422" spans="1:15">
      <c r="A1422">
        <v>7495</v>
      </c>
      <c r="B1422">
        <v>77</v>
      </c>
      <c r="C1422">
        <v>28</v>
      </c>
      <c r="D1422">
        <v>31</v>
      </c>
      <c r="E1422">
        <v>16</v>
      </c>
      <c r="F1422">
        <v>0</v>
      </c>
      <c r="G1422">
        <v>4</v>
      </c>
      <c r="H1422" t="s">
        <v>11</v>
      </c>
      <c r="I1422">
        <v>56223</v>
      </c>
      <c r="J1422">
        <v>0</v>
      </c>
      <c r="K1422">
        <v>1</v>
      </c>
      <c r="L1422">
        <v>0</v>
      </c>
      <c r="M1422">
        <v>1</v>
      </c>
      <c r="N1422">
        <f t="shared" si="44"/>
        <v>0.19275129118940479</v>
      </c>
      <c r="O1422">
        <f t="shared" si="45"/>
        <v>0.5045742254854686</v>
      </c>
    </row>
    <row r="1423" spans="1:15">
      <c r="A1423">
        <v>7503</v>
      </c>
      <c r="B1423">
        <v>1032</v>
      </c>
      <c r="C1423">
        <v>105</v>
      </c>
      <c r="D1423">
        <v>779</v>
      </c>
      <c r="E1423">
        <v>137</v>
      </c>
      <c r="F1423">
        <v>105</v>
      </c>
      <c r="G1423">
        <v>51</v>
      </c>
      <c r="H1423" t="s">
        <v>12</v>
      </c>
      <c r="I1423">
        <v>75825</v>
      </c>
      <c r="J1423">
        <v>0</v>
      </c>
      <c r="K1423">
        <v>0</v>
      </c>
      <c r="L1423">
        <v>1</v>
      </c>
      <c r="M1423">
        <v>0</v>
      </c>
      <c r="N1423">
        <f t="shared" si="44"/>
        <v>1.0996908878233798</v>
      </c>
      <c r="O1423">
        <f t="shared" si="45"/>
        <v>0.61268064346778384</v>
      </c>
    </row>
    <row r="1424" spans="1:15">
      <c r="A1424">
        <v>7505</v>
      </c>
      <c r="B1424">
        <v>22</v>
      </c>
      <c r="C1424">
        <v>1</v>
      </c>
      <c r="D1424">
        <v>9</v>
      </c>
      <c r="E1424">
        <v>0</v>
      </c>
      <c r="F1424">
        <v>0</v>
      </c>
      <c r="G1424">
        <v>14</v>
      </c>
      <c r="H1424" t="s">
        <v>11</v>
      </c>
      <c r="I1424">
        <v>44155</v>
      </c>
      <c r="J1424">
        <v>1</v>
      </c>
      <c r="K1424">
        <v>1</v>
      </c>
      <c r="L1424">
        <v>0</v>
      </c>
      <c r="M1424">
        <v>1</v>
      </c>
      <c r="N1424">
        <f t="shared" si="44"/>
        <v>-0.36560739936149861</v>
      </c>
      <c r="O1424">
        <f t="shared" si="45"/>
        <v>0.14562368604119158</v>
      </c>
    </row>
    <row r="1425" spans="1:15">
      <c r="A1425">
        <v>7514</v>
      </c>
      <c r="B1425">
        <v>84</v>
      </c>
      <c r="C1425">
        <v>10</v>
      </c>
      <c r="D1425">
        <v>34</v>
      </c>
      <c r="E1425">
        <v>11</v>
      </c>
      <c r="F1425">
        <v>10</v>
      </c>
      <c r="G1425">
        <v>28</v>
      </c>
      <c r="H1425" t="s">
        <v>11</v>
      </c>
      <c r="I1425">
        <v>54342</v>
      </c>
      <c r="J1425">
        <v>1</v>
      </c>
      <c r="K1425">
        <v>1</v>
      </c>
      <c r="L1425">
        <v>0</v>
      </c>
      <c r="M1425">
        <v>1</v>
      </c>
      <c r="N1425">
        <f t="shared" si="44"/>
        <v>0.10572173393664965</v>
      </c>
      <c r="O1425">
        <f t="shared" si="45"/>
        <v>0.37348690527663697</v>
      </c>
    </row>
    <row r="1426" spans="1:15">
      <c r="A1426">
        <v>7527</v>
      </c>
      <c r="B1426">
        <v>6</v>
      </c>
      <c r="C1426">
        <v>6</v>
      </c>
      <c r="D1426">
        <v>29</v>
      </c>
      <c r="E1426">
        <v>12</v>
      </c>
      <c r="F1426">
        <v>15</v>
      </c>
      <c r="G1426">
        <v>8</v>
      </c>
      <c r="H1426" t="s">
        <v>12</v>
      </c>
      <c r="I1426">
        <v>23748</v>
      </c>
      <c r="J1426">
        <v>1</v>
      </c>
      <c r="K1426">
        <v>0</v>
      </c>
      <c r="L1426">
        <v>1</v>
      </c>
      <c r="M1426">
        <v>0</v>
      </c>
      <c r="N1426">
        <f t="shared" si="44"/>
        <v>-1.3097925002955628</v>
      </c>
      <c r="O1426">
        <f t="shared" si="45"/>
        <v>-0.5627084293297494</v>
      </c>
    </row>
    <row r="1427" spans="1:15">
      <c r="A1427">
        <v>7532</v>
      </c>
      <c r="B1427">
        <v>99</v>
      </c>
      <c r="C1427">
        <v>2</v>
      </c>
      <c r="D1427">
        <v>11</v>
      </c>
      <c r="E1427">
        <v>4</v>
      </c>
      <c r="F1427">
        <v>0</v>
      </c>
      <c r="G1427">
        <v>16</v>
      </c>
      <c r="H1427" t="s">
        <v>11</v>
      </c>
      <c r="I1427">
        <v>43586</v>
      </c>
      <c r="J1427">
        <v>0</v>
      </c>
      <c r="K1427">
        <v>1</v>
      </c>
      <c r="L1427">
        <v>0</v>
      </c>
      <c r="M1427">
        <v>1</v>
      </c>
      <c r="N1427">
        <f t="shared" si="44"/>
        <v>-0.39193372476118904</v>
      </c>
      <c r="O1427">
        <f t="shared" si="45"/>
        <v>0.16080487546611344</v>
      </c>
    </row>
    <row r="1428" spans="1:15">
      <c r="A1428">
        <v>7533</v>
      </c>
      <c r="B1428">
        <v>144</v>
      </c>
      <c r="C1428">
        <v>1</v>
      </c>
      <c r="D1428">
        <v>32</v>
      </c>
      <c r="E1428">
        <v>2</v>
      </c>
      <c r="F1428">
        <v>1</v>
      </c>
      <c r="G1428">
        <v>7</v>
      </c>
      <c r="H1428" t="s">
        <v>11</v>
      </c>
      <c r="I1428">
        <v>49096</v>
      </c>
      <c r="J1428">
        <v>1</v>
      </c>
      <c r="K1428">
        <v>1</v>
      </c>
      <c r="L1428">
        <v>0</v>
      </c>
      <c r="M1428">
        <v>1</v>
      </c>
      <c r="N1428">
        <f t="shared" si="44"/>
        <v>-0.13699865806119915</v>
      </c>
      <c r="O1428">
        <f t="shared" si="45"/>
        <v>0.2573300859109095</v>
      </c>
    </row>
    <row r="1429" spans="1:15">
      <c r="A1429">
        <v>7540</v>
      </c>
      <c r="B1429">
        <v>143</v>
      </c>
      <c r="C1429">
        <v>15</v>
      </c>
      <c r="D1429">
        <v>60</v>
      </c>
      <c r="E1429">
        <v>24</v>
      </c>
      <c r="F1429">
        <v>23</v>
      </c>
      <c r="G1429">
        <v>5</v>
      </c>
      <c r="H1429" t="s">
        <v>11</v>
      </c>
      <c r="I1429">
        <v>50300</v>
      </c>
      <c r="J1429">
        <v>0</v>
      </c>
      <c r="K1429">
        <v>1</v>
      </c>
      <c r="L1429">
        <v>0</v>
      </c>
      <c r="M1429">
        <v>1</v>
      </c>
      <c r="N1429">
        <f t="shared" si="44"/>
        <v>-8.1292338586283042E-2</v>
      </c>
      <c r="O1429">
        <f t="shared" si="45"/>
        <v>0.34819312869758928</v>
      </c>
    </row>
    <row r="1430" spans="1:15">
      <c r="A1430">
        <v>7573</v>
      </c>
      <c r="B1430">
        <v>39</v>
      </c>
      <c r="C1430">
        <v>1</v>
      </c>
      <c r="D1430">
        <v>9</v>
      </c>
      <c r="E1430">
        <v>2</v>
      </c>
      <c r="F1430">
        <v>1</v>
      </c>
      <c r="G1430">
        <v>34</v>
      </c>
      <c r="H1430" t="s">
        <v>12</v>
      </c>
      <c r="I1430">
        <v>31626</v>
      </c>
      <c r="J1430">
        <v>1</v>
      </c>
      <c r="K1430">
        <v>0</v>
      </c>
      <c r="L1430">
        <v>1</v>
      </c>
      <c r="M1430">
        <v>0</v>
      </c>
      <c r="N1430">
        <f t="shared" si="44"/>
        <v>-0.94529550293394382</v>
      </c>
      <c r="O1430">
        <f t="shared" si="45"/>
        <v>-0.46019556159478997</v>
      </c>
    </row>
    <row r="1431" spans="1:15">
      <c r="A1431">
        <v>7574</v>
      </c>
      <c r="B1431">
        <v>11</v>
      </c>
      <c r="C1431">
        <v>0</v>
      </c>
      <c r="D1431">
        <v>13</v>
      </c>
      <c r="E1431">
        <v>2</v>
      </c>
      <c r="F1431">
        <v>4</v>
      </c>
      <c r="G1431">
        <v>11</v>
      </c>
      <c r="H1431" t="s">
        <v>11</v>
      </c>
      <c r="I1431">
        <v>27922</v>
      </c>
      <c r="J1431">
        <v>1</v>
      </c>
      <c r="K1431">
        <v>0</v>
      </c>
      <c r="L1431">
        <v>0</v>
      </c>
      <c r="M1431">
        <v>1</v>
      </c>
      <c r="N1431">
        <f t="shared" si="44"/>
        <v>-1.1166710904215595</v>
      </c>
      <c r="O1431">
        <f t="shared" si="45"/>
        <v>-0.20210805352447048</v>
      </c>
    </row>
    <row r="1432" spans="1:15">
      <c r="A1432">
        <v>7600</v>
      </c>
      <c r="B1432">
        <v>1</v>
      </c>
      <c r="C1432">
        <v>3</v>
      </c>
      <c r="D1432">
        <v>3</v>
      </c>
      <c r="E1432">
        <v>8</v>
      </c>
      <c r="F1432">
        <v>1</v>
      </c>
      <c r="G1432">
        <v>13</v>
      </c>
      <c r="H1432" t="s">
        <v>12</v>
      </c>
      <c r="I1432">
        <v>15253</v>
      </c>
      <c r="J1432">
        <v>1</v>
      </c>
      <c r="K1432">
        <v>0</v>
      </c>
      <c r="L1432">
        <v>1</v>
      </c>
      <c r="M1432">
        <v>0</v>
      </c>
      <c r="N1432">
        <f t="shared" si="44"/>
        <v>-1.7028366730027158</v>
      </c>
      <c r="O1432">
        <f t="shared" si="45"/>
        <v>-0.63706419164450878</v>
      </c>
    </row>
    <row r="1433" spans="1:15">
      <c r="A1433">
        <v>7610</v>
      </c>
      <c r="B1433">
        <v>275</v>
      </c>
      <c r="C1433">
        <v>0</v>
      </c>
      <c r="D1433">
        <v>86</v>
      </c>
      <c r="E1433">
        <v>10</v>
      </c>
      <c r="F1433">
        <v>23</v>
      </c>
      <c r="G1433">
        <v>66</v>
      </c>
      <c r="H1433" t="s">
        <v>11</v>
      </c>
      <c r="I1433">
        <v>37292</v>
      </c>
      <c r="J1433">
        <v>1</v>
      </c>
      <c r="K1433">
        <v>0</v>
      </c>
      <c r="L1433">
        <v>0</v>
      </c>
      <c r="M1433">
        <v>1</v>
      </c>
      <c r="N1433">
        <f t="shared" si="44"/>
        <v>-0.68314267390996153</v>
      </c>
      <c r="O1433">
        <f t="shared" si="45"/>
        <v>-3.2927630085558012E-3</v>
      </c>
    </row>
    <row r="1434" spans="1:15">
      <c r="A1434">
        <v>7613</v>
      </c>
      <c r="B1434">
        <v>166</v>
      </c>
      <c r="C1434">
        <v>5</v>
      </c>
      <c r="D1434">
        <v>107</v>
      </c>
      <c r="E1434">
        <v>11</v>
      </c>
      <c r="F1434">
        <v>8</v>
      </c>
      <c r="G1434">
        <v>29</v>
      </c>
      <c r="H1434" t="s">
        <v>11</v>
      </c>
      <c r="I1434">
        <v>49669</v>
      </c>
      <c r="J1434">
        <v>1</v>
      </c>
      <c r="K1434">
        <v>0</v>
      </c>
      <c r="L1434">
        <v>0</v>
      </c>
      <c r="M1434">
        <v>1</v>
      </c>
      <c r="N1434">
        <f t="shared" si="44"/>
        <v>-0.11048726183268841</v>
      </c>
      <c r="O1434">
        <f t="shared" si="45"/>
        <v>0.33066466818726503</v>
      </c>
    </row>
    <row r="1435" spans="1:15">
      <c r="A1435">
        <v>7617</v>
      </c>
      <c r="B1435">
        <v>67</v>
      </c>
      <c r="C1435">
        <v>5</v>
      </c>
      <c r="D1435">
        <v>61</v>
      </c>
      <c r="E1435">
        <v>3</v>
      </c>
      <c r="F1435">
        <v>8</v>
      </c>
      <c r="G1435">
        <v>19</v>
      </c>
      <c r="H1435" t="s">
        <v>12</v>
      </c>
      <c r="I1435">
        <v>42373</v>
      </c>
      <c r="J1435">
        <v>1</v>
      </c>
      <c r="K1435">
        <v>1</v>
      </c>
      <c r="L1435">
        <v>1</v>
      </c>
      <c r="M1435">
        <v>0</v>
      </c>
      <c r="N1435">
        <f t="shared" si="44"/>
        <v>-0.44805645360095087</v>
      </c>
      <c r="O1435">
        <f t="shared" si="45"/>
        <v>-0.20739553347567347</v>
      </c>
    </row>
    <row r="1436" spans="1:15">
      <c r="A1436">
        <v>7620</v>
      </c>
      <c r="B1436">
        <v>5</v>
      </c>
      <c r="C1436">
        <v>11</v>
      </c>
      <c r="D1436">
        <v>16</v>
      </c>
      <c r="E1436">
        <v>21</v>
      </c>
      <c r="F1436">
        <v>8</v>
      </c>
      <c r="G1436">
        <v>45</v>
      </c>
      <c r="H1436" t="s">
        <v>12</v>
      </c>
      <c r="I1436">
        <v>16185</v>
      </c>
      <c r="J1436">
        <v>1</v>
      </c>
      <c r="K1436">
        <v>0</v>
      </c>
      <c r="L1436">
        <v>1</v>
      </c>
      <c r="M1436">
        <v>0</v>
      </c>
      <c r="N1436">
        <f t="shared" si="44"/>
        <v>-1.6597151698875814</v>
      </c>
      <c r="O1436">
        <f t="shared" si="45"/>
        <v>-0.63032848564386879</v>
      </c>
    </row>
    <row r="1437" spans="1:15">
      <c r="A1437">
        <v>7627</v>
      </c>
      <c r="B1437">
        <v>817</v>
      </c>
      <c r="C1437">
        <v>183</v>
      </c>
      <c r="D1437">
        <v>797</v>
      </c>
      <c r="E1437">
        <v>106</v>
      </c>
      <c r="F1437">
        <v>163</v>
      </c>
      <c r="G1437">
        <v>20</v>
      </c>
      <c r="H1437" t="s">
        <v>11</v>
      </c>
      <c r="I1437">
        <v>92163</v>
      </c>
      <c r="J1437">
        <v>0</v>
      </c>
      <c r="K1437">
        <v>0</v>
      </c>
      <c r="L1437">
        <v>0</v>
      </c>
      <c r="M1437">
        <v>1</v>
      </c>
      <c r="N1437">
        <f t="shared" si="44"/>
        <v>1.8556126881399739</v>
      </c>
      <c r="O1437">
        <f t="shared" si="45"/>
        <v>0.99492732484977298</v>
      </c>
    </row>
    <row r="1438" spans="1:15">
      <c r="A1438">
        <v>7628</v>
      </c>
      <c r="B1438">
        <v>30</v>
      </c>
      <c r="C1438">
        <v>5</v>
      </c>
      <c r="D1438">
        <v>24</v>
      </c>
      <c r="E1438">
        <v>6</v>
      </c>
      <c r="F1438">
        <v>3</v>
      </c>
      <c r="G1438">
        <v>8</v>
      </c>
      <c r="H1438" t="s">
        <v>11</v>
      </c>
      <c r="I1438">
        <v>43050</v>
      </c>
      <c r="J1438">
        <v>1</v>
      </c>
      <c r="K1438">
        <v>0</v>
      </c>
      <c r="L1438">
        <v>0</v>
      </c>
      <c r="M1438">
        <v>1</v>
      </c>
      <c r="N1438">
        <f t="shared" si="44"/>
        <v>-0.41673321582311185</v>
      </c>
      <c r="O1438">
        <f t="shared" si="45"/>
        <v>0.14613173691464434</v>
      </c>
    </row>
    <row r="1439" spans="1:15">
      <c r="A1439">
        <v>7629</v>
      </c>
      <c r="B1439">
        <v>5</v>
      </c>
      <c r="C1439">
        <v>3</v>
      </c>
      <c r="D1439">
        <v>9</v>
      </c>
      <c r="E1439">
        <v>6</v>
      </c>
      <c r="F1439">
        <v>2</v>
      </c>
      <c r="G1439">
        <v>6</v>
      </c>
      <c r="H1439" t="s">
        <v>11</v>
      </c>
      <c r="I1439">
        <v>22108</v>
      </c>
      <c r="J1439">
        <v>1</v>
      </c>
      <c r="K1439">
        <v>1</v>
      </c>
      <c r="L1439">
        <v>0</v>
      </c>
      <c r="M1439">
        <v>1</v>
      </c>
      <c r="N1439">
        <f t="shared" si="44"/>
        <v>-1.3856715401118938</v>
      </c>
      <c r="O1439">
        <f t="shared" si="45"/>
        <v>-0.26461480861072423</v>
      </c>
    </row>
    <row r="1440" spans="1:15">
      <c r="A1440">
        <v>7631</v>
      </c>
      <c r="B1440">
        <v>562</v>
      </c>
      <c r="C1440">
        <v>58</v>
      </c>
      <c r="D1440">
        <v>168</v>
      </c>
      <c r="E1440">
        <v>43</v>
      </c>
      <c r="F1440">
        <v>16</v>
      </c>
      <c r="G1440">
        <v>142</v>
      </c>
      <c r="H1440" t="s">
        <v>11</v>
      </c>
      <c r="I1440">
        <v>61346</v>
      </c>
      <c r="J1440">
        <v>1</v>
      </c>
      <c r="K1440">
        <v>0</v>
      </c>
      <c r="L1440">
        <v>0</v>
      </c>
      <c r="M1440">
        <v>1</v>
      </c>
      <c r="N1440">
        <f t="shared" si="44"/>
        <v>0.42978075520102876</v>
      </c>
      <c r="O1440">
        <f t="shared" si="45"/>
        <v>0.62003655345047592</v>
      </c>
    </row>
    <row r="1441" spans="1:15">
      <c r="A1441">
        <v>7646</v>
      </c>
      <c r="B1441">
        <v>218</v>
      </c>
      <c r="C1441">
        <v>63</v>
      </c>
      <c r="D1441">
        <v>282</v>
      </c>
      <c r="E1441">
        <v>137</v>
      </c>
      <c r="F1441">
        <v>35</v>
      </c>
      <c r="G1441">
        <v>70</v>
      </c>
      <c r="H1441" t="s">
        <v>12</v>
      </c>
      <c r="I1441">
        <v>64449</v>
      </c>
      <c r="J1441">
        <v>1</v>
      </c>
      <c r="K1441">
        <v>0</v>
      </c>
      <c r="L1441">
        <v>1</v>
      </c>
      <c r="M1441">
        <v>0</v>
      </c>
      <c r="N1441">
        <f t="shared" si="44"/>
        <v>0.57334945065839149</v>
      </c>
      <c r="O1441">
        <f t="shared" si="45"/>
        <v>0.31113775938703542</v>
      </c>
    </row>
    <row r="1442" spans="1:15">
      <c r="A1442">
        <v>7660</v>
      </c>
      <c r="B1442">
        <v>15</v>
      </c>
      <c r="C1442">
        <v>0</v>
      </c>
      <c r="D1442">
        <v>8</v>
      </c>
      <c r="E1442">
        <v>4</v>
      </c>
      <c r="F1442">
        <v>2</v>
      </c>
      <c r="G1442">
        <v>20</v>
      </c>
      <c r="H1442" t="s">
        <v>12</v>
      </c>
      <c r="I1442">
        <v>35860</v>
      </c>
      <c r="J1442">
        <v>1</v>
      </c>
      <c r="K1442">
        <v>1</v>
      </c>
      <c r="L1442">
        <v>1</v>
      </c>
      <c r="M1442">
        <v>0</v>
      </c>
      <c r="N1442">
        <f t="shared" si="44"/>
        <v>-0.74939803062763577</v>
      </c>
      <c r="O1442">
        <f t="shared" si="45"/>
        <v>-0.32883874670195168</v>
      </c>
    </row>
    <row r="1443" spans="1:15">
      <c r="A1443">
        <v>7679</v>
      </c>
      <c r="B1443">
        <v>6</v>
      </c>
      <c r="C1443">
        <v>3</v>
      </c>
      <c r="D1443">
        <v>12</v>
      </c>
      <c r="E1443">
        <v>6</v>
      </c>
      <c r="F1443">
        <v>1</v>
      </c>
      <c r="G1443">
        <v>0</v>
      </c>
      <c r="H1443" t="s">
        <v>12</v>
      </c>
      <c r="I1443">
        <v>30298</v>
      </c>
      <c r="J1443">
        <v>0</v>
      </c>
      <c r="K1443">
        <v>0</v>
      </c>
      <c r="L1443">
        <v>1</v>
      </c>
      <c r="M1443">
        <v>0</v>
      </c>
      <c r="N1443">
        <f t="shared" si="44"/>
        <v>-1.0067390181022899</v>
      </c>
      <c r="O1443">
        <f t="shared" si="45"/>
        <v>-0.58753183703238332</v>
      </c>
    </row>
    <row r="1444" spans="1:15">
      <c r="A1444">
        <v>7683</v>
      </c>
      <c r="B1444">
        <v>554</v>
      </c>
      <c r="C1444">
        <v>35</v>
      </c>
      <c r="D1444">
        <v>113</v>
      </c>
      <c r="E1444">
        <v>0</v>
      </c>
      <c r="F1444">
        <v>7</v>
      </c>
      <c r="G1444">
        <v>78</v>
      </c>
      <c r="H1444" t="s">
        <v>11</v>
      </c>
      <c r="I1444">
        <v>70777</v>
      </c>
      <c r="J1444">
        <v>0</v>
      </c>
      <c r="K1444">
        <v>1</v>
      </c>
      <c r="L1444">
        <v>0</v>
      </c>
      <c r="M1444">
        <v>1</v>
      </c>
      <c r="N1444">
        <f t="shared" si="44"/>
        <v>0.86613150185213672</v>
      </c>
      <c r="O1444">
        <f t="shared" si="45"/>
        <v>0.77052398594088545</v>
      </c>
    </row>
    <row r="1445" spans="1:15">
      <c r="A1445">
        <v>7698</v>
      </c>
      <c r="B1445">
        <v>152</v>
      </c>
      <c r="C1445">
        <v>3</v>
      </c>
      <c r="D1445">
        <v>22</v>
      </c>
      <c r="E1445">
        <v>2</v>
      </c>
      <c r="F1445">
        <v>5</v>
      </c>
      <c r="G1445">
        <v>7</v>
      </c>
      <c r="H1445" t="s">
        <v>11</v>
      </c>
      <c r="I1445">
        <v>51650</v>
      </c>
      <c r="J1445">
        <v>0</v>
      </c>
      <c r="K1445">
        <v>1</v>
      </c>
      <c r="L1445">
        <v>0</v>
      </c>
      <c r="M1445">
        <v>1</v>
      </c>
      <c r="N1445">
        <f t="shared" si="44"/>
        <v>-1.8830933859425268E-2</v>
      </c>
      <c r="O1445">
        <f t="shared" si="45"/>
        <v>0.38530919484991893</v>
      </c>
    </row>
    <row r="1446" spans="1:15">
      <c r="A1446">
        <v>7706</v>
      </c>
      <c r="B1446">
        <v>350</v>
      </c>
      <c r="C1446">
        <v>104</v>
      </c>
      <c r="D1446">
        <v>189</v>
      </c>
      <c r="E1446">
        <v>197</v>
      </c>
      <c r="F1446">
        <v>151</v>
      </c>
      <c r="G1446">
        <v>57</v>
      </c>
      <c r="H1446" t="s">
        <v>11</v>
      </c>
      <c r="I1446">
        <v>46772</v>
      </c>
      <c r="J1446">
        <v>0</v>
      </c>
      <c r="K1446">
        <v>1</v>
      </c>
      <c r="L1446">
        <v>0</v>
      </c>
      <c r="M1446">
        <v>1</v>
      </c>
      <c r="N1446">
        <f t="shared" si="44"/>
        <v>-0.24452480960580469</v>
      </c>
      <c r="O1446">
        <f t="shared" si="45"/>
        <v>0.24948226179082289</v>
      </c>
    </row>
    <row r="1447" spans="1:15">
      <c r="A1447">
        <v>7712</v>
      </c>
      <c r="B1447">
        <v>182</v>
      </c>
      <c r="C1447">
        <v>17</v>
      </c>
      <c r="D1447">
        <v>259</v>
      </c>
      <c r="E1447">
        <v>77</v>
      </c>
      <c r="F1447">
        <v>70</v>
      </c>
      <c r="G1447">
        <v>29</v>
      </c>
      <c r="H1447" t="s">
        <v>12</v>
      </c>
      <c r="I1447">
        <v>62159</v>
      </c>
      <c r="J1447">
        <v>0</v>
      </c>
      <c r="K1447">
        <v>0</v>
      </c>
      <c r="L1447">
        <v>1</v>
      </c>
      <c r="M1447">
        <v>0</v>
      </c>
      <c r="N1447">
        <f t="shared" si="44"/>
        <v>0.46739640115875869</v>
      </c>
      <c r="O1447">
        <f t="shared" si="45"/>
        <v>0.35064906375296601</v>
      </c>
    </row>
    <row r="1448" spans="1:15">
      <c r="A1448">
        <v>7718</v>
      </c>
      <c r="B1448">
        <v>244</v>
      </c>
      <c r="C1448">
        <v>51</v>
      </c>
      <c r="D1448">
        <v>270</v>
      </c>
      <c r="E1448">
        <v>101</v>
      </c>
      <c r="F1448">
        <v>0</v>
      </c>
      <c r="G1448">
        <v>45</v>
      </c>
      <c r="H1448" t="s">
        <v>11</v>
      </c>
      <c r="I1448">
        <v>66000</v>
      </c>
      <c r="J1448">
        <v>0</v>
      </c>
      <c r="K1448">
        <v>0</v>
      </c>
      <c r="L1448">
        <v>0</v>
      </c>
      <c r="M1448">
        <v>1</v>
      </c>
      <c r="N1448">
        <f t="shared" si="44"/>
        <v>0.64511066453347032</v>
      </c>
      <c r="O1448">
        <f t="shared" si="45"/>
        <v>0.91996166308922933</v>
      </c>
    </row>
    <row r="1449" spans="1:15">
      <c r="A1449">
        <v>7725</v>
      </c>
      <c r="B1449">
        <v>173</v>
      </c>
      <c r="C1449">
        <v>26</v>
      </c>
      <c r="D1449">
        <v>255</v>
      </c>
      <c r="E1449">
        <v>35</v>
      </c>
      <c r="F1449">
        <v>71</v>
      </c>
      <c r="G1449">
        <v>81</v>
      </c>
      <c r="H1449" t="s">
        <v>11</v>
      </c>
      <c r="I1449">
        <v>76800</v>
      </c>
      <c r="J1449">
        <v>0</v>
      </c>
      <c r="K1449">
        <v>0</v>
      </c>
      <c r="L1449">
        <v>0</v>
      </c>
      <c r="M1449">
        <v>1</v>
      </c>
      <c r="N1449">
        <f t="shared" si="44"/>
        <v>1.1448019023483325</v>
      </c>
      <c r="O1449">
        <f t="shared" si="45"/>
        <v>0.99245297712605407</v>
      </c>
    </row>
    <row r="1450" spans="1:15">
      <c r="A1450">
        <v>7732</v>
      </c>
      <c r="B1450">
        <v>293</v>
      </c>
      <c r="C1450">
        <v>0</v>
      </c>
      <c r="D1450">
        <v>124</v>
      </c>
      <c r="E1450">
        <v>179</v>
      </c>
      <c r="F1450">
        <v>97</v>
      </c>
      <c r="G1450">
        <v>52</v>
      </c>
      <c r="H1450" t="s">
        <v>11</v>
      </c>
      <c r="I1450">
        <v>64813</v>
      </c>
      <c r="J1450">
        <v>1</v>
      </c>
      <c r="K1450">
        <v>0</v>
      </c>
      <c r="L1450">
        <v>0</v>
      </c>
      <c r="M1450">
        <v>1</v>
      </c>
      <c r="N1450">
        <f t="shared" si="44"/>
        <v>0.59019089608104058</v>
      </c>
      <c r="O1450">
        <f t="shared" si="45"/>
        <v>0.68473217466925085</v>
      </c>
    </row>
    <row r="1451" spans="1:15">
      <c r="A1451">
        <v>7734</v>
      </c>
      <c r="B1451">
        <v>471</v>
      </c>
      <c r="C1451">
        <v>102</v>
      </c>
      <c r="D1451">
        <v>125</v>
      </c>
      <c r="E1451">
        <v>212</v>
      </c>
      <c r="F1451">
        <v>61</v>
      </c>
      <c r="G1451">
        <v>245</v>
      </c>
      <c r="H1451" t="s">
        <v>12</v>
      </c>
      <c r="I1451">
        <v>79244</v>
      </c>
      <c r="J1451">
        <v>0</v>
      </c>
      <c r="K1451">
        <v>0</v>
      </c>
      <c r="L1451">
        <v>1</v>
      </c>
      <c r="M1451">
        <v>0</v>
      </c>
      <c r="N1451">
        <f t="shared" si="44"/>
        <v>1.2578801787575475</v>
      </c>
      <c r="O1451">
        <f t="shared" si="45"/>
        <v>0.64823417889418578</v>
      </c>
    </row>
    <row r="1452" spans="1:15">
      <c r="A1452">
        <v>7736</v>
      </c>
      <c r="B1452">
        <v>11</v>
      </c>
      <c r="C1452">
        <v>7</v>
      </c>
      <c r="D1452">
        <v>12</v>
      </c>
      <c r="E1452">
        <v>2</v>
      </c>
      <c r="F1452">
        <v>2</v>
      </c>
      <c r="G1452">
        <v>27</v>
      </c>
      <c r="H1452" t="s">
        <v>11</v>
      </c>
      <c r="I1452">
        <v>22518</v>
      </c>
      <c r="J1452">
        <v>1</v>
      </c>
      <c r="K1452">
        <v>0</v>
      </c>
      <c r="L1452">
        <v>0</v>
      </c>
      <c r="M1452">
        <v>1</v>
      </c>
      <c r="N1452">
        <f t="shared" si="44"/>
        <v>-1.366701780157811</v>
      </c>
      <c r="O1452">
        <f t="shared" si="45"/>
        <v>-0.29045737432280627</v>
      </c>
    </row>
    <row r="1453" spans="1:15">
      <c r="A1453">
        <v>7755</v>
      </c>
      <c r="B1453">
        <v>350</v>
      </c>
      <c r="C1453">
        <v>3</v>
      </c>
      <c r="D1453">
        <v>39</v>
      </c>
      <c r="E1453">
        <v>0</v>
      </c>
      <c r="F1453">
        <v>0</v>
      </c>
      <c r="G1453">
        <v>19</v>
      </c>
      <c r="H1453" t="s">
        <v>11</v>
      </c>
      <c r="I1453">
        <v>57744</v>
      </c>
      <c r="J1453">
        <v>0</v>
      </c>
      <c r="K1453">
        <v>1</v>
      </c>
      <c r="L1453">
        <v>0</v>
      </c>
      <c r="M1453">
        <v>1</v>
      </c>
      <c r="N1453">
        <f t="shared" si="44"/>
        <v>0.26312447384833121</v>
      </c>
      <c r="O1453">
        <f t="shared" si="45"/>
        <v>0.54116055770246385</v>
      </c>
    </row>
    <row r="1454" spans="1:15">
      <c r="A1454">
        <v>7761</v>
      </c>
      <c r="B1454">
        <v>13</v>
      </c>
      <c r="C1454">
        <v>11</v>
      </c>
      <c r="D1454">
        <v>24</v>
      </c>
      <c r="E1454">
        <v>13</v>
      </c>
      <c r="F1454">
        <v>8</v>
      </c>
      <c r="G1454">
        <v>40</v>
      </c>
      <c r="H1454" t="s">
        <v>11</v>
      </c>
      <c r="I1454">
        <v>38702</v>
      </c>
      <c r="J1454">
        <v>1</v>
      </c>
      <c r="K1454">
        <v>0</v>
      </c>
      <c r="L1454">
        <v>0</v>
      </c>
      <c r="M1454">
        <v>1</v>
      </c>
      <c r="N1454">
        <f t="shared" si="44"/>
        <v>-0.61790520675079896</v>
      </c>
      <c r="O1454">
        <f t="shared" si="45"/>
        <v>3.1654611970648713E-2</v>
      </c>
    </row>
    <row r="1455" spans="1:15">
      <c r="A1455">
        <v>7786</v>
      </c>
      <c r="B1455">
        <v>68</v>
      </c>
      <c r="C1455">
        <v>7</v>
      </c>
      <c r="D1455">
        <v>59</v>
      </c>
      <c r="E1455">
        <v>10</v>
      </c>
      <c r="F1455">
        <v>5</v>
      </c>
      <c r="G1455">
        <v>11</v>
      </c>
      <c r="H1455" t="s">
        <v>12</v>
      </c>
      <c r="I1455">
        <v>29999</v>
      </c>
      <c r="J1455">
        <v>1</v>
      </c>
      <c r="K1455">
        <v>0</v>
      </c>
      <c r="L1455">
        <v>1</v>
      </c>
      <c r="M1455">
        <v>0</v>
      </c>
      <c r="N1455">
        <f t="shared" si="44"/>
        <v>-1.0205730625566087</v>
      </c>
      <c r="O1455">
        <f t="shared" si="45"/>
        <v>-0.48460522004229262</v>
      </c>
    </row>
    <row r="1456" spans="1:15">
      <c r="A1456">
        <v>7788</v>
      </c>
      <c r="B1456">
        <v>6</v>
      </c>
      <c r="C1456">
        <v>0</v>
      </c>
      <c r="D1456">
        <v>3</v>
      </c>
      <c r="E1456">
        <v>0</v>
      </c>
      <c r="F1456">
        <v>0</v>
      </c>
      <c r="G1456">
        <v>1</v>
      </c>
      <c r="H1456" t="s">
        <v>11</v>
      </c>
      <c r="I1456">
        <v>23536</v>
      </c>
      <c r="J1456">
        <v>1</v>
      </c>
      <c r="K1456">
        <v>0</v>
      </c>
      <c r="L1456">
        <v>0</v>
      </c>
      <c r="M1456">
        <v>1</v>
      </c>
      <c r="N1456">
        <f t="shared" si="44"/>
        <v>-1.3196012542230398</v>
      </c>
      <c r="O1456">
        <f t="shared" si="45"/>
        <v>-0.27516264083040698</v>
      </c>
    </row>
    <row r="1457" spans="1:15">
      <c r="A1457">
        <v>7791</v>
      </c>
      <c r="B1457">
        <v>12</v>
      </c>
      <c r="C1457">
        <v>1</v>
      </c>
      <c r="D1457">
        <v>6</v>
      </c>
      <c r="E1457">
        <v>0</v>
      </c>
      <c r="F1457">
        <v>1</v>
      </c>
      <c r="G1457">
        <v>5</v>
      </c>
      <c r="H1457" t="s">
        <v>11</v>
      </c>
      <c r="I1457">
        <v>37054</v>
      </c>
      <c r="J1457">
        <v>1</v>
      </c>
      <c r="K1457">
        <v>1</v>
      </c>
      <c r="L1457">
        <v>0</v>
      </c>
      <c r="M1457">
        <v>1</v>
      </c>
      <c r="N1457">
        <f t="shared" si="44"/>
        <v>-0.69415438822477049</v>
      </c>
      <c r="O1457">
        <f t="shared" si="45"/>
        <v>-7.6584872116676654E-3</v>
      </c>
    </row>
    <row r="1458" spans="1:15">
      <c r="A1458">
        <v>7793</v>
      </c>
      <c r="B1458">
        <v>641</v>
      </c>
      <c r="C1458">
        <v>7</v>
      </c>
      <c r="D1458">
        <v>84</v>
      </c>
      <c r="E1458">
        <v>0</v>
      </c>
      <c r="F1458">
        <v>30</v>
      </c>
      <c r="G1458">
        <v>38</v>
      </c>
      <c r="H1458" t="s">
        <v>11</v>
      </c>
      <c r="I1458">
        <v>62061</v>
      </c>
      <c r="J1458">
        <v>0</v>
      </c>
      <c r="K1458">
        <v>1</v>
      </c>
      <c r="L1458">
        <v>0</v>
      </c>
      <c r="M1458">
        <v>1</v>
      </c>
      <c r="N1458">
        <f t="shared" si="44"/>
        <v>0.46286216585266088</v>
      </c>
      <c r="O1458">
        <f t="shared" si="45"/>
        <v>0.63429861460236914</v>
      </c>
    </row>
    <row r="1459" spans="1:15">
      <c r="A1459">
        <v>7798</v>
      </c>
      <c r="B1459">
        <v>233</v>
      </c>
      <c r="C1459">
        <v>20</v>
      </c>
      <c r="D1459">
        <v>57</v>
      </c>
      <c r="E1459">
        <v>8</v>
      </c>
      <c r="F1459">
        <v>20</v>
      </c>
      <c r="G1459">
        <v>91</v>
      </c>
      <c r="H1459" t="s">
        <v>11</v>
      </c>
      <c r="I1459">
        <v>46344</v>
      </c>
      <c r="J1459">
        <v>0</v>
      </c>
      <c r="K1459">
        <v>1</v>
      </c>
      <c r="L1459">
        <v>0</v>
      </c>
      <c r="M1459">
        <v>1</v>
      </c>
      <c r="N1459">
        <f t="shared" si="44"/>
        <v>-0.26432738828957886</v>
      </c>
      <c r="O1459">
        <f t="shared" si="45"/>
        <v>0.23747587210808702</v>
      </c>
    </row>
    <row r="1460" spans="1:15">
      <c r="A1460">
        <v>7801</v>
      </c>
      <c r="B1460">
        <v>197</v>
      </c>
      <c r="C1460">
        <v>107</v>
      </c>
      <c r="D1460">
        <v>227</v>
      </c>
      <c r="E1460">
        <v>7</v>
      </c>
      <c r="F1460">
        <v>59</v>
      </c>
      <c r="G1460">
        <v>131</v>
      </c>
      <c r="H1460" t="s">
        <v>11</v>
      </c>
      <c r="I1460">
        <v>54753</v>
      </c>
      <c r="J1460">
        <v>0</v>
      </c>
      <c r="K1460">
        <v>1</v>
      </c>
      <c r="L1460">
        <v>0</v>
      </c>
      <c r="M1460">
        <v>1</v>
      </c>
      <c r="N1460">
        <f t="shared" si="44"/>
        <v>0.12473776159793745</v>
      </c>
      <c r="O1460">
        <f t="shared" si="45"/>
        <v>0.4675973130818642</v>
      </c>
    </row>
    <row r="1461" spans="1:15">
      <c r="A1461">
        <v>7822</v>
      </c>
      <c r="B1461">
        <v>198</v>
      </c>
      <c r="C1461">
        <v>18</v>
      </c>
      <c r="D1461">
        <v>252</v>
      </c>
      <c r="E1461">
        <v>32</v>
      </c>
      <c r="F1461">
        <v>108</v>
      </c>
      <c r="G1461">
        <v>54</v>
      </c>
      <c r="H1461" t="s">
        <v>11</v>
      </c>
      <c r="I1461">
        <v>54058</v>
      </c>
      <c r="J1461">
        <v>0</v>
      </c>
      <c r="K1461">
        <v>1</v>
      </c>
      <c r="L1461">
        <v>0</v>
      </c>
      <c r="M1461">
        <v>1</v>
      </c>
      <c r="N1461">
        <f t="shared" si="44"/>
        <v>9.258170509040696E-2</v>
      </c>
      <c r="O1461">
        <f t="shared" si="45"/>
        <v>0.44962066875458734</v>
      </c>
    </row>
    <row r="1462" spans="1:15">
      <c r="A1462">
        <v>7828</v>
      </c>
      <c r="B1462">
        <v>68</v>
      </c>
      <c r="C1462">
        <v>129</v>
      </c>
      <c r="D1462">
        <v>396</v>
      </c>
      <c r="E1462">
        <v>188</v>
      </c>
      <c r="F1462">
        <v>22</v>
      </c>
      <c r="G1462">
        <v>15</v>
      </c>
      <c r="H1462" t="s">
        <v>11</v>
      </c>
      <c r="I1462">
        <v>77882</v>
      </c>
      <c r="J1462">
        <v>0</v>
      </c>
      <c r="K1462">
        <v>0</v>
      </c>
      <c r="L1462">
        <v>0</v>
      </c>
      <c r="M1462">
        <v>1</v>
      </c>
      <c r="N1462">
        <f t="shared" si="44"/>
        <v>1.1948635615442289</v>
      </c>
      <c r="O1462">
        <f t="shared" si="45"/>
        <v>0.99482321718549227</v>
      </c>
    </row>
    <row r="1463" spans="1:15">
      <c r="A1463">
        <v>7829</v>
      </c>
      <c r="B1463">
        <v>15</v>
      </c>
      <c r="C1463">
        <v>6</v>
      </c>
      <c r="D1463">
        <v>8</v>
      </c>
      <c r="E1463">
        <v>7</v>
      </c>
      <c r="F1463">
        <v>4</v>
      </c>
      <c r="G1463">
        <v>25</v>
      </c>
      <c r="H1463" t="s">
        <v>12</v>
      </c>
      <c r="I1463">
        <v>36640</v>
      </c>
      <c r="J1463">
        <v>1</v>
      </c>
      <c r="K1463">
        <v>0</v>
      </c>
      <c r="L1463">
        <v>1</v>
      </c>
      <c r="M1463">
        <v>0</v>
      </c>
      <c r="N1463">
        <f t="shared" si="44"/>
        <v>-0.71330921900767352</v>
      </c>
      <c r="O1463">
        <f t="shared" si="45"/>
        <v>-0.37293813743878057</v>
      </c>
    </row>
    <row r="1464" spans="1:15">
      <c r="A1464">
        <v>7832</v>
      </c>
      <c r="B1464">
        <v>940</v>
      </c>
      <c r="C1464">
        <v>44</v>
      </c>
      <c r="D1464">
        <v>396</v>
      </c>
      <c r="E1464">
        <v>0</v>
      </c>
      <c r="F1464">
        <v>88</v>
      </c>
      <c r="G1464">
        <v>58</v>
      </c>
      <c r="H1464" t="s">
        <v>11</v>
      </c>
      <c r="I1464">
        <v>77520</v>
      </c>
      <c r="J1464">
        <v>0</v>
      </c>
      <c r="K1464">
        <v>1</v>
      </c>
      <c r="L1464">
        <v>0</v>
      </c>
      <c r="M1464">
        <v>1</v>
      </c>
      <c r="N1464">
        <f t="shared" si="44"/>
        <v>1.1781146515359899</v>
      </c>
      <c r="O1464">
        <f t="shared" si="45"/>
        <v>0.83458565539729934</v>
      </c>
    </row>
    <row r="1465" spans="1:15">
      <c r="A1465">
        <v>7842</v>
      </c>
      <c r="B1465">
        <v>18</v>
      </c>
      <c r="C1465">
        <v>7</v>
      </c>
      <c r="D1465">
        <v>34</v>
      </c>
      <c r="E1465">
        <v>10</v>
      </c>
      <c r="F1465">
        <v>2</v>
      </c>
      <c r="G1465">
        <v>3</v>
      </c>
      <c r="H1465" t="s">
        <v>12</v>
      </c>
      <c r="I1465">
        <v>36065</v>
      </c>
      <c r="J1465">
        <v>1</v>
      </c>
      <c r="K1465">
        <v>1</v>
      </c>
      <c r="L1465">
        <v>1</v>
      </c>
      <c r="M1465">
        <v>0</v>
      </c>
      <c r="N1465">
        <f t="shared" si="44"/>
        <v>-0.73991315065059449</v>
      </c>
      <c r="O1465">
        <f t="shared" si="45"/>
        <v>-0.32532252965935937</v>
      </c>
    </row>
    <row r="1466" spans="1:15">
      <c r="A1466">
        <v>7848</v>
      </c>
      <c r="B1466">
        <v>224</v>
      </c>
      <c r="C1466">
        <v>2</v>
      </c>
      <c r="D1466">
        <v>25</v>
      </c>
      <c r="E1466">
        <v>7</v>
      </c>
      <c r="F1466">
        <v>0</v>
      </c>
      <c r="G1466">
        <v>110</v>
      </c>
      <c r="H1466" t="s">
        <v>12</v>
      </c>
      <c r="I1466">
        <v>49166</v>
      </c>
      <c r="J1466">
        <v>0</v>
      </c>
      <c r="K1466">
        <v>1</v>
      </c>
      <c r="L1466">
        <v>1</v>
      </c>
      <c r="M1466">
        <v>0</v>
      </c>
      <c r="N1466">
        <f t="shared" si="44"/>
        <v>-0.13375991855684358</v>
      </c>
      <c r="O1466">
        <f t="shared" si="45"/>
        <v>-7.7977609484513266E-2</v>
      </c>
    </row>
    <row r="1467" spans="1:15">
      <c r="A1467">
        <v>7849</v>
      </c>
      <c r="B1467">
        <v>209</v>
      </c>
      <c r="C1467">
        <v>19</v>
      </c>
      <c r="D1467">
        <v>456</v>
      </c>
      <c r="E1467">
        <v>160</v>
      </c>
      <c r="F1467">
        <v>142</v>
      </c>
      <c r="G1467">
        <v>66</v>
      </c>
      <c r="H1467" t="s">
        <v>11</v>
      </c>
      <c r="I1467">
        <v>80336</v>
      </c>
      <c r="J1467">
        <v>0</v>
      </c>
      <c r="K1467">
        <v>0</v>
      </c>
      <c r="L1467">
        <v>0</v>
      </c>
      <c r="M1467">
        <v>1</v>
      </c>
      <c r="N1467">
        <f t="shared" si="44"/>
        <v>1.3084045150254948</v>
      </c>
      <c r="O1467">
        <f t="shared" si="45"/>
        <v>0.99834551177001274</v>
      </c>
    </row>
    <row r="1468" spans="1:15">
      <c r="A1468">
        <v>7851</v>
      </c>
      <c r="B1468">
        <v>161</v>
      </c>
      <c r="C1468">
        <v>0</v>
      </c>
      <c r="D1468">
        <v>253</v>
      </c>
      <c r="E1468">
        <v>199</v>
      </c>
      <c r="F1468">
        <v>191</v>
      </c>
      <c r="G1468">
        <v>122</v>
      </c>
      <c r="H1468" t="s">
        <v>12</v>
      </c>
      <c r="I1468">
        <v>70165</v>
      </c>
      <c r="J1468">
        <v>0</v>
      </c>
      <c r="K1468">
        <v>0</v>
      </c>
      <c r="L1468">
        <v>1</v>
      </c>
      <c r="M1468">
        <v>0</v>
      </c>
      <c r="N1468">
        <f t="shared" si="44"/>
        <v>0.83781566504262783</v>
      </c>
      <c r="O1468">
        <f t="shared" si="45"/>
        <v>0.53182632453807988</v>
      </c>
    </row>
    <row r="1469" spans="1:15">
      <c r="A1469">
        <v>7861</v>
      </c>
      <c r="B1469">
        <v>820</v>
      </c>
      <c r="C1469">
        <v>57</v>
      </c>
      <c r="D1469">
        <v>242</v>
      </c>
      <c r="E1469">
        <v>45</v>
      </c>
      <c r="F1469">
        <v>0</v>
      </c>
      <c r="G1469">
        <v>11</v>
      </c>
      <c r="H1469" t="s">
        <v>11</v>
      </c>
      <c r="I1469">
        <v>77027</v>
      </c>
      <c r="J1469">
        <v>0</v>
      </c>
      <c r="K1469">
        <v>1</v>
      </c>
      <c r="L1469">
        <v>0</v>
      </c>
      <c r="M1469">
        <v>1</v>
      </c>
      <c r="N1469">
        <f t="shared" si="44"/>
        <v>1.1553046718838855</v>
      </c>
      <c r="O1469">
        <f t="shared" si="45"/>
        <v>0.8308756792908889</v>
      </c>
    </row>
    <row r="1470" spans="1:15">
      <c r="A1470">
        <v>7872</v>
      </c>
      <c r="B1470">
        <v>179</v>
      </c>
      <c r="C1470">
        <v>21</v>
      </c>
      <c r="D1470">
        <v>273</v>
      </c>
      <c r="E1470">
        <v>0</v>
      </c>
      <c r="F1470">
        <v>21</v>
      </c>
      <c r="G1470">
        <v>63</v>
      </c>
      <c r="H1470" t="s">
        <v>11</v>
      </c>
      <c r="I1470">
        <v>86836</v>
      </c>
      <c r="J1470">
        <v>0</v>
      </c>
      <c r="K1470">
        <v>0</v>
      </c>
      <c r="L1470">
        <v>0</v>
      </c>
      <c r="M1470">
        <v>1</v>
      </c>
      <c r="N1470">
        <f t="shared" si="44"/>
        <v>1.6091446118585138</v>
      </c>
      <c r="O1470">
        <f t="shared" si="45"/>
        <v>0.99923916124355583</v>
      </c>
    </row>
    <row r="1471" spans="1:15">
      <c r="A1471">
        <v>7873</v>
      </c>
      <c r="B1471">
        <v>141</v>
      </c>
      <c r="C1471">
        <v>11</v>
      </c>
      <c r="D1471">
        <v>114</v>
      </c>
      <c r="E1471">
        <v>15</v>
      </c>
      <c r="F1471">
        <v>14</v>
      </c>
      <c r="G1471">
        <v>5</v>
      </c>
      <c r="H1471" t="s">
        <v>11</v>
      </c>
      <c r="I1471">
        <v>63516</v>
      </c>
      <c r="J1471">
        <v>1</v>
      </c>
      <c r="K1471">
        <v>1</v>
      </c>
      <c r="L1471">
        <v>0</v>
      </c>
      <c r="M1471">
        <v>1</v>
      </c>
      <c r="N1471">
        <f t="shared" si="44"/>
        <v>0.53018167983605202</v>
      </c>
      <c r="O1471">
        <f t="shared" si="45"/>
        <v>0.55184799503025184</v>
      </c>
    </row>
    <row r="1472" spans="1:15">
      <c r="A1472">
        <v>7875</v>
      </c>
      <c r="B1472">
        <v>967</v>
      </c>
      <c r="C1472">
        <v>0</v>
      </c>
      <c r="D1472">
        <v>617</v>
      </c>
      <c r="E1472">
        <v>43</v>
      </c>
      <c r="F1472">
        <v>50</v>
      </c>
      <c r="G1472">
        <v>0</v>
      </c>
      <c r="H1472" t="s">
        <v>11</v>
      </c>
      <c r="I1472">
        <v>72025</v>
      </c>
      <c r="J1472">
        <v>0</v>
      </c>
      <c r="K1472">
        <v>0</v>
      </c>
      <c r="L1472">
        <v>0</v>
      </c>
      <c r="M1472">
        <v>1</v>
      </c>
      <c r="N1472">
        <f t="shared" si="44"/>
        <v>0.92387360044407629</v>
      </c>
      <c r="O1472">
        <f t="shared" si="45"/>
        <v>0.9736904221077709</v>
      </c>
    </row>
    <row r="1473" spans="1:15">
      <c r="A1473">
        <v>7881</v>
      </c>
      <c r="B1473">
        <v>620</v>
      </c>
      <c r="C1473">
        <v>26</v>
      </c>
      <c r="D1473">
        <v>195</v>
      </c>
      <c r="E1473">
        <v>34</v>
      </c>
      <c r="F1473">
        <v>17</v>
      </c>
      <c r="G1473">
        <v>141</v>
      </c>
      <c r="H1473" t="s">
        <v>11</v>
      </c>
      <c r="I1473">
        <v>66835</v>
      </c>
      <c r="J1473">
        <v>0</v>
      </c>
      <c r="K1473">
        <v>0</v>
      </c>
      <c r="L1473">
        <v>0</v>
      </c>
      <c r="M1473">
        <v>1</v>
      </c>
      <c r="N1473">
        <f t="shared" si="44"/>
        <v>0.68374420004971193</v>
      </c>
      <c r="O1473">
        <f t="shared" si="45"/>
        <v>0.93013665040872362</v>
      </c>
    </row>
    <row r="1474" spans="1:15">
      <c r="A1474">
        <v>7892</v>
      </c>
      <c r="B1474">
        <v>6</v>
      </c>
      <c r="C1474">
        <v>4</v>
      </c>
      <c r="D1474">
        <v>25</v>
      </c>
      <c r="E1474">
        <v>15</v>
      </c>
      <c r="F1474">
        <v>12</v>
      </c>
      <c r="G1474">
        <v>13</v>
      </c>
      <c r="H1474" t="s">
        <v>12</v>
      </c>
      <c r="I1474">
        <v>18589</v>
      </c>
      <c r="J1474">
        <v>0</v>
      </c>
      <c r="K1474">
        <v>0</v>
      </c>
      <c r="L1474">
        <v>1</v>
      </c>
      <c r="M1474">
        <v>0</v>
      </c>
      <c r="N1474">
        <f t="shared" si="44"/>
        <v>-1.5484876017665696</v>
      </c>
      <c r="O1474">
        <f t="shared" si="45"/>
        <v>-0.69566602107413811</v>
      </c>
    </row>
    <row r="1475" spans="1:15">
      <c r="A1475">
        <v>7899</v>
      </c>
      <c r="B1475">
        <v>1245</v>
      </c>
      <c r="C1475">
        <v>33</v>
      </c>
      <c r="D1475">
        <v>332</v>
      </c>
      <c r="E1475">
        <v>21</v>
      </c>
      <c r="F1475">
        <v>33</v>
      </c>
      <c r="G1475">
        <v>16</v>
      </c>
      <c r="H1475" t="s">
        <v>11</v>
      </c>
      <c r="I1475">
        <v>77610</v>
      </c>
      <c r="J1475">
        <v>0</v>
      </c>
      <c r="K1475">
        <v>1</v>
      </c>
      <c r="L1475">
        <v>0</v>
      </c>
      <c r="M1475">
        <v>1</v>
      </c>
      <c r="N1475">
        <f t="shared" ref="N1475:N1538" si="46">STANDARDIZE(I1475,$Q$1,$R$1)</f>
        <v>1.1822787451844472</v>
      </c>
      <c r="O1475">
        <f t="shared" ref="O1475:O1538" si="47">SUMPRODUCT(J1475:N1475,$Q$4:$U$4) / SQRT(SUMSQ(J1475:N1475) * SUMSQ($Q$4:$U$4))</f>
        <v>0.83524841094446278</v>
      </c>
    </row>
    <row r="1476" spans="1:15">
      <c r="A1476">
        <v>7901</v>
      </c>
      <c r="B1476">
        <v>9</v>
      </c>
      <c r="C1476">
        <v>1</v>
      </c>
      <c r="D1476">
        <v>5</v>
      </c>
      <c r="E1476">
        <v>2</v>
      </c>
      <c r="F1476">
        <v>1</v>
      </c>
      <c r="G1476">
        <v>4</v>
      </c>
      <c r="H1476" t="s">
        <v>11</v>
      </c>
      <c r="I1476">
        <v>34109</v>
      </c>
      <c r="J1476">
        <v>0</v>
      </c>
      <c r="K1476">
        <v>1</v>
      </c>
      <c r="L1476">
        <v>0</v>
      </c>
      <c r="M1476">
        <v>1</v>
      </c>
      <c r="N1476">
        <f t="shared" si="46"/>
        <v>-0.83041278594373058</v>
      </c>
      <c r="O1476">
        <f t="shared" si="47"/>
        <v>-7.7517719368643712E-2</v>
      </c>
    </row>
    <row r="1477" spans="1:15">
      <c r="A1477">
        <v>7912</v>
      </c>
      <c r="B1477">
        <v>8</v>
      </c>
      <c r="C1477">
        <v>15</v>
      </c>
      <c r="D1477">
        <v>27</v>
      </c>
      <c r="E1477">
        <v>0</v>
      </c>
      <c r="F1477">
        <v>20</v>
      </c>
      <c r="G1477">
        <v>33</v>
      </c>
      <c r="H1477" t="s">
        <v>11</v>
      </c>
      <c r="I1477">
        <v>38136</v>
      </c>
      <c r="J1477">
        <v>1</v>
      </c>
      <c r="K1477">
        <v>0</v>
      </c>
      <c r="L1477">
        <v>0</v>
      </c>
      <c r="M1477">
        <v>1</v>
      </c>
      <c r="N1477">
        <f t="shared" si="46"/>
        <v>-0.64409272902887416</v>
      </c>
      <c r="O1477">
        <f t="shared" si="47"/>
        <v>1.7481879774911769E-2</v>
      </c>
    </row>
    <row r="1478" spans="1:15">
      <c r="A1478">
        <v>7919</v>
      </c>
      <c r="B1478">
        <v>1285</v>
      </c>
      <c r="C1478">
        <v>105</v>
      </c>
      <c r="D1478">
        <v>653</v>
      </c>
      <c r="E1478">
        <v>28</v>
      </c>
      <c r="F1478">
        <v>21</v>
      </c>
      <c r="G1478">
        <v>0</v>
      </c>
      <c r="H1478" t="s">
        <v>11</v>
      </c>
      <c r="I1478">
        <v>72335</v>
      </c>
      <c r="J1478">
        <v>0</v>
      </c>
      <c r="K1478">
        <v>0</v>
      </c>
      <c r="L1478">
        <v>0</v>
      </c>
      <c r="M1478">
        <v>1</v>
      </c>
      <c r="N1478">
        <f t="shared" si="46"/>
        <v>0.93821658967765109</v>
      </c>
      <c r="O1478">
        <f t="shared" si="47"/>
        <v>0.97541244562059459</v>
      </c>
    </row>
    <row r="1479" spans="1:15">
      <c r="A1479">
        <v>7922</v>
      </c>
      <c r="B1479">
        <v>819</v>
      </c>
      <c r="C1479">
        <v>0</v>
      </c>
      <c r="D1479">
        <v>72</v>
      </c>
      <c r="E1479">
        <v>12</v>
      </c>
      <c r="F1479">
        <v>0</v>
      </c>
      <c r="G1479">
        <v>63</v>
      </c>
      <c r="H1479" t="s">
        <v>12</v>
      </c>
      <c r="I1479">
        <v>64950</v>
      </c>
      <c r="J1479">
        <v>0</v>
      </c>
      <c r="K1479">
        <v>1</v>
      </c>
      <c r="L1479">
        <v>1</v>
      </c>
      <c r="M1479">
        <v>0</v>
      </c>
      <c r="N1479">
        <f t="shared" si="46"/>
        <v>0.5965295719681365</v>
      </c>
      <c r="O1479">
        <f t="shared" si="47"/>
        <v>0.32184831393626911</v>
      </c>
    </row>
    <row r="1480" spans="1:15">
      <c r="A1480">
        <v>7930</v>
      </c>
      <c r="B1480">
        <v>101</v>
      </c>
      <c r="C1480">
        <v>13</v>
      </c>
      <c r="D1480">
        <v>76</v>
      </c>
      <c r="E1480">
        <v>20</v>
      </c>
      <c r="F1480">
        <v>18</v>
      </c>
      <c r="G1480">
        <v>40</v>
      </c>
      <c r="H1480" t="s">
        <v>12</v>
      </c>
      <c r="I1480">
        <v>26877</v>
      </c>
      <c r="J1480">
        <v>0</v>
      </c>
      <c r="K1480">
        <v>0</v>
      </c>
      <c r="L1480">
        <v>1</v>
      </c>
      <c r="M1480">
        <v>0</v>
      </c>
      <c r="N1480">
        <f t="shared" si="46"/>
        <v>-1.1650208444508678</v>
      </c>
      <c r="O1480">
        <f t="shared" si="47"/>
        <v>-0.62837884073403916</v>
      </c>
    </row>
    <row r="1481" spans="1:15">
      <c r="A1481">
        <v>7937</v>
      </c>
      <c r="B1481">
        <v>10</v>
      </c>
      <c r="C1481">
        <v>7</v>
      </c>
      <c r="D1481">
        <v>25</v>
      </c>
      <c r="E1481">
        <v>6</v>
      </c>
      <c r="F1481">
        <v>3</v>
      </c>
      <c r="G1481">
        <v>7</v>
      </c>
      <c r="H1481" t="s">
        <v>11</v>
      </c>
      <c r="I1481">
        <v>24711</v>
      </c>
      <c r="J1481">
        <v>0</v>
      </c>
      <c r="K1481">
        <v>0</v>
      </c>
      <c r="L1481">
        <v>0</v>
      </c>
      <c r="M1481">
        <v>1</v>
      </c>
      <c r="N1481">
        <f t="shared" si="46"/>
        <v>-1.2652366982570709</v>
      </c>
      <c r="O1481">
        <f t="shared" si="47"/>
        <v>-0.30210989265338029</v>
      </c>
    </row>
    <row r="1482" spans="1:15">
      <c r="A1482">
        <v>7938</v>
      </c>
      <c r="B1482">
        <v>350</v>
      </c>
      <c r="C1482">
        <v>8</v>
      </c>
      <c r="D1482">
        <v>66</v>
      </c>
      <c r="E1482">
        <v>17</v>
      </c>
      <c r="F1482">
        <v>4</v>
      </c>
      <c r="G1482">
        <v>4</v>
      </c>
      <c r="H1482" t="s">
        <v>11</v>
      </c>
      <c r="I1482">
        <v>51518</v>
      </c>
      <c r="J1482">
        <v>0</v>
      </c>
      <c r="K1482">
        <v>1</v>
      </c>
      <c r="L1482">
        <v>0</v>
      </c>
      <c r="M1482">
        <v>1</v>
      </c>
      <c r="N1482">
        <f t="shared" si="46"/>
        <v>-2.4938271210495806E-2</v>
      </c>
      <c r="O1482">
        <f t="shared" si="47"/>
        <v>0.38170774275786029</v>
      </c>
    </row>
    <row r="1483" spans="1:15">
      <c r="A1483">
        <v>7943</v>
      </c>
      <c r="B1483">
        <v>18</v>
      </c>
      <c r="C1483">
        <v>0</v>
      </c>
      <c r="D1483">
        <v>6</v>
      </c>
      <c r="E1483">
        <v>3</v>
      </c>
      <c r="F1483">
        <v>3</v>
      </c>
      <c r="G1483">
        <v>5</v>
      </c>
      <c r="H1483" t="s">
        <v>11</v>
      </c>
      <c r="I1483">
        <v>36663</v>
      </c>
      <c r="J1483">
        <v>1</v>
      </c>
      <c r="K1483">
        <v>0</v>
      </c>
      <c r="L1483">
        <v>0</v>
      </c>
      <c r="M1483">
        <v>1</v>
      </c>
      <c r="N1483">
        <f t="shared" si="46"/>
        <v>-0.71224506174195668</v>
      </c>
      <c r="O1483">
        <f t="shared" si="47"/>
        <v>-1.8486138532840677E-2</v>
      </c>
    </row>
    <row r="1484" spans="1:15">
      <c r="A1484">
        <v>7947</v>
      </c>
      <c r="B1484">
        <v>24</v>
      </c>
      <c r="C1484">
        <v>0</v>
      </c>
      <c r="D1484">
        <v>8</v>
      </c>
      <c r="E1484">
        <v>0</v>
      </c>
      <c r="F1484">
        <v>1</v>
      </c>
      <c r="G1484">
        <v>4</v>
      </c>
      <c r="H1484" t="s">
        <v>11</v>
      </c>
      <c r="I1484">
        <v>42231</v>
      </c>
      <c r="J1484">
        <v>1</v>
      </c>
      <c r="K1484">
        <v>1</v>
      </c>
      <c r="L1484">
        <v>0</v>
      </c>
      <c r="M1484">
        <v>1</v>
      </c>
      <c r="N1484">
        <f t="shared" si="46"/>
        <v>-0.45462646802407219</v>
      </c>
      <c r="O1484">
        <f t="shared" si="47"/>
        <v>0.10278934937657726</v>
      </c>
    </row>
    <row r="1485" spans="1:15">
      <c r="A1485">
        <v>7959</v>
      </c>
      <c r="B1485">
        <v>658</v>
      </c>
      <c r="C1485">
        <v>80</v>
      </c>
      <c r="D1485">
        <v>483</v>
      </c>
      <c r="E1485">
        <v>123</v>
      </c>
      <c r="F1485">
        <v>13</v>
      </c>
      <c r="G1485">
        <v>13</v>
      </c>
      <c r="H1485" t="s">
        <v>11</v>
      </c>
      <c r="I1485">
        <v>79410</v>
      </c>
      <c r="J1485">
        <v>0</v>
      </c>
      <c r="K1485">
        <v>0</v>
      </c>
      <c r="L1485">
        <v>0</v>
      </c>
      <c r="M1485">
        <v>1</v>
      </c>
      <c r="N1485">
        <f t="shared" si="46"/>
        <v>1.2655606181535908</v>
      </c>
      <c r="O1485">
        <f t="shared" si="47"/>
        <v>0.99728817832326067</v>
      </c>
    </row>
    <row r="1486" spans="1:15">
      <c r="A1486">
        <v>7960</v>
      </c>
      <c r="B1486">
        <v>734</v>
      </c>
      <c r="C1486">
        <v>22</v>
      </c>
      <c r="D1486">
        <v>350</v>
      </c>
      <c r="E1486">
        <v>151</v>
      </c>
      <c r="F1486">
        <v>25</v>
      </c>
      <c r="G1486">
        <v>100</v>
      </c>
      <c r="H1486" t="s">
        <v>11</v>
      </c>
      <c r="I1486">
        <v>82122</v>
      </c>
      <c r="J1486">
        <v>0</v>
      </c>
      <c r="K1486">
        <v>0</v>
      </c>
      <c r="L1486">
        <v>0</v>
      </c>
      <c r="M1486">
        <v>1</v>
      </c>
      <c r="N1486">
        <f t="shared" si="46"/>
        <v>1.3910386400937673</v>
      </c>
      <c r="O1486">
        <f t="shared" si="47"/>
        <v>0.99960134639303411</v>
      </c>
    </row>
    <row r="1487" spans="1:15">
      <c r="A1487">
        <v>7962</v>
      </c>
      <c r="B1487">
        <v>1285</v>
      </c>
      <c r="C1487">
        <v>21</v>
      </c>
      <c r="D1487">
        <v>449</v>
      </c>
      <c r="E1487">
        <v>106</v>
      </c>
      <c r="F1487">
        <v>20</v>
      </c>
      <c r="G1487">
        <v>20</v>
      </c>
      <c r="H1487" t="s">
        <v>12</v>
      </c>
      <c r="I1487">
        <v>95169</v>
      </c>
      <c r="J1487">
        <v>0</v>
      </c>
      <c r="K1487">
        <v>0</v>
      </c>
      <c r="L1487">
        <v>1</v>
      </c>
      <c r="M1487">
        <v>0</v>
      </c>
      <c r="N1487">
        <f t="shared" si="46"/>
        <v>1.994693415998444</v>
      </c>
      <c r="O1487">
        <f t="shared" si="47"/>
        <v>0.74029801410095342</v>
      </c>
    </row>
    <row r="1488" spans="1:15">
      <c r="A1488">
        <v>7966</v>
      </c>
      <c r="B1488">
        <v>505</v>
      </c>
      <c r="C1488">
        <v>137</v>
      </c>
      <c r="D1488">
        <v>401</v>
      </c>
      <c r="E1488">
        <v>104</v>
      </c>
      <c r="F1488">
        <v>22</v>
      </c>
      <c r="G1488">
        <v>22</v>
      </c>
      <c r="H1488" t="s">
        <v>12</v>
      </c>
      <c r="I1488">
        <v>80982</v>
      </c>
      <c r="J1488">
        <v>1</v>
      </c>
      <c r="K1488">
        <v>1</v>
      </c>
      <c r="L1488">
        <v>1</v>
      </c>
      <c r="M1488">
        <v>0</v>
      </c>
      <c r="N1488">
        <f t="shared" si="46"/>
        <v>1.3382934538799764</v>
      </c>
      <c r="O1488">
        <f t="shared" si="47"/>
        <v>0.50632548490327955</v>
      </c>
    </row>
    <row r="1489" spans="1:15">
      <c r="A1489">
        <v>7972</v>
      </c>
      <c r="B1489">
        <v>400</v>
      </c>
      <c r="C1489">
        <v>32</v>
      </c>
      <c r="D1489">
        <v>519</v>
      </c>
      <c r="E1489">
        <v>71</v>
      </c>
      <c r="F1489">
        <v>75</v>
      </c>
      <c r="G1489">
        <v>54</v>
      </c>
      <c r="H1489" t="s">
        <v>12</v>
      </c>
      <c r="I1489">
        <v>72906</v>
      </c>
      <c r="J1489">
        <v>0</v>
      </c>
      <c r="K1489">
        <v>0</v>
      </c>
      <c r="L1489">
        <v>1</v>
      </c>
      <c r="M1489">
        <v>0</v>
      </c>
      <c r="N1489">
        <f t="shared" si="46"/>
        <v>0.96463545049175159</v>
      </c>
      <c r="O1489">
        <f t="shared" si="47"/>
        <v>0.57493499133344217</v>
      </c>
    </row>
    <row r="1490" spans="1:15">
      <c r="A1490">
        <v>7987</v>
      </c>
      <c r="B1490">
        <v>346</v>
      </c>
      <c r="C1490">
        <v>17</v>
      </c>
      <c r="D1490">
        <v>48</v>
      </c>
      <c r="E1490">
        <v>23</v>
      </c>
      <c r="F1490">
        <v>13</v>
      </c>
      <c r="G1490">
        <v>13</v>
      </c>
      <c r="H1490" t="s">
        <v>11</v>
      </c>
      <c r="I1490">
        <v>65747</v>
      </c>
      <c r="J1490">
        <v>0</v>
      </c>
      <c r="K1490">
        <v>1</v>
      </c>
      <c r="L1490">
        <v>0</v>
      </c>
      <c r="M1490">
        <v>1</v>
      </c>
      <c r="N1490">
        <f t="shared" si="46"/>
        <v>0.63340493461058511</v>
      </c>
      <c r="O1490">
        <f t="shared" si="47"/>
        <v>0.70024523638549019</v>
      </c>
    </row>
    <row r="1491" spans="1:15">
      <c r="A1491">
        <v>7990</v>
      </c>
      <c r="B1491">
        <v>9</v>
      </c>
      <c r="C1491">
        <v>1</v>
      </c>
      <c r="D1491">
        <v>2</v>
      </c>
      <c r="E1491">
        <v>3</v>
      </c>
      <c r="F1491">
        <v>2</v>
      </c>
      <c r="G1491">
        <v>0</v>
      </c>
      <c r="H1491" t="s">
        <v>11</v>
      </c>
      <c r="I1491">
        <v>27469</v>
      </c>
      <c r="J1491">
        <v>0</v>
      </c>
      <c r="K1491">
        <v>0</v>
      </c>
      <c r="L1491">
        <v>0</v>
      </c>
      <c r="M1491">
        <v>1</v>
      </c>
      <c r="N1491">
        <f t="shared" si="46"/>
        <v>-1.1376303617854606</v>
      </c>
      <c r="O1491">
        <f t="shared" si="47"/>
        <v>-0.2518986614797622</v>
      </c>
    </row>
    <row r="1492" spans="1:15">
      <c r="A1492">
        <v>7998</v>
      </c>
      <c r="B1492">
        <v>53</v>
      </c>
      <c r="C1492">
        <v>8</v>
      </c>
      <c r="D1492">
        <v>17</v>
      </c>
      <c r="E1492">
        <v>13</v>
      </c>
      <c r="F1492">
        <v>0</v>
      </c>
      <c r="G1492">
        <v>21</v>
      </c>
      <c r="H1492" t="s">
        <v>11</v>
      </c>
      <c r="I1492">
        <v>28087</v>
      </c>
      <c r="J1492">
        <v>1</v>
      </c>
      <c r="K1492">
        <v>1</v>
      </c>
      <c r="L1492">
        <v>0</v>
      </c>
      <c r="M1492">
        <v>1</v>
      </c>
      <c r="N1492">
        <f t="shared" si="46"/>
        <v>-1.1090369187327214</v>
      </c>
      <c r="O1492">
        <f t="shared" si="47"/>
        <v>-0.17399956548066567</v>
      </c>
    </row>
    <row r="1493" spans="1:15">
      <c r="A1493">
        <v>7999</v>
      </c>
      <c r="B1493">
        <v>1239</v>
      </c>
      <c r="C1493">
        <v>17</v>
      </c>
      <c r="D1493">
        <v>413</v>
      </c>
      <c r="E1493">
        <v>23</v>
      </c>
      <c r="F1493">
        <v>34</v>
      </c>
      <c r="G1493">
        <v>17</v>
      </c>
      <c r="H1493" t="s">
        <v>11</v>
      </c>
      <c r="I1493">
        <v>75261</v>
      </c>
      <c r="J1493">
        <v>0</v>
      </c>
      <c r="K1493">
        <v>0</v>
      </c>
      <c r="L1493">
        <v>0</v>
      </c>
      <c r="M1493">
        <v>1</v>
      </c>
      <c r="N1493">
        <f t="shared" si="46"/>
        <v>1.0735959009597147</v>
      </c>
      <c r="O1493">
        <f t="shared" si="47"/>
        <v>0.98803176894608336</v>
      </c>
    </row>
    <row r="1494" spans="1:15">
      <c r="A1494">
        <v>8008</v>
      </c>
      <c r="B1494">
        <v>46</v>
      </c>
      <c r="C1494">
        <v>0</v>
      </c>
      <c r="D1494">
        <v>30</v>
      </c>
      <c r="E1494">
        <v>12</v>
      </c>
      <c r="F1494">
        <v>1</v>
      </c>
      <c r="G1494">
        <v>30</v>
      </c>
      <c r="H1494" t="s">
        <v>11</v>
      </c>
      <c r="I1494">
        <v>36075</v>
      </c>
      <c r="J1494">
        <v>1</v>
      </c>
      <c r="K1494">
        <v>0</v>
      </c>
      <c r="L1494">
        <v>0</v>
      </c>
      <c r="M1494">
        <v>1</v>
      </c>
      <c r="N1494">
        <f t="shared" si="46"/>
        <v>-0.73945047357854365</v>
      </c>
      <c r="O1494">
        <f t="shared" si="47"/>
        <v>-3.2459549229224151E-2</v>
      </c>
    </row>
    <row r="1495" spans="1:15">
      <c r="A1495">
        <v>8017</v>
      </c>
      <c r="B1495">
        <v>22</v>
      </c>
      <c r="C1495">
        <v>0</v>
      </c>
      <c r="D1495">
        <v>19</v>
      </c>
      <c r="E1495">
        <v>6</v>
      </c>
      <c r="F1495">
        <v>5</v>
      </c>
      <c r="G1495">
        <v>3</v>
      </c>
      <c r="H1495" t="s">
        <v>11</v>
      </c>
      <c r="I1495">
        <v>51111</v>
      </c>
      <c r="J1495">
        <v>1</v>
      </c>
      <c r="K1495">
        <v>1</v>
      </c>
      <c r="L1495">
        <v>0</v>
      </c>
      <c r="M1495">
        <v>1</v>
      </c>
      <c r="N1495">
        <f t="shared" si="46"/>
        <v>-4.37692280429633E-2</v>
      </c>
      <c r="O1495">
        <f t="shared" si="47"/>
        <v>0.30261155469334039</v>
      </c>
    </row>
    <row r="1496" spans="1:15">
      <c r="A1496">
        <v>8026</v>
      </c>
      <c r="B1496">
        <v>120</v>
      </c>
      <c r="C1496">
        <v>58</v>
      </c>
      <c r="D1496">
        <v>73</v>
      </c>
      <c r="E1496">
        <v>65</v>
      </c>
      <c r="F1496">
        <v>89</v>
      </c>
      <c r="G1496">
        <v>58</v>
      </c>
      <c r="H1496" t="s">
        <v>11</v>
      </c>
      <c r="I1496">
        <v>62998</v>
      </c>
      <c r="J1496">
        <v>0</v>
      </c>
      <c r="K1496">
        <v>1</v>
      </c>
      <c r="L1496">
        <v>0</v>
      </c>
      <c r="M1496">
        <v>1</v>
      </c>
      <c r="N1496">
        <f t="shared" si="46"/>
        <v>0.50621500750382065</v>
      </c>
      <c r="O1496">
        <f t="shared" si="47"/>
        <v>0.65226645322056331</v>
      </c>
    </row>
    <row r="1497" spans="1:15">
      <c r="A1497">
        <v>8029</v>
      </c>
      <c r="B1497">
        <v>1184</v>
      </c>
      <c r="C1497">
        <v>32</v>
      </c>
      <c r="D1497">
        <v>352</v>
      </c>
      <c r="E1497">
        <v>21</v>
      </c>
      <c r="F1497">
        <v>16</v>
      </c>
      <c r="G1497">
        <v>16</v>
      </c>
      <c r="H1497" t="s">
        <v>12</v>
      </c>
      <c r="I1497">
        <v>90247</v>
      </c>
      <c r="J1497">
        <v>0</v>
      </c>
      <c r="K1497">
        <v>0</v>
      </c>
      <c r="L1497">
        <v>1</v>
      </c>
      <c r="M1497">
        <v>0</v>
      </c>
      <c r="N1497">
        <f t="shared" si="46"/>
        <v>1.7669637611350411</v>
      </c>
      <c r="O1497">
        <f t="shared" si="47"/>
        <v>0.72070580683076924</v>
      </c>
    </row>
    <row r="1498" spans="1:15">
      <c r="A1498">
        <v>8036</v>
      </c>
      <c r="B1498">
        <v>31</v>
      </c>
      <c r="C1498">
        <v>1</v>
      </c>
      <c r="D1498">
        <v>13</v>
      </c>
      <c r="E1498">
        <v>7</v>
      </c>
      <c r="F1498">
        <v>2</v>
      </c>
      <c r="G1498">
        <v>9</v>
      </c>
      <c r="H1498" t="s">
        <v>11</v>
      </c>
      <c r="I1498">
        <v>26850</v>
      </c>
      <c r="J1498">
        <v>1</v>
      </c>
      <c r="K1498">
        <v>1</v>
      </c>
      <c r="L1498">
        <v>0</v>
      </c>
      <c r="M1498">
        <v>1</v>
      </c>
      <c r="N1498">
        <f t="shared" si="46"/>
        <v>-1.1662700725454052</v>
      </c>
      <c r="O1498">
        <f t="shared" si="47"/>
        <v>-0.19407952287302677</v>
      </c>
    </row>
    <row r="1499" spans="1:15">
      <c r="A1499">
        <v>8041</v>
      </c>
      <c r="B1499">
        <v>595</v>
      </c>
      <c r="C1499">
        <v>71</v>
      </c>
      <c r="D1499">
        <v>153</v>
      </c>
      <c r="E1499">
        <v>120</v>
      </c>
      <c r="F1499">
        <v>112</v>
      </c>
      <c r="G1499">
        <v>41</v>
      </c>
      <c r="H1499" t="s">
        <v>12</v>
      </c>
      <c r="I1499">
        <v>47111</v>
      </c>
      <c r="J1499">
        <v>0</v>
      </c>
      <c r="K1499">
        <v>1</v>
      </c>
      <c r="L1499">
        <v>1</v>
      </c>
      <c r="M1499">
        <v>0</v>
      </c>
      <c r="N1499">
        <f t="shared" si="46"/>
        <v>-0.22884005686328263</v>
      </c>
      <c r="O1499">
        <f t="shared" si="47"/>
        <v>-0.13228094963778847</v>
      </c>
    </row>
    <row r="1500" spans="1:15">
      <c r="A1500">
        <v>8070</v>
      </c>
      <c r="B1500">
        <v>199</v>
      </c>
      <c r="C1500">
        <v>12</v>
      </c>
      <c r="D1500">
        <v>31</v>
      </c>
      <c r="E1500">
        <v>3</v>
      </c>
      <c r="F1500">
        <v>12</v>
      </c>
      <c r="G1500">
        <v>7</v>
      </c>
      <c r="H1500" t="s">
        <v>11</v>
      </c>
      <c r="I1500">
        <v>54222</v>
      </c>
      <c r="J1500">
        <v>0</v>
      </c>
      <c r="K1500">
        <v>1</v>
      </c>
      <c r="L1500">
        <v>0</v>
      </c>
      <c r="M1500">
        <v>1</v>
      </c>
      <c r="N1500">
        <f t="shared" si="46"/>
        <v>0.10016960907204006</v>
      </c>
      <c r="O1500">
        <f t="shared" si="47"/>
        <v>0.45388919329106625</v>
      </c>
    </row>
    <row r="1501" spans="1:15">
      <c r="A1501">
        <v>8079</v>
      </c>
      <c r="B1501">
        <v>3</v>
      </c>
      <c r="C1501">
        <v>1</v>
      </c>
      <c r="D1501">
        <v>8</v>
      </c>
      <c r="E1501">
        <v>23</v>
      </c>
      <c r="F1501">
        <v>2</v>
      </c>
      <c r="G1501">
        <v>18</v>
      </c>
      <c r="H1501" t="s">
        <v>11</v>
      </c>
      <c r="I1501">
        <v>22448</v>
      </c>
      <c r="J1501">
        <v>1</v>
      </c>
      <c r="K1501">
        <v>0</v>
      </c>
      <c r="L1501">
        <v>0</v>
      </c>
      <c r="M1501">
        <v>1</v>
      </c>
      <c r="N1501">
        <f t="shared" si="46"/>
        <v>-1.3699405196621666</v>
      </c>
      <c r="O1501">
        <f t="shared" si="47"/>
        <v>-0.29148733594551707</v>
      </c>
    </row>
    <row r="1502" spans="1:15">
      <c r="A1502">
        <v>8080</v>
      </c>
      <c r="B1502">
        <v>5</v>
      </c>
      <c r="C1502">
        <v>1</v>
      </c>
      <c r="D1502">
        <v>6</v>
      </c>
      <c r="E1502">
        <v>3</v>
      </c>
      <c r="F1502">
        <v>4</v>
      </c>
      <c r="G1502">
        <v>3</v>
      </c>
      <c r="H1502" t="s">
        <v>12</v>
      </c>
      <c r="I1502">
        <v>26816</v>
      </c>
      <c r="J1502">
        <v>0</v>
      </c>
      <c r="K1502">
        <v>0</v>
      </c>
      <c r="L1502">
        <v>1</v>
      </c>
      <c r="M1502">
        <v>0</v>
      </c>
      <c r="N1502">
        <f t="shared" si="46"/>
        <v>-1.1678431745903779</v>
      </c>
      <c r="O1502">
        <f t="shared" si="47"/>
        <v>-0.6290232732426625</v>
      </c>
    </row>
    <row r="1503" spans="1:15">
      <c r="A1503">
        <v>8082</v>
      </c>
      <c r="B1503">
        <v>1</v>
      </c>
      <c r="C1503">
        <v>3</v>
      </c>
      <c r="D1503">
        <v>6</v>
      </c>
      <c r="E1503">
        <v>3</v>
      </c>
      <c r="F1503">
        <v>6</v>
      </c>
      <c r="G1503">
        <v>15</v>
      </c>
      <c r="H1503" t="s">
        <v>11</v>
      </c>
      <c r="I1503">
        <v>25721</v>
      </c>
      <c r="J1503">
        <v>1</v>
      </c>
      <c r="K1503">
        <v>0</v>
      </c>
      <c r="L1503">
        <v>0</v>
      </c>
      <c r="M1503">
        <v>1</v>
      </c>
      <c r="N1503">
        <f t="shared" si="46"/>
        <v>-1.2185063139799401</v>
      </c>
      <c r="O1503">
        <f t="shared" si="47"/>
        <v>-0.2402658525681024</v>
      </c>
    </row>
    <row r="1504" spans="1:15">
      <c r="A1504">
        <v>8086</v>
      </c>
      <c r="B1504">
        <v>48</v>
      </c>
      <c r="C1504">
        <v>0</v>
      </c>
      <c r="D1504">
        <v>2</v>
      </c>
      <c r="E1504">
        <v>0</v>
      </c>
      <c r="F1504">
        <v>0</v>
      </c>
      <c r="G1504">
        <v>5</v>
      </c>
      <c r="H1504" t="s">
        <v>11</v>
      </c>
      <c r="I1504">
        <v>42243</v>
      </c>
      <c r="J1504">
        <v>1</v>
      </c>
      <c r="K1504">
        <v>1</v>
      </c>
      <c r="L1504">
        <v>0</v>
      </c>
      <c r="M1504">
        <v>1</v>
      </c>
      <c r="N1504">
        <f t="shared" si="46"/>
        <v>-0.45407125553761124</v>
      </c>
      <c r="O1504">
        <f t="shared" si="47"/>
        <v>0.10305421461253031</v>
      </c>
    </row>
    <row r="1505" spans="1:15">
      <c r="A1505">
        <v>8091</v>
      </c>
      <c r="B1505">
        <v>423</v>
      </c>
      <c r="C1505">
        <v>184</v>
      </c>
      <c r="D1505">
        <v>368</v>
      </c>
      <c r="E1505">
        <v>13</v>
      </c>
      <c r="F1505">
        <v>97</v>
      </c>
      <c r="G1505">
        <v>21</v>
      </c>
      <c r="H1505" t="s">
        <v>11</v>
      </c>
      <c r="I1505">
        <v>63943</v>
      </c>
      <c r="J1505">
        <v>0</v>
      </c>
      <c r="K1505">
        <v>1</v>
      </c>
      <c r="L1505">
        <v>0</v>
      </c>
      <c r="M1505">
        <v>1</v>
      </c>
      <c r="N1505">
        <f t="shared" si="46"/>
        <v>0.54993799081262107</v>
      </c>
      <c r="O1505">
        <f t="shared" si="47"/>
        <v>0.66955444419958488</v>
      </c>
    </row>
    <row r="1506" spans="1:15">
      <c r="A1506">
        <v>8093</v>
      </c>
      <c r="B1506">
        <v>572</v>
      </c>
      <c r="C1506">
        <v>8</v>
      </c>
      <c r="D1506">
        <v>232</v>
      </c>
      <c r="E1506">
        <v>23</v>
      </c>
      <c r="F1506">
        <v>62</v>
      </c>
      <c r="G1506">
        <v>17</v>
      </c>
      <c r="H1506" t="s">
        <v>11</v>
      </c>
      <c r="I1506">
        <v>79734</v>
      </c>
      <c r="J1506">
        <v>0</v>
      </c>
      <c r="K1506">
        <v>0</v>
      </c>
      <c r="L1506">
        <v>0</v>
      </c>
      <c r="M1506">
        <v>1</v>
      </c>
      <c r="N1506">
        <f t="shared" si="46"/>
        <v>1.2805513552880368</v>
      </c>
      <c r="O1506">
        <f t="shared" si="47"/>
        <v>0.99769284411091885</v>
      </c>
    </row>
    <row r="1507" spans="1:15">
      <c r="A1507">
        <v>8104</v>
      </c>
      <c r="B1507">
        <v>241</v>
      </c>
      <c r="C1507">
        <v>0</v>
      </c>
      <c r="D1507">
        <v>12</v>
      </c>
      <c r="E1507">
        <v>0</v>
      </c>
      <c r="F1507">
        <v>0</v>
      </c>
      <c r="G1507">
        <v>25</v>
      </c>
      <c r="H1507" t="s">
        <v>11</v>
      </c>
      <c r="I1507">
        <v>53312</v>
      </c>
      <c r="J1507">
        <v>0</v>
      </c>
      <c r="K1507">
        <v>0</v>
      </c>
      <c r="L1507">
        <v>0</v>
      </c>
      <c r="M1507">
        <v>1</v>
      </c>
      <c r="N1507">
        <f t="shared" si="46"/>
        <v>5.8065995515417412E-2</v>
      </c>
      <c r="O1507">
        <f t="shared" si="47"/>
        <v>0.60761414466269459</v>
      </c>
    </row>
    <row r="1508" spans="1:15">
      <c r="A1508">
        <v>8132</v>
      </c>
      <c r="B1508">
        <v>565</v>
      </c>
      <c r="C1508">
        <v>6</v>
      </c>
      <c r="D1508">
        <v>65</v>
      </c>
      <c r="E1508">
        <v>0</v>
      </c>
      <c r="F1508">
        <v>6</v>
      </c>
      <c r="G1508">
        <v>19</v>
      </c>
      <c r="H1508" t="s">
        <v>11</v>
      </c>
      <c r="I1508">
        <v>60631</v>
      </c>
      <c r="J1508">
        <v>1</v>
      </c>
      <c r="K1508">
        <v>1</v>
      </c>
      <c r="L1508">
        <v>0</v>
      </c>
      <c r="M1508">
        <v>1</v>
      </c>
      <c r="N1508">
        <f t="shared" si="46"/>
        <v>0.3966993445493967</v>
      </c>
      <c r="O1508">
        <f t="shared" si="47"/>
        <v>0.50034714876872577</v>
      </c>
    </row>
    <row r="1509" spans="1:15">
      <c r="A1509">
        <v>8135</v>
      </c>
      <c r="B1509">
        <v>7</v>
      </c>
      <c r="C1509">
        <v>4</v>
      </c>
      <c r="D1509">
        <v>23</v>
      </c>
      <c r="E1509">
        <v>7</v>
      </c>
      <c r="F1509">
        <v>0</v>
      </c>
      <c r="G1509">
        <v>11</v>
      </c>
      <c r="H1509" t="s">
        <v>11</v>
      </c>
      <c r="I1509">
        <v>27161</v>
      </c>
      <c r="J1509">
        <v>1</v>
      </c>
      <c r="K1509">
        <v>0</v>
      </c>
      <c r="L1509">
        <v>0</v>
      </c>
      <c r="M1509">
        <v>1</v>
      </c>
      <c r="N1509">
        <f t="shared" si="46"/>
        <v>-1.1518808156046252</v>
      </c>
      <c r="O1509">
        <f t="shared" si="47"/>
        <v>-0.21565308414770348</v>
      </c>
    </row>
    <row r="1510" spans="1:15">
      <c r="A1510">
        <v>8140</v>
      </c>
      <c r="B1510">
        <v>10</v>
      </c>
      <c r="C1510">
        <v>14</v>
      </c>
      <c r="D1510">
        <v>29</v>
      </c>
      <c r="E1510">
        <v>4</v>
      </c>
      <c r="F1510">
        <v>2</v>
      </c>
      <c r="G1510">
        <v>36</v>
      </c>
      <c r="H1510" t="s">
        <v>11</v>
      </c>
      <c r="I1510">
        <v>22682</v>
      </c>
      <c r="J1510">
        <v>1</v>
      </c>
      <c r="K1510">
        <v>0</v>
      </c>
      <c r="L1510">
        <v>0</v>
      </c>
      <c r="M1510">
        <v>1</v>
      </c>
      <c r="N1510">
        <f t="shared" si="46"/>
        <v>-1.3591138761761778</v>
      </c>
      <c r="O1510">
        <f t="shared" si="47"/>
        <v>-0.28803347123486889</v>
      </c>
    </row>
    <row r="1511" spans="1:15">
      <c r="A1511">
        <v>8143</v>
      </c>
      <c r="B1511">
        <v>202</v>
      </c>
      <c r="C1511">
        <v>2</v>
      </c>
      <c r="D1511">
        <v>46</v>
      </c>
      <c r="E1511">
        <v>3</v>
      </c>
      <c r="F1511">
        <v>2</v>
      </c>
      <c r="G1511">
        <v>10</v>
      </c>
      <c r="H1511" t="s">
        <v>12</v>
      </c>
      <c r="I1511">
        <v>37929</v>
      </c>
      <c r="J1511">
        <v>0</v>
      </c>
      <c r="K1511">
        <v>0</v>
      </c>
      <c r="L1511">
        <v>1</v>
      </c>
      <c r="M1511">
        <v>0</v>
      </c>
      <c r="N1511">
        <f t="shared" si="46"/>
        <v>-0.65367014442032567</v>
      </c>
      <c r="O1511">
        <f t="shared" si="47"/>
        <v>-0.45310223143283557</v>
      </c>
    </row>
    <row r="1512" spans="1:15">
      <c r="A1512">
        <v>8146</v>
      </c>
      <c r="B1512">
        <v>30</v>
      </c>
      <c r="C1512">
        <v>0</v>
      </c>
      <c r="D1512">
        <v>8</v>
      </c>
      <c r="E1512">
        <v>2</v>
      </c>
      <c r="F1512">
        <v>0</v>
      </c>
      <c r="G1512">
        <v>14</v>
      </c>
      <c r="H1512" t="s">
        <v>11</v>
      </c>
      <c r="I1512">
        <v>46106</v>
      </c>
      <c r="J1512">
        <v>1</v>
      </c>
      <c r="K1512">
        <v>1</v>
      </c>
      <c r="L1512">
        <v>0</v>
      </c>
      <c r="M1512">
        <v>1</v>
      </c>
      <c r="N1512">
        <f t="shared" si="46"/>
        <v>-0.27533910260438788</v>
      </c>
      <c r="O1512">
        <f t="shared" si="47"/>
        <v>0.18961033664022725</v>
      </c>
    </row>
    <row r="1513" spans="1:15">
      <c r="A1513">
        <v>8147</v>
      </c>
      <c r="B1513">
        <v>28</v>
      </c>
      <c r="C1513">
        <v>0</v>
      </c>
      <c r="D1513">
        <v>11</v>
      </c>
      <c r="E1513">
        <v>0</v>
      </c>
      <c r="F1513">
        <v>0</v>
      </c>
      <c r="G1513">
        <v>9</v>
      </c>
      <c r="H1513" t="s">
        <v>11</v>
      </c>
      <c r="I1513">
        <v>31454</v>
      </c>
      <c r="J1513">
        <v>1</v>
      </c>
      <c r="K1513">
        <v>1</v>
      </c>
      <c r="L1513">
        <v>0</v>
      </c>
      <c r="M1513">
        <v>1</v>
      </c>
      <c r="N1513">
        <f t="shared" si="46"/>
        <v>-0.95325354857321754</v>
      </c>
      <c r="O1513">
        <f t="shared" si="47"/>
        <v>-0.11575656362876301</v>
      </c>
    </row>
    <row r="1514" spans="1:15">
      <c r="A1514">
        <v>8148</v>
      </c>
      <c r="B1514">
        <v>285</v>
      </c>
      <c r="C1514">
        <v>28</v>
      </c>
      <c r="D1514">
        <v>242</v>
      </c>
      <c r="E1514">
        <v>55</v>
      </c>
      <c r="F1514">
        <v>114</v>
      </c>
      <c r="G1514">
        <v>135</v>
      </c>
      <c r="H1514" t="s">
        <v>11</v>
      </c>
      <c r="I1514">
        <v>50898</v>
      </c>
      <c r="J1514">
        <v>1</v>
      </c>
      <c r="K1514">
        <v>1</v>
      </c>
      <c r="L1514">
        <v>0</v>
      </c>
      <c r="M1514">
        <v>1</v>
      </c>
      <c r="N1514">
        <f t="shared" si="46"/>
        <v>-5.36242496776453E-2</v>
      </c>
      <c r="O1514">
        <f t="shared" si="47"/>
        <v>0.29785361316379827</v>
      </c>
    </row>
    <row r="1515" spans="1:15">
      <c r="A1515">
        <v>8151</v>
      </c>
      <c r="B1515">
        <v>16</v>
      </c>
      <c r="C1515">
        <v>36</v>
      </c>
      <c r="D1515">
        <v>21</v>
      </c>
      <c r="E1515">
        <v>20</v>
      </c>
      <c r="F1515">
        <v>62</v>
      </c>
      <c r="G1515">
        <v>108</v>
      </c>
      <c r="H1515" t="s">
        <v>11</v>
      </c>
      <c r="I1515">
        <v>24279</v>
      </c>
      <c r="J1515">
        <v>0</v>
      </c>
      <c r="K1515">
        <v>0</v>
      </c>
      <c r="L1515">
        <v>0</v>
      </c>
      <c r="M1515">
        <v>1</v>
      </c>
      <c r="N1515">
        <f t="shared" si="46"/>
        <v>-1.2852243477696654</v>
      </c>
      <c r="O1515">
        <f t="shared" si="47"/>
        <v>-0.30935640414994253</v>
      </c>
    </row>
    <row r="1516" spans="1:15">
      <c r="A1516">
        <v>8159</v>
      </c>
      <c r="B1516">
        <v>117</v>
      </c>
      <c r="C1516">
        <v>0</v>
      </c>
      <c r="D1516">
        <v>22</v>
      </c>
      <c r="E1516">
        <v>13</v>
      </c>
      <c r="F1516">
        <v>0</v>
      </c>
      <c r="G1516">
        <v>30</v>
      </c>
      <c r="H1516" t="s">
        <v>11</v>
      </c>
      <c r="I1516">
        <v>51287</v>
      </c>
      <c r="J1516">
        <v>1</v>
      </c>
      <c r="K1516">
        <v>1</v>
      </c>
      <c r="L1516">
        <v>0</v>
      </c>
      <c r="M1516">
        <v>1</v>
      </c>
      <c r="N1516">
        <f t="shared" si="46"/>
        <v>-3.5626111574869244E-2</v>
      </c>
      <c r="O1516">
        <f t="shared" si="47"/>
        <v>0.30653666832428267</v>
      </c>
    </row>
    <row r="1517" spans="1:15">
      <c r="A1517">
        <v>8162</v>
      </c>
      <c r="B1517">
        <v>4</v>
      </c>
      <c r="C1517">
        <v>1</v>
      </c>
      <c r="D1517">
        <v>11</v>
      </c>
      <c r="E1517">
        <v>6</v>
      </c>
      <c r="F1517">
        <v>2</v>
      </c>
      <c r="G1517">
        <v>2</v>
      </c>
      <c r="H1517" t="s">
        <v>11</v>
      </c>
      <c r="I1517">
        <v>14661</v>
      </c>
      <c r="J1517">
        <v>0</v>
      </c>
      <c r="K1517">
        <v>0</v>
      </c>
      <c r="L1517">
        <v>0</v>
      </c>
      <c r="M1517">
        <v>1</v>
      </c>
      <c r="N1517">
        <f t="shared" si="46"/>
        <v>-1.7302271556681232</v>
      </c>
      <c r="O1517">
        <f t="shared" si="47"/>
        <v>-0.43648576398343941</v>
      </c>
    </row>
    <row r="1518" spans="1:15">
      <c r="A1518">
        <v>8164</v>
      </c>
      <c r="B1518">
        <v>1023</v>
      </c>
      <c r="C1518">
        <v>93</v>
      </c>
      <c r="D1518">
        <v>651</v>
      </c>
      <c r="E1518">
        <v>49</v>
      </c>
      <c r="F1518">
        <v>55</v>
      </c>
      <c r="G1518">
        <v>37</v>
      </c>
      <c r="H1518" t="s">
        <v>11</v>
      </c>
      <c r="I1518">
        <v>82170</v>
      </c>
      <c r="J1518">
        <v>0</v>
      </c>
      <c r="K1518">
        <v>0</v>
      </c>
      <c r="L1518">
        <v>0</v>
      </c>
      <c r="M1518">
        <v>1</v>
      </c>
      <c r="N1518">
        <f t="shared" si="46"/>
        <v>1.3932594900396111</v>
      </c>
      <c r="O1518">
        <f t="shared" si="47"/>
        <v>0.99962240234638533</v>
      </c>
    </row>
    <row r="1519" spans="1:15">
      <c r="A1519">
        <v>8180</v>
      </c>
      <c r="B1519">
        <v>233</v>
      </c>
      <c r="C1519">
        <v>2</v>
      </c>
      <c r="D1519">
        <v>53</v>
      </c>
      <c r="E1519">
        <v>3</v>
      </c>
      <c r="F1519">
        <v>5</v>
      </c>
      <c r="G1519">
        <v>14</v>
      </c>
      <c r="H1519" t="s">
        <v>12</v>
      </c>
      <c r="I1519">
        <v>59354</v>
      </c>
      <c r="J1519">
        <v>1</v>
      </c>
      <c r="K1519">
        <v>1</v>
      </c>
      <c r="L1519">
        <v>1</v>
      </c>
      <c r="M1519">
        <v>0</v>
      </c>
      <c r="N1519">
        <f t="shared" si="46"/>
        <v>0.33761548244850975</v>
      </c>
      <c r="O1519">
        <f t="shared" si="47"/>
        <v>0.15843714256482555</v>
      </c>
    </row>
    <row r="1520" spans="1:15">
      <c r="A1520">
        <v>8181</v>
      </c>
      <c r="B1520">
        <v>51</v>
      </c>
      <c r="C1520">
        <v>12</v>
      </c>
      <c r="D1520">
        <v>49</v>
      </c>
      <c r="E1520">
        <v>17</v>
      </c>
      <c r="F1520">
        <v>24</v>
      </c>
      <c r="G1520">
        <v>24</v>
      </c>
      <c r="H1520" t="s">
        <v>12</v>
      </c>
      <c r="I1520">
        <v>38593</v>
      </c>
      <c r="J1520">
        <v>1</v>
      </c>
      <c r="K1520">
        <v>0</v>
      </c>
      <c r="L1520">
        <v>1</v>
      </c>
      <c r="M1520">
        <v>0</v>
      </c>
      <c r="N1520">
        <f t="shared" si="46"/>
        <v>-0.62294838683615261</v>
      </c>
      <c r="O1520">
        <f t="shared" si="47"/>
        <v>-0.33382731690815554</v>
      </c>
    </row>
    <row r="1521" spans="1:15">
      <c r="A1521">
        <v>8182</v>
      </c>
      <c r="B1521">
        <v>53</v>
      </c>
      <c r="C1521">
        <v>3</v>
      </c>
      <c r="D1521">
        <v>49</v>
      </c>
      <c r="E1521">
        <v>7</v>
      </c>
      <c r="F1521">
        <v>4</v>
      </c>
      <c r="G1521">
        <v>5</v>
      </c>
      <c r="H1521" t="s">
        <v>11</v>
      </c>
      <c r="I1521">
        <v>23228</v>
      </c>
      <c r="J1521">
        <v>1</v>
      </c>
      <c r="K1521">
        <v>0</v>
      </c>
      <c r="L1521">
        <v>0</v>
      </c>
      <c r="M1521">
        <v>1</v>
      </c>
      <c r="N1521">
        <f t="shared" si="46"/>
        <v>-1.3338517080422043</v>
      </c>
      <c r="O1521">
        <f t="shared" si="47"/>
        <v>-0.27985308315935731</v>
      </c>
    </row>
    <row r="1522" spans="1:15">
      <c r="A1522">
        <v>8204</v>
      </c>
      <c r="B1522">
        <v>482</v>
      </c>
      <c r="C1522">
        <v>35</v>
      </c>
      <c r="D1522">
        <v>553</v>
      </c>
      <c r="E1522">
        <v>72</v>
      </c>
      <c r="F1522">
        <v>160</v>
      </c>
      <c r="G1522">
        <v>17</v>
      </c>
      <c r="H1522" t="s">
        <v>11</v>
      </c>
      <c r="I1522">
        <v>78041</v>
      </c>
      <c r="J1522">
        <v>0</v>
      </c>
      <c r="K1522">
        <v>0</v>
      </c>
      <c r="L1522">
        <v>0</v>
      </c>
      <c r="M1522">
        <v>1</v>
      </c>
      <c r="N1522">
        <f t="shared" si="46"/>
        <v>1.2022201269898365</v>
      </c>
      <c r="O1522">
        <f t="shared" si="47"/>
        <v>0.99512550770643937</v>
      </c>
    </row>
    <row r="1523" spans="1:15">
      <c r="A1523">
        <v>8207</v>
      </c>
      <c r="B1523">
        <v>28</v>
      </c>
      <c r="C1523">
        <v>0</v>
      </c>
      <c r="D1523">
        <v>9</v>
      </c>
      <c r="E1523">
        <v>3</v>
      </c>
      <c r="F1523">
        <v>0</v>
      </c>
      <c r="G1523">
        <v>0</v>
      </c>
      <c r="H1523" t="s">
        <v>11</v>
      </c>
      <c r="I1523">
        <v>53233</v>
      </c>
      <c r="J1523">
        <v>0</v>
      </c>
      <c r="K1523">
        <v>1</v>
      </c>
      <c r="L1523">
        <v>0</v>
      </c>
      <c r="M1523">
        <v>1</v>
      </c>
      <c r="N1523">
        <f t="shared" si="46"/>
        <v>5.4410846646216107E-2</v>
      </c>
      <c r="O1523">
        <f t="shared" si="47"/>
        <v>0.42791484769704402</v>
      </c>
    </row>
    <row r="1524" spans="1:15">
      <c r="A1524">
        <v>8210</v>
      </c>
      <c r="B1524">
        <v>318</v>
      </c>
      <c r="C1524">
        <v>3</v>
      </c>
      <c r="D1524">
        <v>17</v>
      </c>
      <c r="E1524">
        <v>4</v>
      </c>
      <c r="F1524">
        <v>7</v>
      </c>
      <c r="G1524">
        <v>56</v>
      </c>
      <c r="H1524" t="s">
        <v>11</v>
      </c>
      <c r="I1524">
        <v>54730</v>
      </c>
      <c r="J1524">
        <v>0</v>
      </c>
      <c r="K1524">
        <v>1</v>
      </c>
      <c r="L1524">
        <v>0</v>
      </c>
      <c r="M1524">
        <v>1</v>
      </c>
      <c r="N1524">
        <f t="shared" si="46"/>
        <v>0.12367360433222062</v>
      </c>
      <c r="O1524">
        <f t="shared" si="47"/>
        <v>0.46700721171757037</v>
      </c>
    </row>
    <row r="1525" spans="1:15">
      <c r="A1525">
        <v>8212</v>
      </c>
      <c r="B1525">
        <v>85</v>
      </c>
      <c r="C1525">
        <v>15</v>
      </c>
      <c r="D1525">
        <v>27</v>
      </c>
      <c r="E1525">
        <v>13</v>
      </c>
      <c r="F1525">
        <v>13</v>
      </c>
      <c r="G1525">
        <v>21</v>
      </c>
      <c r="H1525" t="s">
        <v>11</v>
      </c>
      <c r="I1525">
        <v>39791</v>
      </c>
      <c r="J1525">
        <v>0</v>
      </c>
      <c r="K1525">
        <v>1</v>
      </c>
      <c r="L1525">
        <v>0</v>
      </c>
      <c r="M1525">
        <v>1</v>
      </c>
      <c r="N1525">
        <f t="shared" si="46"/>
        <v>-0.56751967360446698</v>
      </c>
      <c r="O1525">
        <f t="shared" si="47"/>
        <v>5.9440825723734582E-2</v>
      </c>
    </row>
    <row r="1526" spans="1:15">
      <c r="A1526">
        <v>8213</v>
      </c>
      <c r="B1526">
        <v>6</v>
      </c>
      <c r="C1526">
        <v>4</v>
      </c>
      <c r="D1526">
        <v>9</v>
      </c>
      <c r="E1526">
        <v>6</v>
      </c>
      <c r="F1526">
        <v>36</v>
      </c>
      <c r="G1526">
        <v>35</v>
      </c>
      <c r="H1526" t="s">
        <v>11</v>
      </c>
      <c r="I1526">
        <v>14515</v>
      </c>
      <c r="J1526">
        <v>1</v>
      </c>
      <c r="K1526">
        <v>0</v>
      </c>
      <c r="L1526">
        <v>0</v>
      </c>
      <c r="M1526">
        <v>1</v>
      </c>
      <c r="N1526">
        <f t="shared" si="46"/>
        <v>-1.7369822409200648</v>
      </c>
      <c r="O1526">
        <f t="shared" si="47"/>
        <v>-0.39192829638519849</v>
      </c>
    </row>
    <row r="1527" spans="1:15">
      <c r="A1527">
        <v>8216</v>
      </c>
      <c r="B1527">
        <v>158</v>
      </c>
      <c r="C1527">
        <v>0</v>
      </c>
      <c r="D1527">
        <v>76</v>
      </c>
      <c r="E1527">
        <v>13</v>
      </c>
      <c r="F1527">
        <v>7</v>
      </c>
      <c r="G1527">
        <v>71</v>
      </c>
      <c r="H1527" t="s">
        <v>11</v>
      </c>
      <c r="I1527">
        <v>53761</v>
      </c>
      <c r="J1527">
        <v>1</v>
      </c>
      <c r="K1527">
        <v>1</v>
      </c>
      <c r="L1527">
        <v>0</v>
      </c>
      <c r="M1527">
        <v>1</v>
      </c>
      <c r="N1527">
        <f t="shared" si="46"/>
        <v>7.884019605049826E-2</v>
      </c>
      <c r="O1527">
        <f t="shared" si="47"/>
        <v>0.36095580216221806</v>
      </c>
    </row>
    <row r="1528" spans="1:15">
      <c r="A1528">
        <v>8230</v>
      </c>
      <c r="B1528">
        <v>22</v>
      </c>
      <c r="C1528">
        <v>2</v>
      </c>
      <c r="D1528">
        <v>31</v>
      </c>
      <c r="E1528">
        <v>7</v>
      </c>
      <c r="F1528">
        <v>4</v>
      </c>
      <c r="G1528">
        <v>5</v>
      </c>
      <c r="H1528" t="s">
        <v>11</v>
      </c>
      <c r="I1528">
        <v>33228</v>
      </c>
      <c r="J1528">
        <v>1</v>
      </c>
      <c r="K1528">
        <v>0</v>
      </c>
      <c r="L1528">
        <v>0</v>
      </c>
      <c r="M1528">
        <v>1</v>
      </c>
      <c r="N1528">
        <f t="shared" si="46"/>
        <v>-0.87117463599140588</v>
      </c>
      <c r="O1528">
        <f t="shared" si="47"/>
        <v>-9.6859529205440664E-2</v>
      </c>
    </row>
    <row r="1529" spans="1:15">
      <c r="A1529">
        <v>8233</v>
      </c>
      <c r="B1529">
        <v>508</v>
      </c>
      <c r="C1529">
        <v>5</v>
      </c>
      <c r="D1529">
        <v>21</v>
      </c>
      <c r="E1529">
        <v>7</v>
      </c>
      <c r="F1529">
        <v>5</v>
      </c>
      <c r="G1529">
        <v>10</v>
      </c>
      <c r="H1529" t="s">
        <v>12</v>
      </c>
      <c r="I1529">
        <v>64866</v>
      </c>
      <c r="J1529">
        <v>0</v>
      </c>
      <c r="K1529">
        <v>1</v>
      </c>
      <c r="L1529">
        <v>1</v>
      </c>
      <c r="M1529">
        <v>0</v>
      </c>
      <c r="N1529">
        <f t="shared" si="46"/>
        <v>0.59264308456290982</v>
      </c>
      <c r="O1529">
        <f t="shared" si="47"/>
        <v>0.32006552630339818</v>
      </c>
    </row>
    <row r="1530" spans="1:15">
      <c r="A1530">
        <v>8234</v>
      </c>
      <c r="B1530">
        <v>1</v>
      </c>
      <c r="C1530">
        <v>6</v>
      </c>
      <c r="D1530">
        <v>7</v>
      </c>
      <c r="E1530">
        <v>0</v>
      </c>
      <c r="F1530">
        <v>1</v>
      </c>
      <c r="G1530">
        <v>3</v>
      </c>
      <c r="H1530" t="s">
        <v>11</v>
      </c>
      <c r="I1530">
        <v>27190</v>
      </c>
      <c r="J1530">
        <v>1</v>
      </c>
      <c r="K1530">
        <v>0</v>
      </c>
      <c r="L1530">
        <v>0</v>
      </c>
      <c r="M1530">
        <v>1</v>
      </c>
      <c r="N1530">
        <f t="shared" si="46"/>
        <v>-1.150539052095678</v>
      </c>
      <c r="O1530">
        <f t="shared" si="47"/>
        <v>-0.21514380780001424</v>
      </c>
    </row>
    <row r="1531" spans="1:15">
      <c r="A1531">
        <v>8235</v>
      </c>
      <c r="B1531">
        <v>428</v>
      </c>
      <c r="C1531">
        <v>30</v>
      </c>
      <c r="D1531">
        <v>214</v>
      </c>
      <c r="E1531">
        <v>80</v>
      </c>
      <c r="F1531">
        <v>30</v>
      </c>
      <c r="G1531">
        <v>61</v>
      </c>
      <c r="H1531" t="s">
        <v>11</v>
      </c>
      <c r="I1531">
        <v>69245</v>
      </c>
      <c r="J1531">
        <v>0</v>
      </c>
      <c r="K1531">
        <v>1</v>
      </c>
      <c r="L1531">
        <v>0</v>
      </c>
      <c r="M1531">
        <v>1</v>
      </c>
      <c r="N1531">
        <f t="shared" si="46"/>
        <v>0.79524937441395438</v>
      </c>
      <c r="O1531">
        <f t="shared" si="47"/>
        <v>0.75139163650414331</v>
      </c>
    </row>
    <row r="1532" spans="1:15">
      <c r="A1532">
        <v>8275</v>
      </c>
      <c r="B1532">
        <v>16</v>
      </c>
      <c r="C1532">
        <v>0</v>
      </c>
      <c r="D1532">
        <v>3</v>
      </c>
      <c r="E1532">
        <v>0</v>
      </c>
      <c r="F1532">
        <v>0</v>
      </c>
      <c r="G1532">
        <v>1</v>
      </c>
      <c r="H1532" t="s">
        <v>12</v>
      </c>
      <c r="I1532">
        <v>47025</v>
      </c>
      <c r="J1532">
        <v>1</v>
      </c>
      <c r="K1532">
        <v>1</v>
      </c>
      <c r="L1532">
        <v>1</v>
      </c>
      <c r="M1532">
        <v>0</v>
      </c>
      <c r="N1532">
        <f t="shared" si="46"/>
        <v>-0.23281907968291948</v>
      </c>
      <c r="O1532">
        <f t="shared" si="47"/>
        <v>-0.1103220557884234</v>
      </c>
    </row>
    <row r="1533" spans="1:15">
      <c r="A1533">
        <v>8278</v>
      </c>
      <c r="B1533">
        <v>863</v>
      </c>
      <c r="C1533">
        <v>83</v>
      </c>
      <c r="D1533">
        <v>547</v>
      </c>
      <c r="E1533">
        <v>86</v>
      </c>
      <c r="F1533">
        <v>99</v>
      </c>
      <c r="G1533">
        <v>33</v>
      </c>
      <c r="H1533" t="s">
        <v>11</v>
      </c>
      <c r="I1533">
        <v>74214</v>
      </c>
      <c r="J1533">
        <v>0</v>
      </c>
      <c r="K1533">
        <v>0</v>
      </c>
      <c r="L1533">
        <v>0</v>
      </c>
      <c r="M1533">
        <v>1</v>
      </c>
      <c r="N1533">
        <f t="shared" si="46"/>
        <v>1.025153611515996</v>
      </c>
      <c r="O1533">
        <f t="shared" si="47"/>
        <v>0.98421289711715576</v>
      </c>
    </row>
    <row r="1534" spans="1:15">
      <c r="A1534">
        <v>8286</v>
      </c>
      <c r="B1534">
        <v>98</v>
      </c>
      <c r="C1534">
        <v>1</v>
      </c>
      <c r="D1534">
        <v>17</v>
      </c>
      <c r="E1534">
        <v>0</v>
      </c>
      <c r="F1534">
        <v>1</v>
      </c>
      <c r="G1534">
        <v>5</v>
      </c>
      <c r="H1534" t="s">
        <v>11</v>
      </c>
      <c r="I1534">
        <v>51717</v>
      </c>
      <c r="J1534">
        <v>0</v>
      </c>
      <c r="K1534">
        <v>1</v>
      </c>
      <c r="L1534">
        <v>0</v>
      </c>
      <c r="M1534">
        <v>1</v>
      </c>
      <c r="N1534">
        <f t="shared" si="46"/>
        <v>-1.5730997476684921E-2</v>
      </c>
      <c r="O1534">
        <f t="shared" si="47"/>
        <v>0.38713462733902249</v>
      </c>
    </row>
    <row r="1535" spans="1:15">
      <c r="A1535">
        <v>8310</v>
      </c>
      <c r="B1535">
        <v>897</v>
      </c>
      <c r="C1535">
        <v>126</v>
      </c>
      <c r="D1535">
        <v>196</v>
      </c>
      <c r="E1535">
        <v>91</v>
      </c>
      <c r="F1535">
        <v>112</v>
      </c>
      <c r="G1535">
        <v>37</v>
      </c>
      <c r="H1535" t="s">
        <v>11</v>
      </c>
      <c r="I1535">
        <v>68142</v>
      </c>
      <c r="J1535">
        <v>0</v>
      </c>
      <c r="K1535">
        <v>1</v>
      </c>
      <c r="L1535">
        <v>0</v>
      </c>
      <c r="M1535">
        <v>1</v>
      </c>
      <c r="N1535">
        <f t="shared" si="46"/>
        <v>0.74421609336675132</v>
      </c>
      <c r="O1535">
        <f t="shared" si="47"/>
        <v>0.73641630219189125</v>
      </c>
    </row>
    <row r="1536" spans="1:15">
      <c r="A1536">
        <v>8314</v>
      </c>
      <c r="B1536">
        <v>557</v>
      </c>
      <c r="C1536">
        <v>129</v>
      </c>
      <c r="D1536">
        <v>761</v>
      </c>
      <c r="E1536">
        <v>29</v>
      </c>
      <c r="F1536">
        <v>185</v>
      </c>
      <c r="G1536">
        <v>111</v>
      </c>
      <c r="H1536" t="s">
        <v>11</v>
      </c>
      <c r="I1536">
        <v>79908</v>
      </c>
      <c r="J1536">
        <v>0</v>
      </c>
      <c r="K1536">
        <v>0</v>
      </c>
      <c r="L1536">
        <v>0</v>
      </c>
      <c r="M1536">
        <v>1</v>
      </c>
      <c r="N1536">
        <f t="shared" si="46"/>
        <v>1.2886019363417207</v>
      </c>
      <c r="O1536">
        <f t="shared" si="47"/>
        <v>0.99789447561564182</v>
      </c>
    </row>
    <row r="1537" spans="1:15">
      <c r="A1537">
        <v>8318</v>
      </c>
      <c r="B1537">
        <v>594</v>
      </c>
      <c r="C1537">
        <v>134</v>
      </c>
      <c r="D1537">
        <v>786</v>
      </c>
      <c r="E1537">
        <v>33</v>
      </c>
      <c r="F1537">
        <v>134</v>
      </c>
      <c r="G1537">
        <v>57</v>
      </c>
      <c r="H1537" t="s">
        <v>11</v>
      </c>
      <c r="I1537">
        <v>90300</v>
      </c>
      <c r="J1537">
        <v>0</v>
      </c>
      <c r="K1537">
        <v>0</v>
      </c>
      <c r="L1537">
        <v>0</v>
      </c>
      <c r="M1537">
        <v>1</v>
      </c>
      <c r="N1537">
        <f t="shared" si="46"/>
        <v>1.7694159496169102</v>
      </c>
      <c r="O1537">
        <f t="shared" si="47"/>
        <v>0.99674988938363263</v>
      </c>
    </row>
    <row r="1538" spans="1:15">
      <c r="A1538">
        <v>8341</v>
      </c>
      <c r="B1538">
        <v>15</v>
      </c>
      <c r="C1538">
        <v>0</v>
      </c>
      <c r="D1538">
        <v>6</v>
      </c>
      <c r="E1538">
        <v>0</v>
      </c>
      <c r="F1538">
        <v>1</v>
      </c>
      <c r="G1538">
        <v>12</v>
      </c>
      <c r="H1538" t="s">
        <v>11</v>
      </c>
      <c r="I1538">
        <v>30396</v>
      </c>
      <c r="J1538">
        <v>1</v>
      </c>
      <c r="K1538">
        <v>0</v>
      </c>
      <c r="L1538">
        <v>0</v>
      </c>
      <c r="M1538">
        <v>1</v>
      </c>
      <c r="N1538">
        <f t="shared" si="46"/>
        <v>-1.002204782796192</v>
      </c>
      <c r="O1538">
        <f t="shared" si="47"/>
        <v>-0.15541979432017863</v>
      </c>
    </row>
    <row r="1539" spans="1:15">
      <c r="A1539">
        <v>8346</v>
      </c>
      <c r="B1539">
        <v>138</v>
      </c>
      <c r="C1539">
        <v>15</v>
      </c>
      <c r="D1539">
        <v>35</v>
      </c>
      <c r="E1539">
        <v>25</v>
      </c>
      <c r="F1539">
        <v>11</v>
      </c>
      <c r="G1539">
        <v>72</v>
      </c>
      <c r="H1539" t="s">
        <v>12</v>
      </c>
      <c r="I1539">
        <v>32233</v>
      </c>
      <c r="J1539">
        <v>1</v>
      </c>
      <c r="K1539">
        <v>0</v>
      </c>
      <c r="L1539">
        <v>1</v>
      </c>
      <c r="M1539">
        <v>0</v>
      </c>
      <c r="N1539">
        <f t="shared" ref="N1539:N1602" si="48">STANDARDIZE(I1539,$Q$1,$R$1)</f>
        <v>-0.91721100466046035</v>
      </c>
      <c r="O1539">
        <f t="shared" ref="O1539:O1602" si="49">SUMPRODUCT(J1539:N1539,$Q$4:$U$4) / SQRT(SUMSQ(J1539:N1539) * SUMSQ($Q$4:$U$4))</f>
        <v>-0.45061473960361126</v>
      </c>
    </row>
    <row r="1540" spans="1:15">
      <c r="A1540">
        <v>8369</v>
      </c>
      <c r="B1540">
        <v>1</v>
      </c>
      <c r="C1540">
        <v>2</v>
      </c>
      <c r="D1540">
        <v>7</v>
      </c>
      <c r="E1540">
        <v>4</v>
      </c>
      <c r="F1540">
        <v>3</v>
      </c>
      <c r="G1540">
        <v>11</v>
      </c>
      <c r="H1540" t="s">
        <v>11</v>
      </c>
      <c r="I1540">
        <v>18227</v>
      </c>
      <c r="J1540">
        <v>1</v>
      </c>
      <c r="K1540">
        <v>0</v>
      </c>
      <c r="L1540">
        <v>0</v>
      </c>
      <c r="M1540">
        <v>1</v>
      </c>
      <c r="N1540">
        <f t="shared" si="48"/>
        <v>-1.5652365117748084</v>
      </c>
      <c r="O1540">
        <f t="shared" si="49"/>
        <v>-0.34873306685549282</v>
      </c>
    </row>
    <row r="1541" spans="1:15">
      <c r="A1541">
        <v>8370</v>
      </c>
      <c r="B1541">
        <v>378</v>
      </c>
      <c r="C1541">
        <v>97</v>
      </c>
      <c r="D1541">
        <v>259</v>
      </c>
      <c r="E1541">
        <v>197</v>
      </c>
      <c r="F1541">
        <v>194</v>
      </c>
      <c r="G1541">
        <v>34</v>
      </c>
      <c r="H1541" t="s">
        <v>11</v>
      </c>
      <c r="I1541">
        <v>75484</v>
      </c>
      <c r="J1541">
        <v>0</v>
      </c>
      <c r="K1541">
        <v>1</v>
      </c>
      <c r="L1541">
        <v>0</v>
      </c>
      <c r="M1541">
        <v>1</v>
      </c>
      <c r="N1541">
        <f t="shared" si="48"/>
        <v>1.0839135996664475</v>
      </c>
      <c r="O1541">
        <f t="shared" si="49"/>
        <v>0.81835700609107953</v>
      </c>
    </row>
    <row r="1542" spans="1:15">
      <c r="A1542">
        <v>8375</v>
      </c>
      <c r="B1542">
        <v>447</v>
      </c>
      <c r="C1542">
        <v>0</v>
      </c>
      <c r="D1542">
        <v>28</v>
      </c>
      <c r="E1542">
        <v>0</v>
      </c>
      <c r="F1542">
        <v>0</v>
      </c>
      <c r="G1542">
        <v>43</v>
      </c>
      <c r="H1542" t="s">
        <v>11</v>
      </c>
      <c r="I1542">
        <v>55954</v>
      </c>
      <c r="J1542">
        <v>0</v>
      </c>
      <c r="K1542">
        <v>1</v>
      </c>
      <c r="L1542">
        <v>0</v>
      </c>
      <c r="M1542">
        <v>1</v>
      </c>
      <c r="N1542">
        <f t="shared" si="48"/>
        <v>0.18030527795123832</v>
      </c>
      <c r="O1542">
        <f t="shared" si="49"/>
        <v>0.49792074648515244</v>
      </c>
    </row>
    <row r="1543" spans="1:15">
      <c r="A1543">
        <v>8387</v>
      </c>
      <c r="B1543">
        <v>134</v>
      </c>
      <c r="C1543">
        <v>8</v>
      </c>
      <c r="D1543">
        <v>76</v>
      </c>
      <c r="E1543">
        <v>6</v>
      </c>
      <c r="F1543">
        <v>0</v>
      </c>
      <c r="G1543">
        <v>11</v>
      </c>
      <c r="H1543" t="s">
        <v>11</v>
      </c>
      <c r="I1543">
        <v>43140</v>
      </c>
      <c r="J1543">
        <v>0</v>
      </c>
      <c r="K1543">
        <v>1</v>
      </c>
      <c r="L1543">
        <v>0</v>
      </c>
      <c r="M1543">
        <v>1</v>
      </c>
      <c r="N1543">
        <f t="shared" si="48"/>
        <v>-0.41256912217465463</v>
      </c>
      <c r="O1543">
        <f t="shared" si="49"/>
        <v>0.14858874302361347</v>
      </c>
    </row>
    <row r="1544" spans="1:15">
      <c r="A1544">
        <v>8395</v>
      </c>
      <c r="B1544">
        <v>980</v>
      </c>
      <c r="C1544">
        <v>37</v>
      </c>
      <c r="D1544">
        <v>265</v>
      </c>
      <c r="E1544">
        <v>35</v>
      </c>
      <c r="F1544">
        <v>163</v>
      </c>
      <c r="G1544">
        <v>31</v>
      </c>
      <c r="H1544" t="s">
        <v>12</v>
      </c>
      <c r="I1544">
        <v>82014</v>
      </c>
      <c r="J1544">
        <v>0</v>
      </c>
      <c r="K1544">
        <v>0</v>
      </c>
      <c r="L1544">
        <v>1</v>
      </c>
      <c r="M1544">
        <v>0</v>
      </c>
      <c r="N1544">
        <f t="shared" si="48"/>
        <v>1.3860417277156187</v>
      </c>
      <c r="O1544">
        <f t="shared" si="49"/>
        <v>0.67157585771132688</v>
      </c>
    </row>
    <row r="1545" spans="1:15">
      <c r="A1545">
        <v>8397</v>
      </c>
      <c r="B1545">
        <v>18</v>
      </c>
      <c r="C1545">
        <v>0</v>
      </c>
      <c r="D1545">
        <v>5</v>
      </c>
      <c r="E1545">
        <v>0</v>
      </c>
      <c r="F1545">
        <v>0</v>
      </c>
      <c r="G1545">
        <v>11</v>
      </c>
      <c r="H1545" t="s">
        <v>11</v>
      </c>
      <c r="I1545">
        <v>44689</v>
      </c>
      <c r="J1545">
        <v>1</v>
      </c>
      <c r="K1545">
        <v>1</v>
      </c>
      <c r="L1545">
        <v>0</v>
      </c>
      <c r="M1545">
        <v>1</v>
      </c>
      <c r="N1545">
        <f t="shared" si="48"/>
        <v>-0.34090044371398598</v>
      </c>
      <c r="O1545">
        <f t="shared" si="49"/>
        <v>0.15762137875383658</v>
      </c>
    </row>
    <row r="1546" spans="1:15">
      <c r="A1546">
        <v>8402</v>
      </c>
      <c r="B1546">
        <v>329</v>
      </c>
      <c r="C1546">
        <v>35</v>
      </c>
      <c r="D1546">
        <v>222</v>
      </c>
      <c r="E1546">
        <v>130</v>
      </c>
      <c r="F1546">
        <v>35</v>
      </c>
      <c r="G1546">
        <v>43</v>
      </c>
      <c r="H1546" t="s">
        <v>11</v>
      </c>
      <c r="I1546">
        <v>67087</v>
      </c>
      <c r="J1546">
        <v>0</v>
      </c>
      <c r="K1546">
        <v>1</v>
      </c>
      <c r="L1546">
        <v>0</v>
      </c>
      <c r="M1546">
        <v>1</v>
      </c>
      <c r="N1546">
        <f t="shared" si="48"/>
        <v>0.69540366226539208</v>
      </c>
      <c r="O1546">
        <f t="shared" si="49"/>
        <v>0.72111204432455644</v>
      </c>
    </row>
    <row r="1547" spans="1:15">
      <c r="A1547">
        <v>8405</v>
      </c>
      <c r="B1547">
        <v>135</v>
      </c>
      <c r="C1547">
        <v>25</v>
      </c>
      <c r="D1547">
        <v>51</v>
      </c>
      <c r="E1547">
        <v>23</v>
      </c>
      <c r="F1547">
        <v>25</v>
      </c>
      <c r="G1547">
        <v>46</v>
      </c>
      <c r="H1547" t="s">
        <v>12</v>
      </c>
      <c r="I1547">
        <v>68274</v>
      </c>
      <c r="J1547">
        <v>1</v>
      </c>
      <c r="K1547">
        <v>1</v>
      </c>
      <c r="L1547">
        <v>1</v>
      </c>
      <c r="M1547">
        <v>0</v>
      </c>
      <c r="N1547">
        <f t="shared" si="48"/>
        <v>0.75032343071782182</v>
      </c>
      <c r="O1547">
        <f t="shared" si="49"/>
        <v>0.32918068640329373</v>
      </c>
    </row>
    <row r="1548" spans="1:15">
      <c r="A1548">
        <v>8414</v>
      </c>
      <c r="B1548">
        <v>56</v>
      </c>
      <c r="C1548">
        <v>0</v>
      </c>
      <c r="D1548">
        <v>12</v>
      </c>
      <c r="E1548">
        <v>0</v>
      </c>
      <c r="F1548">
        <v>0</v>
      </c>
      <c r="G1548">
        <v>18</v>
      </c>
      <c r="H1548" t="s">
        <v>12</v>
      </c>
      <c r="I1548">
        <v>33419</v>
      </c>
      <c r="J1548">
        <v>0</v>
      </c>
      <c r="K1548">
        <v>1</v>
      </c>
      <c r="L1548">
        <v>1</v>
      </c>
      <c r="M1548">
        <v>0</v>
      </c>
      <c r="N1548">
        <f t="shared" si="48"/>
        <v>-0.86233750391523567</v>
      </c>
      <c r="O1548">
        <f t="shared" si="49"/>
        <v>-0.4311294320667155</v>
      </c>
    </row>
    <row r="1549" spans="1:15">
      <c r="A1549">
        <v>8416</v>
      </c>
      <c r="B1549">
        <v>6</v>
      </c>
      <c r="C1549">
        <v>6</v>
      </c>
      <c r="D1549">
        <v>15</v>
      </c>
      <c r="E1549">
        <v>10</v>
      </c>
      <c r="F1549">
        <v>5</v>
      </c>
      <c r="G1549">
        <v>2</v>
      </c>
      <c r="H1549" t="s">
        <v>11</v>
      </c>
      <c r="I1549">
        <v>29009</v>
      </c>
      <c r="J1549">
        <v>1</v>
      </c>
      <c r="K1549">
        <v>0</v>
      </c>
      <c r="L1549">
        <v>0</v>
      </c>
      <c r="M1549">
        <v>1</v>
      </c>
      <c r="N1549">
        <f t="shared" si="48"/>
        <v>-1.0663780926896378</v>
      </c>
      <c r="O1549">
        <f t="shared" si="49"/>
        <v>-0.18209996395165418</v>
      </c>
    </row>
    <row r="1550" spans="1:15">
      <c r="A1550">
        <v>8418</v>
      </c>
      <c r="B1550">
        <v>7</v>
      </c>
      <c r="C1550">
        <v>10</v>
      </c>
      <c r="D1550">
        <v>17</v>
      </c>
      <c r="E1550">
        <v>8</v>
      </c>
      <c r="F1550">
        <v>6</v>
      </c>
      <c r="G1550">
        <v>13</v>
      </c>
      <c r="H1550" t="s">
        <v>12</v>
      </c>
      <c r="I1550">
        <v>38741</v>
      </c>
      <c r="J1550">
        <v>1</v>
      </c>
      <c r="K1550">
        <v>1</v>
      </c>
      <c r="L1550">
        <v>1</v>
      </c>
      <c r="M1550">
        <v>0</v>
      </c>
      <c r="N1550">
        <f t="shared" si="48"/>
        <v>-0.61610076616980081</v>
      </c>
      <c r="O1550">
        <f t="shared" si="49"/>
        <v>-0.27753210103166109</v>
      </c>
    </row>
    <row r="1551" spans="1:15">
      <c r="A1551">
        <v>8420</v>
      </c>
      <c r="B1551">
        <v>7</v>
      </c>
      <c r="C1551">
        <v>4</v>
      </c>
      <c r="D1551">
        <v>13</v>
      </c>
      <c r="E1551">
        <v>15</v>
      </c>
      <c r="F1551">
        <v>8</v>
      </c>
      <c r="G1551">
        <v>17</v>
      </c>
      <c r="H1551" t="s">
        <v>11</v>
      </c>
      <c r="I1551">
        <v>15315</v>
      </c>
      <c r="J1551">
        <v>0</v>
      </c>
      <c r="K1551">
        <v>0</v>
      </c>
      <c r="L1551">
        <v>0</v>
      </c>
      <c r="M1551">
        <v>1</v>
      </c>
      <c r="N1551">
        <f t="shared" si="48"/>
        <v>-1.6999680751560009</v>
      </c>
      <c r="O1551">
        <f t="shared" si="49"/>
        <v>-0.4295656832849602</v>
      </c>
    </row>
    <row r="1552" spans="1:15">
      <c r="A1552">
        <v>8430</v>
      </c>
      <c r="B1552">
        <v>9</v>
      </c>
      <c r="C1552">
        <v>0</v>
      </c>
      <c r="D1552">
        <v>6</v>
      </c>
      <c r="E1552">
        <v>3</v>
      </c>
      <c r="F1552">
        <v>1</v>
      </c>
      <c r="G1552">
        <v>3</v>
      </c>
      <c r="H1552" t="s">
        <v>11</v>
      </c>
      <c r="I1552">
        <v>21994</v>
      </c>
      <c r="J1552">
        <v>0</v>
      </c>
      <c r="K1552">
        <v>1</v>
      </c>
      <c r="L1552">
        <v>0</v>
      </c>
      <c r="M1552">
        <v>1</v>
      </c>
      <c r="N1552">
        <f t="shared" si="48"/>
        <v>-1.3909460587332727</v>
      </c>
      <c r="O1552">
        <f t="shared" si="49"/>
        <v>-0.29810063466899062</v>
      </c>
    </row>
    <row r="1553" spans="1:15">
      <c r="A1553">
        <v>8439</v>
      </c>
      <c r="B1553">
        <v>734</v>
      </c>
      <c r="C1553">
        <v>26</v>
      </c>
      <c r="D1553">
        <v>70</v>
      </c>
      <c r="E1553">
        <v>11</v>
      </c>
      <c r="F1553">
        <v>44</v>
      </c>
      <c r="G1553">
        <v>17</v>
      </c>
      <c r="H1553" t="s">
        <v>11</v>
      </c>
      <c r="I1553">
        <v>63404</v>
      </c>
      <c r="J1553">
        <v>0</v>
      </c>
      <c r="K1553">
        <v>2</v>
      </c>
      <c r="L1553">
        <v>0</v>
      </c>
      <c r="M1553">
        <v>1</v>
      </c>
      <c r="N1553">
        <f t="shared" si="48"/>
        <v>0.52499969662908308</v>
      </c>
      <c r="O1553">
        <f t="shared" si="49"/>
        <v>0.43333456445778179</v>
      </c>
    </row>
    <row r="1554" spans="1:15">
      <c r="A1554">
        <v>8442</v>
      </c>
      <c r="B1554">
        <v>9</v>
      </c>
      <c r="C1554">
        <v>0</v>
      </c>
      <c r="D1554">
        <v>7</v>
      </c>
      <c r="E1554">
        <v>3</v>
      </c>
      <c r="F1554">
        <v>4</v>
      </c>
      <c r="G1554">
        <v>7</v>
      </c>
      <c r="H1554" t="s">
        <v>11</v>
      </c>
      <c r="I1554">
        <v>19510</v>
      </c>
      <c r="J1554">
        <v>2</v>
      </c>
      <c r="K1554">
        <v>0</v>
      </c>
      <c r="L1554">
        <v>0</v>
      </c>
      <c r="M1554">
        <v>1</v>
      </c>
      <c r="N1554">
        <f t="shared" si="48"/>
        <v>-1.5058750434306911</v>
      </c>
      <c r="O1554">
        <f t="shared" si="49"/>
        <v>-0.25464677120099016</v>
      </c>
    </row>
    <row r="1555" spans="1:15">
      <c r="A1555">
        <v>8443</v>
      </c>
      <c r="B1555">
        <v>6</v>
      </c>
      <c r="C1555">
        <v>10</v>
      </c>
      <c r="D1555">
        <v>12</v>
      </c>
      <c r="E1555">
        <v>3</v>
      </c>
      <c r="F1555">
        <v>15</v>
      </c>
      <c r="G1555">
        <v>40</v>
      </c>
      <c r="H1555" t="s">
        <v>12</v>
      </c>
      <c r="I1555">
        <v>24762</v>
      </c>
      <c r="J1555">
        <v>1</v>
      </c>
      <c r="K1555">
        <v>0</v>
      </c>
      <c r="L1555">
        <v>1</v>
      </c>
      <c r="M1555">
        <v>0</v>
      </c>
      <c r="N1555">
        <f t="shared" si="48"/>
        <v>-1.2628770451896119</v>
      </c>
      <c r="O1555">
        <f t="shared" si="49"/>
        <v>-0.55158573170714498</v>
      </c>
    </row>
    <row r="1556" spans="1:15">
      <c r="A1556">
        <v>8461</v>
      </c>
      <c r="B1556">
        <v>14</v>
      </c>
      <c r="C1556">
        <v>0</v>
      </c>
      <c r="D1556">
        <v>1</v>
      </c>
      <c r="E1556">
        <v>0</v>
      </c>
      <c r="F1556">
        <v>0</v>
      </c>
      <c r="G1556">
        <v>1</v>
      </c>
      <c r="H1556" t="s">
        <v>12</v>
      </c>
      <c r="I1556">
        <v>46102</v>
      </c>
      <c r="J1556">
        <v>2</v>
      </c>
      <c r="K1556">
        <v>1</v>
      </c>
      <c r="L1556">
        <v>1</v>
      </c>
      <c r="M1556">
        <v>0</v>
      </c>
      <c r="N1556">
        <f t="shared" si="48"/>
        <v>-0.27552417343320817</v>
      </c>
      <c r="O1556">
        <f t="shared" si="49"/>
        <v>-9.2564991302315977E-2</v>
      </c>
    </row>
    <row r="1557" spans="1:15">
      <c r="A1557">
        <v>8462</v>
      </c>
      <c r="B1557">
        <v>1</v>
      </c>
      <c r="C1557">
        <v>4</v>
      </c>
      <c r="D1557">
        <v>10</v>
      </c>
      <c r="E1557">
        <v>29</v>
      </c>
      <c r="F1557">
        <v>0</v>
      </c>
      <c r="G1557">
        <v>36</v>
      </c>
      <c r="H1557" t="s">
        <v>11</v>
      </c>
      <c r="I1557">
        <v>24882</v>
      </c>
      <c r="J1557">
        <v>1</v>
      </c>
      <c r="K1557">
        <v>0</v>
      </c>
      <c r="L1557">
        <v>0</v>
      </c>
      <c r="M1557">
        <v>1</v>
      </c>
      <c r="N1557">
        <f t="shared" si="48"/>
        <v>-1.2573249203250021</v>
      </c>
      <c r="O1557">
        <f t="shared" si="49"/>
        <v>-0.25400748954299818</v>
      </c>
    </row>
    <row r="1558" spans="1:15">
      <c r="A1558">
        <v>8475</v>
      </c>
      <c r="B1558">
        <v>20</v>
      </c>
      <c r="C1558">
        <v>2</v>
      </c>
      <c r="D1558">
        <v>1582</v>
      </c>
      <c r="E1558">
        <v>1</v>
      </c>
      <c r="F1558">
        <v>2</v>
      </c>
      <c r="G1558">
        <v>1</v>
      </c>
      <c r="H1558" t="s">
        <v>11</v>
      </c>
      <c r="I1558">
        <v>157243</v>
      </c>
      <c r="J1558">
        <v>0</v>
      </c>
      <c r="K1558">
        <v>1</v>
      </c>
      <c r="L1558">
        <v>0</v>
      </c>
      <c r="M1558">
        <v>1</v>
      </c>
      <c r="N1558">
        <f t="shared" si="48"/>
        <v>4.8667150730465698</v>
      </c>
      <c r="O1558">
        <f t="shared" si="49"/>
        <v>0.90582994277724871</v>
      </c>
    </row>
    <row r="1559" spans="1:15">
      <c r="A1559">
        <v>8477</v>
      </c>
      <c r="B1559">
        <v>5</v>
      </c>
      <c r="C1559">
        <v>1</v>
      </c>
      <c r="D1559">
        <v>13</v>
      </c>
      <c r="E1559">
        <v>3</v>
      </c>
      <c r="F1559">
        <v>5</v>
      </c>
      <c r="G1559">
        <v>1</v>
      </c>
      <c r="H1559" t="s">
        <v>12</v>
      </c>
      <c r="I1559">
        <v>26150</v>
      </c>
      <c r="J1559">
        <v>2</v>
      </c>
      <c r="K1559">
        <v>1</v>
      </c>
      <c r="L1559">
        <v>1</v>
      </c>
      <c r="M1559">
        <v>0</v>
      </c>
      <c r="N1559">
        <f t="shared" si="48"/>
        <v>-1.198657467588961</v>
      </c>
      <c r="O1559">
        <f t="shared" si="49"/>
        <v>-0.36399505742682581</v>
      </c>
    </row>
    <row r="1560" spans="1:15">
      <c r="A1560">
        <v>8486</v>
      </c>
      <c r="B1560">
        <v>284</v>
      </c>
      <c r="C1560">
        <v>0</v>
      </c>
      <c r="D1560">
        <v>52</v>
      </c>
      <c r="E1560">
        <v>8</v>
      </c>
      <c r="F1560">
        <v>3</v>
      </c>
      <c r="G1560">
        <v>20</v>
      </c>
      <c r="H1560" t="s">
        <v>11</v>
      </c>
      <c r="I1560">
        <v>30538</v>
      </c>
      <c r="J1560">
        <v>1</v>
      </c>
      <c r="K1560">
        <v>0</v>
      </c>
      <c r="L1560">
        <v>0</v>
      </c>
      <c r="M1560">
        <v>1</v>
      </c>
      <c r="N1560">
        <f t="shared" si="48"/>
        <v>-0.99563476837307063</v>
      </c>
      <c r="O1560">
        <f t="shared" si="49"/>
        <v>-0.15261462157602956</v>
      </c>
    </row>
    <row r="1561" spans="1:15">
      <c r="A1561">
        <v>8492</v>
      </c>
      <c r="B1561">
        <v>795</v>
      </c>
      <c r="C1561">
        <v>0</v>
      </c>
      <c r="D1561">
        <v>545</v>
      </c>
      <c r="E1561">
        <v>95</v>
      </c>
      <c r="F1561">
        <v>58</v>
      </c>
      <c r="G1561">
        <v>0</v>
      </c>
      <c r="H1561" t="s">
        <v>11</v>
      </c>
      <c r="I1561">
        <v>75437</v>
      </c>
      <c r="J1561">
        <v>0</v>
      </c>
      <c r="K1561">
        <v>0</v>
      </c>
      <c r="L1561">
        <v>0</v>
      </c>
      <c r="M1561">
        <v>1</v>
      </c>
      <c r="N1561">
        <f t="shared" si="48"/>
        <v>1.0817390174278088</v>
      </c>
      <c r="O1561">
        <f t="shared" si="49"/>
        <v>0.98860590754010613</v>
      </c>
    </row>
    <row r="1562" spans="1:15">
      <c r="A1562">
        <v>8514</v>
      </c>
      <c r="B1562">
        <v>8</v>
      </c>
      <c r="C1562">
        <v>0</v>
      </c>
      <c r="D1562">
        <v>7</v>
      </c>
      <c r="E1562">
        <v>3</v>
      </c>
      <c r="F1562">
        <v>1</v>
      </c>
      <c r="G1562">
        <v>1</v>
      </c>
      <c r="H1562" t="s">
        <v>11</v>
      </c>
      <c r="I1562">
        <v>29478</v>
      </c>
      <c r="J1562">
        <v>1</v>
      </c>
      <c r="K1562">
        <v>0</v>
      </c>
      <c r="L1562">
        <v>0</v>
      </c>
      <c r="M1562">
        <v>1</v>
      </c>
      <c r="N1562">
        <f t="shared" si="48"/>
        <v>-1.0446785380104553</v>
      </c>
      <c r="O1562">
        <f t="shared" si="49"/>
        <v>-0.17322378535048555</v>
      </c>
    </row>
    <row r="1563" spans="1:15">
      <c r="A1563">
        <v>8523</v>
      </c>
      <c r="B1563">
        <v>24</v>
      </c>
      <c r="C1563">
        <v>1</v>
      </c>
      <c r="D1563">
        <v>16</v>
      </c>
      <c r="E1563">
        <v>12</v>
      </c>
      <c r="F1563">
        <v>2</v>
      </c>
      <c r="G1563">
        <v>5</v>
      </c>
      <c r="H1563" t="s">
        <v>11</v>
      </c>
      <c r="I1563">
        <v>19329</v>
      </c>
      <c r="J1563">
        <v>1</v>
      </c>
      <c r="K1563">
        <v>0</v>
      </c>
      <c r="L1563">
        <v>0</v>
      </c>
      <c r="M1563">
        <v>1</v>
      </c>
      <c r="N1563">
        <f t="shared" si="48"/>
        <v>-1.5142494984348105</v>
      </c>
      <c r="O1563">
        <f t="shared" si="49"/>
        <v>-0.33467461135987242</v>
      </c>
    </row>
    <row r="1564" spans="1:15">
      <c r="A1564">
        <v>8527</v>
      </c>
      <c r="B1564">
        <v>239</v>
      </c>
      <c r="C1564">
        <v>7</v>
      </c>
      <c r="D1564">
        <v>119</v>
      </c>
      <c r="E1564">
        <v>4</v>
      </c>
      <c r="F1564">
        <v>15</v>
      </c>
      <c r="G1564">
        <v>11</v>
      </c>
      <c r="H1564" t="s">
        <v>11</v>
      </c>
      <c r="I1564">
        <v>65735</v>
      </c>
      <c r="J1564">
        <v>1</v>
      </c>
      <c r="K1564">
        <v>1</v>
      </c>
      <c r="L1564">
        <v>0</v>
      </c>
      <c r="M1564">
        <v>1</v>
      </c>
      <c r="N1564">
        <f t="shared" si="48"/>
        <v>0.63284972212412416</v>
      </c>
      <c r="O1564">
        <f t="shared" si="49"/>
        <v>0.58817846716871647</v>
      </c>
    </row>
    <row r="1565" spans="1:15">
      <c r="A1565">
        <v>8534</v>
      </c>
      <c r="B1565">
        <v>615</v>
      </c>
      <c r="C1565">
        <v>28</v>
      </c>
      <c r="D1565">
        <v>259</v>
      </c>
      <c r="E1565">
        <v>12</v>
      </c>
      <c r="F1565">
        <v>48</v>
      </c>
      <c r="G1565">
        <v>30</v>
      </c>
      <c r="H1565" t="s">
        <v>11</v>
      </c>
      <c r="I1565">
        <v>67433</v>
      </c>
      <c r="J1565">
        <v>0</v>
      </c>
      <c r="K1565">
        <v>2</v>
      </c>
      <c r="L1565">
        <v>0</v>
      </c>
      <c r="M1565">
        <v>1</v>
      </c>
      <c r="N1565">
        <f t="shared" si="48"/>
        <v>0.71141228895834974</v>
      </c>
      <c r="O1565">
        <f t="shared" si="49"/>
        <v>0.48995589328253702</v>
      </c>
    </row>
    <row r="1566" spans="1:15">
      <c r="A1566">
        <v>8537</v>
      </c>
      <c r="B1566">
        <v>526</v>
      </c>
      <c r="C1566">
        <v>80</v>
      </c>
      <c r="D1566">
        <v>553</v>
      </c>
      <c r="E1566">
        <v>123</v>
      </c>
      <c r="F1566">
        <v>94</v>
      </c>
      <c r="G1566">
        <v>53</v>
      </c>
      <c r="H1566" t="s">
        <v>12</v>
      </c>
      <c r="I1566">
        <v>72643</v>
      </c>
      <c r="J1566">
        <v>0</v>
      </c>
      <c r="K1566">
        <v>0</v>
      </c>
      <c r="L1566">
        <v>1</v>
      </c>
      <c r="M1566">
        <v>0</v>
      </c>
      <c r="N1566">
        <f t="shared" si="48"/>
        <v>0.95246704349681566</v>
      </c>
      <c r="O1566">
        <f t="shared" si="49"/>
        <v>0.5711437546694168</v>
      </c>
    </row>
    <row r="1567" spans="1:15">
      <c r="A1567">
        <v>8541</v>
      </c>
      <c r="B1567">
        <v>8</v>
      </c>
      <c r="C1567">
        <v>4</v>
      </c>
      <c r="D1567">
        <v>10</v>
      </c>
      <c r="E1567">
        <v>6</v>
      </c>
      <c r="F1567">
        <v>7</v>
      </c>
      <c r="G1567">
        <v>6</v>
      </c>
      <c r="H1567" t="s">
        <v>11</v>
      </c>
      <c r="I1567">
        <v>24683</v>
      </c>
      <c r="J1567">
        <v>1</v>
      </c>
      <c r="K1567">
        <v>0</v>
      </c>
      <c r="L1567">
        <v>0</v>
      </c>
      <c r="M1567">
        <v>1</v>
      </c>
      <c r="N1567">
        <f t="shared" si="48"/>
        <v>-1.266532194058813</v>
      </c>
      <c r="O1567">
        <f t="shared" si="49"/>
        <v>-0.2572035869675513</v>
      </c>
    </row>
    <row r="1568" spans="1:15">
      <c r="A1568">
        <v>8545</v>
      </c>
      <c r="B1568">
        <v>1296</v>
      </c>
      <c r="C1568">
        <v>17</v>
      </c>
      <c r="D1568">
        <v>311</v>
      </c>
      <c r="E1568">
        <v>45</v>
      </c>
      <c r="F1568">
        <v>69</v>
      </c>
      <c r="G1568">
        <v>51</v>
      </c>
      <c r="H1568" t="s">
        <v>12</v>
      </c>
      <c r="I1568">
        <v>85683</v>
      </c>
      <c r="J1568">
        <v>0</v>
      </c>
      <c r="K1568">
        <v>0</v>
      </c>
      <c r="L1568">
        <v>1</v>
      </c>
      <c r="M1568">
        <v>0</v>
      </c>
      <c r="N1568">
        <f t="shared" si="48"/>
        <v>1.5557979454510567</v>
      </c>
      <c r="O1568">
        <f t="shared" si="49"/>
        <v>0.69662777545395316</v>
      </c>
    </row>
    <row r="1569" spans="1:15">
      <c r="A1569">
        <v>8553</v>
      </c>
      <c r="B1569">
        <v>30</v>
      </c>
      <c r="C1569">
        <v>0</v>
      </c>
      <c r="D1569">
        <v>9</v>
      </c>
      <c r="E1569">
        <v>0</v>
      </c>
      <c r="F1569">
        <v>0</v>
      </c>
      <c r="G1569">
        <v>3</v>
      </c>
      <c r="H1569" t="s">
        <v>11</v>
      </c>
      <c r="I1569">
        <v>44300</v>
      </c>
      <c r="J1569">
        <v>1</v>
      </c>
      <c r="K1569">
        <v>1</v>
      </c>
      <c r="L1569">
        <v>0</v>
      </c>
      <c r="M1569">
        <v>1</v>
      </c>
      <c r="N1569">
        <f t="shared" si="48"/>
        <v>-0.35889858181676204</v>
      </c>
      <c r="O1569">
        <f t="shared" si="49"/>
        <v>0.14887762041724326</v>
      </c>
    </row>
    <row r="1570" spans="1:15">
      <c r="A1570">
        <v>8560</v>
      </c>
      <c r="B1570">
        <v>351</v>
      </c>
      <c r="C1570">
        <v>16</v>
      </c>
      <c r="D1570">
        <v>156</v>
      </c>
      <c r="E1570">
        <v>7</v>
      </c>
      <c r="F1570">
        <v>5</v>
      </c>
      <c r="G1570">
        <v>145</v>
      </c>
      <c r="H1570" t="s">
        <v>12</v>
      </c>
      <c r="I1570">
        <v>48789</v>
      </c>
      <c r="J1570">
        <v>0</v>
      </c>
      <c r="K1570">
        <v>0</v>
      </c>
      <c r="L1570">
        <v>1</v>
      </c>
      <c r="M1570">
        <v>0</v>
      </c>
      <c r="N1570">
        <f t="shared" si="48"/>
        <v>-0.15120284417315866</v>
      </c>
      <c r="O1570">
        <f t="shared" si="49"/>
        <v>-0.12380672188329732</v>
      </c>
    </row>
    <row r="1571" spans="1:15">
      <c r="A1571">
        <v>8562</v>
      </c>
      <c r="B1571">
        <v>127</v>
      </c>
      <c r="C1571">
        <v>4</v>
      </c>
      <c r="D1571">
        <v>73</v>
      </c>
      <c r="E1571">
        <v>15</v>
      </c>
      <c r="F1571">
        <v>6</v>
      </c>
      <c r="G1571">
        <v>11</v>
      </c>
      <c r="H1571" t="s">
        <v>11</v>
      </c>
      <c r="I1571">
        <v>54165</v>
      </c>
      <c r="J1571">
        <v>0</v>
      </c>
      <c r="K1571">
        <v>0</v>
      </c>
      <c r="L1571">
        <v>0</v>
      </c>
      <c r="M1571">
        <v>1</v>
      </c>
      <c r="N1571">
        <f t="shared" si="48"/>
        <v>9.7532349761350515E-2</v>
      </c>
      <c r="O1571">
        <f t="shared" si="49"/>
        <v>0.63829175379676173</v>
      </c>
    </row>
    <row r="1572" spans="1:15">
      <c r="A1572">
        <v>8566</v>
      </c>
      <c r="B1572">
        <v>5</v>
      </c>
      <c r="C1572">
        <v>0</v>
      </c>
      <c r="D1572">
        <v>3</v>
      </c>
      <c r="E1572">
        <v>0</v>
      </c>
      <c r="F1572">
        <v>0</v>
      </c>
      <c r="G1572">
        <v>1</v>
      </c>
      <c r="H1572" t="s">
        <v>11</v>
      </c>
      <c r="I1572">
        <v>32583</v>
      </c>
      <c r="J1572">
        <v>1</v>
      </c>
      <c r="K1572">
        <v>1</v>
      </c>
      <c r="L1572">
        <v>0</v>
      </c>
      <c r="M1572">
        <v>1</v>
      </c>
      <c r="N1572">
        <f t="shared" si="48"/>
        <v>-0.90101730713868244</v>
      </c>
      <c r="O1572">
        <f t="shared" si="49"/>
        <v>-9.5061714308962555E-2</v>
      </c>
    </row>
    <row r="1573" spans="1:15">
      <c r="A1573">
        <v>8581</v>
      </c>
      <c r="B1573">
        <v>604</v>
      </c>
      <c r="C1573">
        <v>0</v>
      </c>
      <c r="D1573">
        <v>100</v>
      </c>
      <c r="E1573">
        <v>19</v>
      </c>
      <c r="F1573">
        <v>0</v>
      </c>
      <c r="G1573">
        <v>28</v>
      </c>
      <c r="H1573" t="s">
        <v>11</v>
      </c>
      <c r="I1573">
        <v>49505</v>
      </c>
      <c r="J1573">
        <v>1</v>
      </c>
      <c r="K1573">
        <v>1</v>
      </c>
      <c r="L1573">
        <v>0</v>
      </c>
      <c r="M1573">
        <v>1</v>
      </c>
      <c r="N1573">
        <f t="shared" si="48"/>
        <v>-0.11807516581432151</v>
      </c>
      <c r="O1573">
        <f t="shared" si="49"/>
        <v>0.26656271530766878</v>
      </c>
    </row>
    <row r="1574" spans="1:15">
      <c r="A1574">
        <v>8584</v>
      </c>
      <c r="B1574">
        <v>376</v>
      </c>
      <c r="C1574">
        <v>53</v>
      </c>
      <c r="D1574">
        <v>462</v>
      </c>
      <c r="E1574">
        <v>168</v>
      </c>
      <c r="F1574">
        <v>53</v>
      </c>
      <c r="G1574">
        <v>53</v>
      </c>
      <c r="H1574" t="s">
        <v>11</v>
      </c>
      <c r="I1574">
        <v>85431</v>
      </c>
      <c r="J1574">
        <v>0</v>
      </c>
      <c r="K1574">
        <v>0</v>
      </c>
      <c r="L1574">
        <v>0</v>
      </c>
      <c r="M1574">
        <v>1</v>
      </c>
      <c r="N1574">
        <f t="shared" si="48"/>
        <v>1.5441384832353766</v>
      </c>
      <c r="O1574">
        <f t="shared" si="49"/>
        <v>0.99979276637658132</v>
      </c>
    </row>
    <row r="1575" spans="1:15">
      <c r="A1575">
        <v>8594</v>
      </c>
      <c r="B1575">
        <v>112</v>
      </c>
      <c r="C1575">
        <v>0</v>
      </c>
      <c r="D1575">
        <v>6</v>
      </c>
      <c r="E1575">
        <v>2</v>
      </c>
      <c r="F1575">
        <v>1</v>
      </c>
      <c r="G1575">
        <v>14</v>
      </c>
      <c r="H1575" t="s">
        <v>12</v>
      </c>
      <c r="I1575">
        <v>50520</v>
      </c>
      <c r="J1575">
        <v>0</v>
      </c>
      <c r="K1575">
        <v>1</v>
      </c>
      <c r="L1575">
        <v>1</v>
      </c>
      <c r="M1575">
        <v>0</v>
      </c>
      <c r="N1575">
        <f t="shared" si="48"/>
        <v>-7.1113443001165483E-2</v>
      </c>
      <c r="O1575">
        <f t="shared" si="49"/>
        <v>-4.1589258860939504E-2</v>
      </c>
    </row>
    <row r="1576" spans="1:15">
      <c r="A1576">
        <v>8601</v>
      </c>
      <c r="B1576">
        <v>421</v>
      </c>
      <c r="C1576">
        <v>76</v>
      </c>
      <c r="D1576">
        <v>536</v>
      </c>
      <c r="E1576">
        <v>82</v>
      </c>
      <c r="F1576">
        <v>178</v>
      </c>
      <c r="G1576">
        <v>102</v>
      </c>
      <c r="H1576" t="s">
        <v>11</v>
      </c>
      <c r="I1576">
        <v>80011</v>
      </c>
      <c r="J1576">
        <v>0</v>
      </c>
      <c r="K1576">
        <v>1</v>
      </c>
      <c r="L1576">
        <v>0</v>
      </c>
      <c r="M1576">
        <v>1</v>
      </c>
      <c r="N1576">
        <f t="shared" si="48"/>
        <v>1.2933675101838438</v>
      </c>
      <c r="O1576">
        <f t="shared" si="49"/>
        <v>0.85137118573068082</v>
      </c>
    </row>
    <row r="1577" spans="1:15">
      <c r="A1577">
        <v>8602</v>
      </c>
      <c r="B1577">
        <v>412</v>
      </c>
      <c r="C1577">
        <v>172</v>
      </c>
      <c r="D1577">
        <v>153</v>
      </c>
      <c r="E1577">
        <v>150</v>
      </c>
      <c r="F1577">
        <v>105</v>
      </c>
      <c r="G1577">
        <v>57</v>
      </c>
      <c r="H1577" t="s">
        <v>12</v>
      </c>
      <c r="I1577">
        <v>69932</v>
      </c>
      <c r="J1577">
        <v>0</v>
      </c>
      <c r="K1577">
        <v>1</v>
      </c>
      <c r="L1577">
        <v>1</v>
      </c>
      <c r="M1577">
        <v>0</v>
      </c>
      <c r="N1577">
        <f t="shared" si="48"/>
        <v>0.82703528926384418</v>
      </c>
      <c r="O1577">
        <f t="shared" si="49"/>
        <v>0.41804848836368852</v>
      </c>
    </row>
    <row r="1578" spans="1:15">
      <c r="A1578">
        <v>8605</v>
      </c>
      <c r="B1578">
        <v>48</v>
      </c>
      <c r="C1578">
        <v>0</v>
      </c>
      <c r="D1578">
        <v>14</v>
      </c>
      <c r="E1578">
        <v>0</v>
      </c>
      <c r="F1578">
        <v>0</v>
      </c>
      <c r="G1578">
        <v>6</v>
      </c>
      <c r="H1578" t="s">
        <v>11</v>
      </c>
      <c r="I1578">
        <v>46910</v>
      </c>
      <c r="J1578">
        <v>1</v>
      </c>
      <c r="K1578">
        <v>1</v>
      </c>
      <c r="L1578">
        <v>0</v>
      </c>
      <c r="M1578">
        <v>1</v>
      </c>
      <c r="N1578">
        <f t="shared" si="48"/>
        <v>-0.23813986601150366</v>
      </c>
      <c r="O1578">
        <f t="shared" si="49"/>
        <v>0.2078215893403218</v>
      </c>
    </row>
    <row r="1579" spans="1:15">
      <c r="A1579">
        <v>8614</v>
      </c>
      <c r="B1579">
        <v>245</v>
      </c>
      <c r="C1579">
        <v>19</v>
      </c>
      <c r="D1579">
        <v>125</v>
      </c>
      <c r="E1579">
        <v>37</v>
      </c>
      <c r="F1579">
        <v>67</v>
      </c>
      <c r="G1579">
        <v>14</v>
      </c>
      <c r="H1579" t="s">
        <v>12</v>
      </c>
      <c r="I1579">
        <v>65486</v>
      </c>
      <c r="J1579">
        <v>0</v>
      </c>
      <c r="K1579">
        <v>1</v>
      </c>
      <c r="L1579">
        <v>1</v>
      </c>
      <c r="M1579">
        <v>0</v>
      </c>
      <c r="N1579">
        <f t="shared" si="48"/>
        <v>0.6213290630300593</v>
      </c>
      <c r="O1579">
        <f t="shared" si="49"/>
        <v>0.33310010252179056</v>
      </c>
    </row>
    <row r="1580" spans="1:15">
      <c r="A1580">
        <v>8624</v>
      </c>
      <c r="B1580">
        <v>183</v>
      </c>
      <c r="C1580">
        <v>33</v>
      </c>
      <c r="D1580">
        <v>493</v>
      </c>
      <c r="E1580">
        <v>59</v>
      </c>
      <c r="F1580">
        <v>103</v>
      </c>
      <c r="G1580">
        <v>57</v>
      </c>
      <c r="H1580" t="s">
        <v>11</v>
      </c>
      <c r="I1580">
        <v>81320</v>
      </c>
      <c r="J1580">
        <v>0</v>
      </c>
      <c r="K1580">
        <v>0</v>
      </c>
      <c r="L1580">
        <v>0</v>
      </c>
      <c r="M1580">
        <v>1</v>
      </c>
      <c r="N1580">
        <f t="shared" si="48"/>
        <v>1.3539319389152933</v>
      </c>
      <c r="O1580">
        <f t="shared" si="49"/>
        <v>0.99915526479637062</v>
      </c>
    </row>
    <row r="1581" spans="1:15">
      <c r="A1581">
        <v>8625</v>
      </c>
      <c r="B1581">
        <v>15</v>
      </c>
      <c r="C1581">
        <v>1</v>
      </c>
      <c r="D1581">
        <v>23</v>
      </c>
      <c r="E1581">
        <v>0</v>
      </c>
      <c r="F1581">
        <v>5</v>
      </c>
      <c r="G1581">
        <v>1</v>
      </c>
      <c r="H1581" t="s">
        <v>11</v>
      </c>
      <c r="I1581">
        <v>17649</v>
      </c>
      <c r="J1581">
        <v>1</v>
      </c>
      <c r="K1581">
        <v>0</v>
      </c>
      <c r="L1581">
        <v>0</v>
      </c>
      <c r="M1581">
        <v>1</v>
      </c>
      <c r="N1581">
        <f t="shared" si="48"/>
        <v>-1.5919792465393445</v>
      </c>
      <c r="O1581">
        <f t="shared" si="49"/>
        <v>-0.35587115695433524</v>
      </c>
    </row>
    <row r="1582" spans="1:15">
      <c r="A1582">
        <v>8629</v>
      </c>
      <c r="B1582">
        <v>19</v>
      </c>
      <c r="C1582">
        <v>1</v>
      </c>
      <c r="D1582">
        <v>10</v>
      </c>
      <c r="E1582">
        <v>2</v>
      </c>
      <c r="F1582">
        <v>1</v>
      </c>
      <c r="G1582">
        <v>8</v>
      </c>
      <c r="H1582" t="s">
        <v>12</v>
      </c>
      <c r="I1582">
        <v>46984</v>
      </c>
      <c r="J1582">
        <v>1</v>
      </c>
      <c r="K1582">
        <v>1</v>
      </c>
      <c r="L1582">
        <v>1</v>
      </c>
      <c r="M1582">
        <v>0</v>
      </c>
      <c r="N1582">
        <f t="shared" si="48"/>
        <v>-0.23471605567832776</v>
      </c>
      <c r="O1582">
        <f t="shared" si="49"/>
        <v>-0.11120479878079924</v>
      </c>
    </row>
    <row r="1583" spans="1:15">
      <c r="A1583">
        <v>8643</v>
      </c>
      <c r="B1583">
        <v>252</v>
      </c>
      <c r="C1583">
        <v>98</v>
      </c>
      <c r="D1583">
        <v>827</v>
      </c>
      <c r="E1583">
        <v>219</v>
      </c>
      <c r="F1583">
        <v>70</v>
      </c>
      <c r="G1583">
        <v>196</v>
      </c>
      <c r="H1583" t="s">
        <v>11</v>
      </c>
      <c r="I1583">
        <v>69930</v>
      </c>
      <c r="J1583">
        <v>0</v>
      </c>
      <c r="K1583">
        <v>0</v>
      </c>
      <c r="L1583">
        <v>0</v>
      </c>
      <c r="M1583">
        <v>1</v>
      </c>
      <c r="N1583">
        <f t="shared" si="48"/>
        <v>0.82694275384943405</v>
      </c>
      <c r="O1583">
        <f t="shared" si="49"/>
        <v>0.95972091889721711</v>
      </c>
    </row>
    <row r="1584" spans="1:15">
      <c r="A1584">
        <v>8650</v>
      </c>
      <c r="B1584">
        <v>5</v>
      </c>
      <c r="C1584">
        <v>6</v>
      </c>
      <c r="D1584">
        <v>10</v>
      </c>
      <c r="E1584">
        <v>6</v>
      </c>
      <c r="F1584">
        <v>5</v>
      </c>
      <c r="G1584">
        <v>10</v>
      </c>
      <c r="H1584" t="s">
        <v>12</v>
      </c>
      <c r="I1584">
        <v>54162</v>
      </c>
      <c r="J1584">
        <v>1</v>
      </c>
      <c r="K1584">
        <v>1</v>
      </c>
      <c r="L1584">
        <v>1</v>
      </c>
      <c r="M1584">
        <v>0</v>
      </c>
      <c r="N1584">
        <f t="shared" si="48"/>
        <v>9.7393546639735262E-2</v>
      </c>
      <c r="O1584">
        <f t="shared" si="49"/>
        <v>4.6491858095246537E-2</v>
      </c>
    </row>
    <row r="1585" spans="1:15">
      <c r="A1585">
        <v>8659</v>
      </c>
      <c r="B1585">
        <v>750</v>
      </c>
      <c r="C1585">
        <v>71</v>
      </c>
      <c r="D1585">
        <v>174</v>
      </c>
      <c r="E1585">
        <v>13</v>
      </c>
      <c r="F1585">
        <v>10</v>
      </c>
      <c r="G1585">
        <v>20</v>
      </c>
      <c r="H1585" t="s">
        <v>11</v>
      </c>
      <c r="I1585">
        <v>69805</v>
      </c>
      <c r="J1585">
        <v>0</v>
      </c>
      <c r="K1585">
        <v>1</v>
      </c>
      <c r="L1585">
        <v>0</v>
      </c>
      <c r="M1585">
        <v>1</v>
      </c>
      <c r="N1585">
        <f t="shared" si="48"/>
        <v>0.8211592904487991</v>
      </c>
      <c r="O1585">
        <f t="shared" si="49"/>
        <v>0.75860541788316915</v>
      </c>
    </row>
    <row r="1586" spans="1:15">
      <c r="A1586">
        <v>8663</v>
      </c>
      <c r="B1586">
        <v>11</v>
      </c>
      <c r="C1586">
        <v>0</v>
      </c>
      <c r="D1586">
        <v>3</v>
      </c>
      <c r="E1586">
        <v>0</v>
      </c>
      <c r="F1586">
        <v>0</v>
      </c>
      <c r="G1586">
        <v>1</v>
      </c>
      <c r="H1586" t="s">
        <v>12</v>
      </c>
      <c r="I1586">
        <v>39996</v>
      </c>
      <c r="J1586">
        <v>1</v>
      </c>
      <c r="K1586">
        <v>1</v>
      </c>
      <c r="L1586">
        <v>1</v>
      </c>
      <c r="M1586">
        <v>0</v>
      </c>
      <c r="N1586">
        <f t="shared" si="48"/>
        <v>-0.55803479362742558</v>
      </c>
      <c r="O1586">
        <f t="shared" si="49"/>
        <v>-0.25394994346112865</v>
      </c>
    </row>
    <row r="1587" spans="1:15">
      <c r="A1587">
        <v>8686</v>
      </c>
      <c r="B1587">
        <v>5</v>
      </c>
      <c r="C1587">
        <v>23</v>
      </c>
      <c r="D1587">
        <v>15</v>
      </c>
      <c r="E1587">
        <v>0</v>
      </c>
      <c r="F1587">
        <v>18</v>
      </c>
      <c r="G1587">
        <v>14</v>
      </c>
      <c r="H1587" t="s">
        <v>11</v>
      </c>
      <c r="I1587">
        <v>23724</v>
      </c>
      <c r="J1587">
        <v>1</v>
      </c>
      <c r="K1587">
        <v>0</v>
      </c>
      <c r="L1587">
        <v>0</v>
      </c>
      <c r="M1587">
        <v>1</v>
      </c>
      <c r="N1587">
        <f t="shared" si="48"/>
        <v>-1.3109029252684847</v>
      </c>
      <c r="O1587">
        <f t="shared" si="49"/>
        <v>-0.27227244439899206</v>
      </c>
    </row>
    <row r="1588" spans="1:15">
      <c r="A1588">
        <v>8687</v>
      </c>
      <c r="B1588">
        <v>121</v>
      </c>
      <c r="C1588">
        <v>62</v>
      </c>
      <c r="D1588">
        <v>90</v>
      </c>
      <c r="E1588">
        <v>68</v>
      </c>
      <c r="F1588">
        <v>20</v>
      </c>
      <c r="G1588">
        <v>125</v>
      </c>
      <c r="H1588" t="s">
        <v>11</v>
      </c>
      <c r="I1588">
        <v>53172</v>
      </c>
      <c r="J1588">
        <v>0</v>
      </c>
      <c r="K1588">
        <v>1</v>
      </c>
      <c r="L1588">
        <v>0</v>
      </c>
      <c r="M1588">
        <v>1</v>
      </c>
      <c r="N1588">
        <f t="shared" si="48"/>
        <v>5.1588516506706233E-2</v>
      </c>
      <c r="O1588">
        <f t="shared" si="49"/>
        <v>0.42629523859403284</v>
      </c>
    </row>
    <row r="1589" spans="1:15">
      <c r="A1589">
        <v>8690</v>
      </c>
      <c r="B1589">
        <v>399</v>
      </c>
      <c r="C1589">
        <v>28</v>
      </c>
      <c r="D1589">
        <v>756</v>
      </c>
      <c r="E1589">
        <v>36</v>
      </c>
      <c r="F1589">
        <v>40</v>
      </c>
      <c r="G1589">
        <v>126</v>
      </c>
      <c r="H1589" t="s">
        <v>11</v>
      </c>
      <c r="I1589">
        <v>86111</v>
      </c>
      <c r="J1589">
        <v>0</v>
      </c>
      <c r="K1589">
        <v>0</v>
      </c>
      <c r="L1589">
        <v>0</v>
      </c>
      <c r="M1589">
        <v>1</v>
      </c>
      <c r="N1589">
        <f t="shared" si="48"/>
        <v>1.5756005241348308</v>
      </c>
      <c r="O1589">
        <f t="shared" si="49"/>
        <v>0.99956421901991821</v>
      </c>
    </row>
    <row r="1590" spans="1:15">
      <c r="A1590">
        <v>8692</v>
      </c>
      <c r="B1590">
        <v>90</v>
      </c>
      <c r="C1590">
        <v>17</v>
      </c>
      <c r="D1590">
        <v>97</v>
      </c>
      <c r="E1590">
        <v>15</v>
      </c>
      <c r="F1590">
        <v>6</v>
      </c>
      <c r="G1590">
        <v>15</v>
      </c>
      <c r="H1590" t="s">
        <v>11</v>
      </c>
      <c r="I1590">
        <v>43462</v>
      </c>
      <c r="J1590">
        <v>1</v>
      </c>
      <c r="K1590">
        <v>1</v>
      </c>
      <c r="L1590">
        <v>0</v>
      </c>
      <c r="M1590">
        <v>1</v>
      </c>
      <c r="N1590">
        <f t="shared" si="48"/>
        <v>-0.39767092045461894</v>
      </c>
      <c r="O1590">
        <f t="shared" si="49"/>
        <v>0.13011705337724927</v>
      </c>
    </row>
    <row r="1591" spans="1:15">
      <c r="A1591">
        <v>8700</v>
      </c>
      <c r="B1591">
        <v>7</v>
      </c>
      <c r="C1591">
        <v>7</v>
      </c>
      <c r="D1591">
        <v>14</v>
      </c>
      <c r="E1591">
        <v>7</v>
      </c>
      <c r="F1591">
        <v>16</v>
      </c>
      <c r="G1591">
        <v>15</v>
      </c>
      <c r="H1591" t="s">
        <v>12</v>
      </c>
      <c r="I1591">
        <v>14906</v>
      </c>
      <c r="J1591">
        <v>0</v>
      </c>
      <c r="K1591">
        <v>0</v>
      </c>
      <c r="L1591">
        <v>1</v>
      </c>
      <c r="M1591">
        <v>0</v>
      </c>
      <c r="N1591">
        <f t="shared" si="48"/>
        <v>-1.7188915674028786</v>
      </c>
      <c r="O1591">
        <f t="shared" si="49"/>
        <v>-0.7157983566444891</v>
      </c>
    </row>
    <row r="1592" spans="1:15">
      <c r="A1592">
        <v>8707</v>
      </c>
      <c r="B1592">
        <v>565</v>
      </c>
      <c r="C1592">
        <v>42</v>
      </c>
      <c r="D1592">
        <v>548</v>
      </c>
      <c r="E1592">
        <v>64</v>
      </c>
      <c r="F1592">
        <v>83</v>
      </c>
      <c r="G1592">
        <v>99</v>
      </c>
      <c r="H1592" t="s">
        <v>11</v>
      </c>
      <c r="I1592">
        <v>79456</v>
      </c>
      <c r="J1592">
        <v>0</v>
      </c>
      <c r="K1592">
        <v>0</v>
      </c>
      <c r="L1592">
        <v>0</v>
      </c>
      <c r="M1592">
        <v>1</v>
      </c>
      <c r="N1592">
        <f t="shared" si="48"/>
        <v>1.2676889326850245</v>
      </c>
      <c r="O1592">
        <f t="shared" si="49"/>
        <v>0.99734798890008813</v>
      </c>
    </row>
    <row r="1593" spans="1:15">
      <c r="A1593">
        <v>8717</v>
      </c>
      <c r="B1593">
        <v>1149</v>
      </c>
      <c r="C1593">
        <v>71</v>
      </c>
      <c r="D1593">
        <v>449</v>
      </c>
      <c r="E1593">
        <v>69</v>
      </c>
      <c r="F1593">
        <v>71</v>
      </c>
      <c r="G1593">
        <v>26</v>
      </c>
      <c r="H1593" t="s">
        <v>11</v>
      </c>
      <c r="I1593">
        <v>80427</v>
      </c>
      <c r="J1593">
        <v>0</v>
      </c>
      <c r="K1593">
        <v>1</v>
      </c>
      <c r="L1593">
        <v>0</v>
      </c>
      <c r="M1593">
        <v>1</v>
      </c>
      <c r="N1593">
        <f t="shared" si="48"/>
        <v>1.3126148763811571</v>
      </c>
      <c r="O1593">
        <f t="shared" si="49"/>
        <v>0.85387736471211584</v>
      </c>
    </row>
    <row r="1594" spans="1:15">
      <c r="A1594">
        <v>8724</v>
      </c>
      <c r="B1594">
        <v>11</v>
      </c>
      <c r="C1594">
        <v>3</v>
      </c>
      <c r="D1594">
        <v>22</v>
      </c>
      <c r="E1594">
        <v>2</v>
      </c>
      <c r="F1594">
        <v>2</v>
      </c>
      <c r="G1594">
        <v>6</v>
      </c>
      <c r="H1594" t="s">
        <v>12</v>
      </c>
      <c r="I1594">
        <v>28567</v>
      </c>
      <c r="J1594">
        <v>1</v>
      </c>
      <c r="K1594">
        <v>0</v>
      </c>
      <c r="L1594">
        <v>1</v>
      </c>
      <c r="M1594">
        <v>0</v>
      </c>
      <c r="N1594">
        <f t="shared" si="48"/>
        <v>-1.086828419274283</v>
      </c>
      <c r="O1594">
        <f t="shared" si="49"/>
        <v>-0.50461321711273122</v>
      </c>
    </row>
    <row r="1595" spans="1:15">
      <c r="A1595">
        <v>8726</v>
      </c>
      <c r="B1595">
        <v>77</v>
      </c>
      <c r="C1595">
        <v>8</v>
      </c>
      <c r="D1595">
        <v>44</v>
      </c>
      <c r="E1595">
        <v>10</v>
      </c>
      <c r="F1595">
        <v>10</v>
      </c>
      <c r="G1595">
        <v>25</v>
      </c>
      <c r="H1595" t="s">
        <v>12</v>
      </c>
      <c r="I1595">
        <v>41713</v>
      </c>
      <c r="J1595">
        <v>1</v>
      </c>
      <c r="K1595">
        <v>1</v>
      </c>
      <c r="L1595">
        <v>1</v>
      </c>
      <c r="M1595">
        <v>0</v>
      </c>
      <c r="N1595">
        <f t="shared" si="48"/>
        <v>-0.47859314035630357</v>
      </c>
      <c r="O1595">
        <f t="shared" si="49"/>
        <v>-0.22055750541572877</v>
      </c>
    </row>
    <row r="1596" spans="1:15">
      <c r="A1596">
        <v>8732</v>
      </c>
      <c r="B1596">
        <v>1298</v>
      </c>
      <c r="C1596">
        <v>0</v>
      </c>
      <c r="D1596">
        <v>70</v>
      </c>
      <c r="E1596">
        <v>37</v>
      </c>
      <c r="F1596">
        <v>14</v>
      </c>
      <c r="G1596">
        <v>42</v>
      </c>
      <c r="H1596" t="s">
        <v>12</v>
      </c>
      <c r="I1596">
        <v>67369</v>
      </c>
      <c r="J1596">
        <v>0</v>
      </c>
      <c r="K1596">
        <v>1</v>
      </c>
      <c r="L1596">
        <v>1</v>
      </c>
      <c r="M1596">
        <v>0</v>
      </c>
      <c r="N1596">
        <f t="shared" si="48"/>
        <v>0.70845115569722461</v>
      </c>
      <c r="O1596">
        <f t="shared" si="49"/>
        <v>0.37090913184152818</v>
      </c>
    </row>
    <row r="1597" spans="1:15">
      <c r="A1597">
        <v>8737</v>
      </c>
      <c r="B1597">
        <v>29</v>
      </c>
      <c r="C1597">
        <v>1</v>
      </c>
      <c r="D1597">
        <v>9</v>
      </c>
      <c r="E1597">
        <v>2</v>
      </c>
      <c r="F1597">
        <v>0</v>
      </c>
      <c r="G1597">
        <v>2</v>
      </c>
      <c r="H1597" t="s">
        <v>12</v>
      </c>
      <c r="I1597">
        <v>55563</v>
      </c>
      <c r="J1597">
        <v>0</v>
      </c>
      <c r="K1597">
        <v>1</v>
      </c>
      <c r="L1597">
        <v>1</v>
      </c>
      <c r="M1597">
        <v>0</v>
      </c>
      <c r="N1597">
        <f t="shared" si="48"/>
        <v>0.16221460443405211</v>
      </c>
      <c r="O1597">
        <f t="shared" si="49"/>
        <v>9.4369026456526089E-2</v>
      </c>
    </row>
    <row r="1598" spans="1:15">
      <c r="A1598">
        <v>8746</v>
      </c>
      <c r="B1598">
        <v>800</v>
      </c>
      <c r="C1598">
        <v>0</v>
      </c>
      <c r="D1598">
        <v>297</v>
      </c>
      <c r="E1598">
        <v>0</v>
      </c>
      <c r="F1598">
        <v>34</v>
      </c>
      <c r="G1598">
        <v>57</v>
      </c>
      <c r="H1598" t="s">
        <v>11</v>
      </c>
      <c r="I1598">
        <v>75433</v>
      </c>
      <c r="J1598">
        <v>1</v>
      </c>
      <c r="K1598">
        <v>0</v>
      </c>
      <c r="L1598">
        <v>0</v>
      </c>
      <c r="M1598">
        <v>1</v>
      </c>
      <c r="N1598">
        <f t="shared" si="48"/>
        <v>1.0815539465989883</v>
      </c>
      <c r="O1598">
        <f t="shared" si="49"/>
        <v>0.81791879019723801</v>
      </c>
    </row>
    <row r="1599" spans="1:15">
      <c r="A1599">
        <v>8749</v>
      </c>
      <c r="B1599">
        <v>20</v>
      </c>
      <c r="C1599">
        <v>2</v>
      </c>
      <c r="D1599">
        <v>9</v>
      </c>
      <c r="E1599">
        <v>4</v>
      </c>
      <c r="F1599">
        <v>6</v>
      </c>
      <c r="G1599">
        <v>20</v>
      </c>
      <c r="H1599" t="s">
        <v>11</v>
      </c>
      <c r="I1599">
        <v>37235</v>
      </c>
      <c r="J1599">
        <v>1</v>
      </c>
      <c r="K1599">
        <v>0</v>
      </c>
      <c r="L1599">
        <v>0</v>
      </c>
      <c r="M1599">
        <v>1</v>
      </c>
      <c r="N1599">
        <f t="shared" si="48"/>
        <v>-0.68577993322065101</v>
      </c>
      <c r="O1599">
        <f t="shared" si="49"/>
        <v>-4.6798969870766325E-3</v>
      </c>
    </row>
    <row r="1600" spans="1:15">
      <c r="A1600">
        <v>8754</v>
      </c>
      <c r="B1600">
        <v>14</v>
      </c>
      <c r="C1600">
        <v>0</v>
      </c>
      <c r="D1600">
        <v>3</v>
      </c>
      <c r="E1600">
        <v>0</v>
      </c>
      <c r="F1600">
        <v>0</v>
      </c>
      <c r="G1600">
        <v>3</v>
      </c>
      <c r="H1600" t="s">
        <v>11</v>
      </c>
      <c r="I1600">
        <v>45068</v>
      </c>
      <c r="J1600">
        <v>0</v>
      </c>
      <c r="K1600">
        <v>1</v>
      </c>
      <c r="L1600">
        <v>0</v>
      </c>
      <c r="M1600">
        <v>1</v>
      </c>
      <c r="N1600">
        <f t="shared" si="48"/>
        <v>-0.32336498268326069</v>
      </c>
      <c r="O1600">
        <f t="shared" si="49"/>
        <v>0.20180940838448155</v>
      </c>
    </row>
    <row r="1601" spans="1:15">
      <c r="A1601">
        <v>8755</v>
      </c>
      <c r="B1601">
        <v>482</v>
      </c>
      <c r="C1601">
        <v>34</v>
      </c>
      <c r="D1601">
        <v>471</v>
      </c>
      <c r="E1601">
        <v>119</v>
      </c>
      <c r="F1601">
        <v>68</v>
      </c>
      <c r="G1601">
        <v>22</v>
      </c>
      <c r="H1601" t="s">
        <v>11</v>
      </c>
      <c r="I1601">
        <v>68657</v>
      </c>
      <c r="J1601">
        <v>0</v>
      </c>
      <c r="K1601">
        <v>0</v>
      </c>
      <c r="L1601">
        <v>0</v>
      </c>
      <c r="M1601">
        <v>1</v>
      </c>
      <c r="N1601">
        <f t="shared" si="48"/>
        <v>0.7680439625773674</v>
      </c>
      <c r="O1601">
        <f t="shared" si="49"/>
        <v>0.94898520788853769</v>
      </c>
    </row>
    <row r="1602" spans="1:15">
      <c r="A1602">
        <v>8773</v>
      </c>
      <c r="B1602">
        <v>280</v>
      </c>
      <c r="C1602">
        <v>0</v>
      </c>
      <c r="D1602">
        <v>18</v>
      </c>
      <c r="E1602">
        <v>0</v>
      </c>
      <c r="F1602">
        <v>0</v>
      </c>
      <c r="G1602">
        <v>24</v>
      </c>
      <c r="H1602" t="s">
        <v>11</v>
      </c>
      <c r="I1602">
        <v>57420</v>
      </c>
      <c r="J1602">
        <v>0</v>
      </c>
      <c r="K1602">
        <v>1</v>
      </c>
      <c r="L1602">
        <v>0</v>
      </c>
      <c r="M1602">
        <v>1</v>
      </c>
      <c r="N1602">
        <f t="shared" si="48"/>
        <v>0.24813373671388536</v>
      </c>
      <c r="O1602">
        <f t="shared" si="49"/>
        <v>0.5335195090705368</v>
      </c>
    </row>
    <row r="1603" spans="1:15">
      <c r="A1603">
        <v>8779</v>
      </c>
      <c r="B1603">
        <v>56</v>
      </c>
      <c r="C1603">
        <v>4</v>
      </c>
      <c r="D1603">
        <v>76</v>
      </c>
      <c r="E1603">
        <v>17</v>
      </c>
      <c r="F1603">
        <v>1</v>
      </c>
      <c r="G1603">
        <v>18</v>
      </c>
      <c r="H1603" t="s">
        <v>11</v>
      </c>
      <c r="I1603">
        <v>36145</v>
      </c>
      <c r="J1603">
        <v>1</v>
      </c>
      <c r="K1603">
        <v>0</v>
      </c>
      <c r="L1603">
        <v>0</v>
      </c>
      <c r="M1603">
        <v>1</v>
      </c>
      <c r="N1603">
        <f t="shared" ref="N1603:N1666" si="50">STANDARDIZE(I1603,$Q$1,$R$1)</f>
        <v>-0.73621173407418805</v>
      </c>
      <c r="O1603">
        <f t="shared" ref="O1603:O1666" si="51">SUMPRODUCT(J1603:N1603,$Q$4:$U$4) / SQRT(SUMSQ(J1603:N1603) * SUMSQ($Q$4:$U$4))</f>
        <v>-3.0807837986270483E-2</v>
      </c>
    </row>
    <row r="1604" spans="1:15">
      <c r="A1604">
        <v>8783</v>
      </c>
      <c r="B1604">
        <v>296</v>
      </c>
      <c r="C1604">
        <v>13</v>
      </c>
      <c r="D1604">
        <v>104</v>
      </c>
      <c r="E1604">
        <v>11</v>
      </c>
      <c r="F1604">
        <v>13</v>
      </c>
      <c r="G1604">
        <v>17</v>
      </c>
      <c r="H1604" t="s">
        <v>11</v>
      </c>
      <c r="I1604">
        <v>57045</v>
      </c>
      <c r="J1604">
        <v>0</v>
      </c>
      <c r="K1604">
        <v>1</v>
      </c>
      <c r="L1604">
        <v>0</v>
      </c>
      <c r="M1604">
        <v>1</v>
      </c>
      <c r="N1604">
        <f t="shared" si="50"/>
        <v>0.23078334651198043</v>
      </c>
      <c r="O1604">
        <f t="shared" si="51"/>
        <v>0.52457076848002393</v>
      </c>
    </row>
    <row r="1605" spans="1:15">
      <c r="A1605">
        <v>8786</v>
      </c>
      <c r="B1605">
        <v>301</v>
      </c>
      <c r="C1605">
        <v>7</v>
      </c>
      <c r="D1605">
        <v>74</v>
      </c>
      <c r="E1605">
        <v>10</v>
      </c>
      <c r="F1605">
        <v>0</v>
      </c>
      <c r="G1605">
        <v>58</v>
      </c>
      <c r="H1605" t="s">
        <v>11</v>
      </c>
      <c r="I1605">
        <v>62058</v>
      </c>
      <c r="J1605">
        <v>0</v>
      </c>
      <c r="K1605">
        <v>1</v>
      </c>
      <c r="L1605">
        <v>0</v>
      </c>
      <c r="M1605">
        <v>1</v>
      </c>
      <c r="N1605">
        <f t="shared" si="50"/>
        <v>0.46272336273104564</v>
      </c>
      <c r="O1605">
        <f t="shared" si="51"/>
        <v>0.63423976807933691</v>
      </c>
    </row>
    <row r="1606" spans="1:15">
      <c r="A1606">
        <v>8789</v>
      </c>
      <c r="B1606">
        <v>35</v>
      </c>
      <c r="C1606">
        <v>40</v>
      </c>
      <c r="D1606">
        <v>111</v>
      </c>
      <c r="E1606">
        <v>36</v>
      </c>
      <c r="F1606">
        <v>40</v>
      </c>
      <c r="G1606">
        <v>12</v>
      </c>
      <c r="H1606" t="s">
        <v>11</v>
      </c>
      <c r="I1606">
        <v>59060</v>
      </c>
      <c r="J1606">
        <v>1</v>
      </c>
      <c r="K1606">
        <v>0</v>
      </c>
      <c r="L1606">
        <v>0</v>
      </c>
      <c r="M1606">
        <v>1</v>
      </c>
      <c r="N1606">
        <f t="shared" si="50"/>
        <v>0.32401277653021626</v>
      </c>
      <c r="O1606">
        <f t="shared" si="51"/>
        <v>0.5712993051579377</v>
      </c>
    </row>
    <row r="1607" spans="1:15">
      <c r="A1607">
        <v>8799</v>
      </c>
      <c r="B1607">
        <v>70</v>
      </c>
      <c r="C1607">
        <v>6</v>
      </c>
      <c r="D1607">
        <v>69</v>
      </c>
      <c r="E1607">
        <v>2</v>
      </c>
      <c r="F1607">
        <v>3</v>
      </c>
      <c r="G1607">
        <v>3</v>
      </c>
      <c r="H1607" t="s">
        <v>11</v>
      </c>
      <c r="I1607">
        <v>38175</v>
      </c>
      <c r="J1607">
        <v>1</v>
      </c>
      <c r="K1607">
        <v>0</v>
      </c>
      <c r="L1607">
        <v>0</v>
      </c>
      <c r="M1607">
        <v>1</v>
      </c>
      <c r="N1607">
        <f t="shared" si="50"/>
        <v>-0.642288288447876</v>
      </c>
      <c r="O1607">
        <f t="shared" si="51"/>
        <v>1.8452340092163594E-2</v>
      </c>
    </row>
    <row r="1608" spans="1:15">
      <c r="A1608">
        <v>8805</v>
      </c>
      <c r="B1608">
        <v>283</v>
      </c>
      <c r="C1608">
        <v>10</v>
      </c>
      <c r="D1608">
        <v>38</v>
      </c>
      <c r="E1608">
        <v>0</v>
      </c>
      <c r="F1608">
        <v>13</v>
      </c>
      <c r="G1608">
        <v>27</v>
      </c>
      <c r="H1608" t="s">
        <v>12</v>
      </c>
      <c r="I1608">
        <v>48904</v>
      </c>
      <c r="J1608">
        <v>0</v>
      </c>
      <c r="K1608">
        <v>1</v>
      </c>
      <c r="L1608">
        <v>1</v>
      </c>
      <c r="M1608">
        <v>0</v>
      </c>
      <c r="N1608">
        <f t="shared" si="50"/>
        <v>-0.14588205784457448</v>
      </c>
      <c r="O1608">
        <f t="shared" si="51"/>
        <v>-8.4973072607685704E-2</v>
      </c>
    </row>
    <row r="1609" spans="1:15">
      <c r="A1609">
        <v>8812</v>
      </c>
      <c r="B1609">
        <v>12</v>
      </c>
      <c r="C1609">
        <v>3</v>
      </c>
      <c r="D1609">
        <v>8</v>
      </c>
      <c r="E1609">
        <v>8</v>
      </c>
      <c r="F1609">
        <v>0</v>
      </c>
      <c r="G1609">
        <v>17</v>
      </c>
      <c r="H1609" t="s">
        <v>12</v>
      </c>
      <c r="I1609">
        <v>13533</v>
      </c>
      <c r="J1609">
        <v>1</v>
      </c>
      <c r="K1609">
        <v>0</v>
      </c>
      <c r="L1609">
        <v>1</v>
      </c>
      <c r="M1609">
        <v>0</v>
      </c>
      <c r="N1609">
        <f t="shared" si="50"/>
        <v>-1.7824171293954532</v>
      </c>
      <c r="O1609">
        <f t="shared" si="51"/>
        <v>-0.64872802657895012</v>
      </c>
    </row>
    <row r="1610" spans="1:15">
      <c r="A1610">
        <v>8825</v>
      </c>
      <c r="B1610">
        <v>230</v>
      </c>
      <c r="C1610">
        <v>14</v>
      </c>
      <c r="D1610">
        <v>156</v>
      </c>
      <c r="E1610">
        <v>82</v>
      </c>
      <c r="F1610">
        <v>24</v>
      </c>
      <c r="G1610">
        <v>58</v>
      </c>
      <c r="H1610" t="s">
        <v>11</v>
      </c>
      <c r="I1610">
        <v>51195</v>
      </c>
      <c r="J1610">
        <v>1</v>
      </c>
      <c r="K1610">
        <v>1</v>
      </c>
      <c r="L1610">
        <v>0</v>
      </c>
      <c r="M1610">
        <v>1</v>
      </c>
      <c r="N1610">
        <f t="shared" si="50"/>
        <v>-3.9882740637736593E-2</v>
      </c>
      <c r="O1610">
        <f t="shared" si="51"/>
        <v>0.30448563756438424</v>
      </c>
    </row>
    <row r="1611" spans="1:15">
      <c r="A1611">
        <v>8832</v>
      </c>
      <c r="B1611">
        <v>37</v>
      </c>
      <c r="C1611">
        <v>5</v>
      </c>
      <c r="D1611">
        <v>56</v>
      </c>
      <c r="E1611">
        <v>12</v>
      </c>
      <c r="F1611">
        <v>8</v>
      </c>
      <c r="G1611">
        <v>5</v>
      </c>
      <c r="H1611" t="s">
        <v>11</v>
      </c>
      <c r="I1611">
        <v>37509</v>
      </c>
      <c r="J1611">
        <v>1</v>
      </c>
      <c r="K1611">
        <v>0</v>
      </c>
      <c r="L1611">
        <v>0</v>
      </c>
      <c r="M1611">
        <v>1</v>
      </c>
      <c r="N1611">
        <f t="shared" si="50"/>
        <v>-0.67310258144645918</v>
      </c>
      <c r="O1611">
        <f t="shared" si="51"/>
        <v>2.006659913402009E-3</v>
      </c>
    </row>
    <row r="1612" spans="1:15">
      <c r="A1612">
        <v>8852</v>
      </c>
      <c r="B1612">
        <v>387</v>
      </c>
      <c r="C1612">
        <v>126</v>
      </c>
      <c r="D1612">
        <v>342</v>
      </c>
      <c r="E1612">
        <v>0</v>
      </c>
      <c r="F1612">
        <v>45</v>
      </c>
      <c r="G1612">
        <v>180</v>
      </c>
      <c r="H1612" t="s">
        <v>11</v>
      </c>
      <c r="I1612">
        <v>61064</v>
      </c>
      <c r="J1612">
        <v>0</v>
      </c>
      <c r="K1612">
        <v>1</v>
      </c>
      <c r="L1612">
        <v>0</v>
      </c>
      <c r="M1612">
        <v>1</v>
      </c>
      <c r="N1612">
        <f t="shared" si="50"/>
        <v>0.41673326176919628</v>
      </c>
      <c r="O1612">
        <f t="shared" si="51"/>
        <v>0.6142811882536624</v>
      </c>
    </row>
    <row r="1613" spans="1:15">
      <c r="A1613">
        <v>8858</v>
      </c>
      <c r="B1613">
        <v>516</v>
      </c>
      <c r="C1613">
        <v>0</v>
      </c>
      <c r="D1613">
        <v>21</v>
      </c>
      <c r="E1613">
        <v>0</v>
      </c>
      <c r="F1613">
        <v>0</v>
      </c>
      <c r="G1613">
        <v>5</v>
      </c>
      <c r="H1613" t="s">
        <v>11</v>
      </c>
      <c r="I1613">
        <v>44325</v>
      </c>
      <c r="J1613">
        <v>0</v>
      </c>
      <c r="K1613">
        <v>1</v>
      </c>
      <c r="L1613">
        <v>0</v>
      </c>
      <c r="M1613">
        <v>1</v>
      </c>
      <c r="N1613">
        <f t="shared" si="50"/>
        <v>-0.35774188913663502</v>
      </c>
      <c r="O1613">
        <f t="shared" si="51"/>
        <v>0.1811807417047217</v>
      </c>
    </row>
    <row r="1614" spans="1:15">
      <c r="A1614">
        <v>8870</v>
      </c>
      <c r="B1614">
        <v>75</v>
      </c>
      <c r="C1614">
        <v>12</v>
      </c>
      <c r="D1614">
        <v>141</v>
      </c>
      <c r="E1614">
        <v>43</v>
      </c>
      <c r="F1614">
        <v>39</v>
      </c>
      <c r="G1614">
        <v>187</v>
      </c>
      <c r="H1614" t="s">
        <v>11</v>
      </c>
      <c r="I1614">
        <v>35196</v>
      </c>
      <c r="J1614">
        <v>1</v>
      </c>
      <c r="K1614">
        <v>0</v>
      </c>
      <c r="L1614">
        <v>0</v>
      </c>
      <c r="M1614">
        <v>1</v>
      </c>
      <c r="N1614">
        <f t="shared" si="50"/>
        <v>-0.78011978821180883</v>
      </c>
      <c r="O1614">
        <f t="shared" si="51"/>
        <v>-5.292519409446686E-2</v>
      </c>
    </row>
    <row r="1615" spans="1:15">
      <c r="A1615">
        <v>8876</v>
      </c>
      <c r="B1615">
        <v>132</v>
      </c>
      <c r="C1615">
        <v>0</v>
      </c>
      <c r="D1615">
        <v>16</v>
      </c>
      <c r="E1615">
        <v>0</v>
      </c>
      <c r="F1615">
        <v>0</v>
      </c>
      <c r="G1615">
        <v>4</v>
      </c>
      <c r="H1615" t="s">
        <v>11</v>
      </c>
      <c r="I1615">
        <v>33629</v>
      </c>
      <c r="J1615">
        <v>1</v>
      </c>
      <c r="K1615">
        <v>1</v>
      </c>
      <c r="L1615">
        <v>0</v>
      </c>
      <c r="M1615">
        <v>1</v>
      </c>
      <c r="N1615">
        <f t="shared" si="50"/>
        <v>-0.85262128540216886</v>
      </c>
      <c r="O1615">
        <f t="shared" si="51"/>
        <v>-7.5378091944082626E-2</v>
      </c>
    </row>
    <row r="1616" spans="1:15">
      <c r="A1616">
        <v>8890</v>
      </c>
      <c r="B1616">
        <v>155</v>
      </c>
      <c r="C1616">
        <v>7</v>
      </c>
      <c r="D1616">
        <v>80</v>
      </c>
      <c r="E1616">
        <v>13</v>
      </c>
      <c r="F1616">
        <v>7</v>
      </c>
      <c r="G1616">
        <v>10</v>
      </c>
      <c r="H1616" t="s">
        <v>12</v>
      </c>
      <c r="I1616">
        <v>65808</v>
      </c>
      <c r="J1616">
        <v>1</v>
      </c>
      <c r="K1616">
        <v>1</v>
      </c>
      <c r="L1616">
        <v>1</v>
      </c>
      <c r="M1616">
        <v>0</v>
      </c>
      <c r="N1616">
        <f t="shared" si="50"/>
        <v>0.63622726475009495</v>
      </c>
      <c r="O1616">
        <f t="shared" si="51"/>
        <v>0.28553560569511455</v>
      </c>
    </row>
    <row r="1617" spans="1:15">
      <c r="A1617">
        <v>8897</v>
      </c>
      <c r="B1617">
        <v>392</v>
      </c>
      <c r="C1617">
        <v>5</v>
      </c>
      <c r="D1617">
        <v>91</v>
      </c>
      <c r="E1617">
        <v>28</v>
      </c>
      <c r="F1617">
        <v>26</v>
      </c>
      <c r="G1617">
        <v>112</v>
      </c>
      <c r="H1617" t="s">
        <v>12</v>
      </c>
      <c r="I1617">
        <v>42720</v>
      </c>
      <c r="J1617">
        <v>1</v>
      </c>
      <c r="K1617">
        <v>1</v>
      </c>
      <c r="L1617">
        <v>1</v>
      </c>
      <c r="M1617">
        <v>0</v>
      </c>
      <c r="N1617">
        <f t="shared" si="50"/>
        <v>-0.43200155920078814</v>
      </c>
      <c r="O1617">
        <f t="shared" si="51"/>
        <v>-0.2004068959054553</v>
      </c>
    </row>
    <row r="1618" spans="1:15">
      <c r="A1618">
        <v>8908</v>
      </c>
      <c r="B1618">
        <v>217</v>
      </c>
      <c r="C1618">
        <v>76</v>
      </c>
      <c r="D1618">
        <v>690</v>
      </c>
      <c r="E1618">
        <v>50</v>
      </c>
      <c r="F1618">
        <v>26</v>
      </c>
      <c r="G1618">
        <v>38</v>
      </c>
      <c r="H1618" t="s">
        <v>11</v>
      </c>
      <c r="I1618">
        <v>87195</v>
      </c>
      <c r="J1618">
        <v>0</v>
      </c>
      <c r="K1618">
        <v>0</v>
      </c>
      <c r="L1618">
        <v>0</v>
      </c>
      <c r="M1618">
        <v>1</v>
      </c>
      <c r="N1618">
        <f t="shared" si="50"/>
        <v>1.6257547187451373</v>
      </c>
      <c r="O1618">
        <f t="shared" si="51"/>
        <v>0.99904947288849033</v>
      </c>
    </row>
    <row r="1619" spans="1:15">
      <c r="A1619">
        <v>8910</v>
      </c>
      <c r="B1619">
        <v>194</v>
      </c>
      <c r="C1619">
        <v>2</v>
      </c>
      <c r="D1619">
        <v>56</v>
      </c>
      <c r="E1619">
        <v>0</v>
      </c>
      <c r="F1619">
        <v>0</v>
      </c>
      <c r="G1619">
        <v>0</v>
      </c>
      <c r="H1619" t="s">
        <v>11</v>
      </c>
      <c r="I1619">
        <v>42586</v>
      </c>
      <c r="J1619">
        <v>1</v>
      </c>
      <c r="K1619">
        <v>1</v>
      </c>
      <c r="L1619">
        <v>0</v>
      </c>
      <c r="M1619">
        <v>1</v>
      </c>
      <c r="N1619">
        <f t="shared" si="50"/>
        <v>-0.43820143196626887</v>
      </c>
      <c r="O1619">
        <f t="shared" si="51"/>
        <v>0.11063837976555826</v>
      </c>
    </row>
    <row r="1620" spans="1:15">
      <c r="A1620">
        <v>8911</v>
      </c>
      <c r="B1620">
        <v>201</v>
      </c>
      <c r="C1620">
        <v>53</v>
      </c>
      <c r="D1620">
        <v>172</v>
      </c>
      <c r="E1620">
        <v>116</v>
      </c>
      <c r="F1620">
        <v>77</v>
      </c>
      <c r="G1620">
        <v>83</v>
      </c>
      <c r="H1620" t="s">
        <v>11</v>
      </c>
      <c r="I1620">
        <v>56320</v>
      </c>
      <c r="J1620">
        <v>0</v>
      </c>
      <c r="K1620">
        <v>1</v>
      </c>
      <c r="L1620">
        <v>0</v>
      </c>
      <c r="M1620">
        <v>1</v>
      </c>
      <c r="N1620">
        <f t="shared" si="50"/>
        <v>0.19723925878829754</v>
      </c>
      <c r="O1620">
        <f t="shared" si="51"/>
        <v>0.50696042769016858</v>
      </c>
    </row>
    <row r="1621" spans="1:15">
      <c r="A1621">
        <v>8916</v>
      </c>
      <c r="B1621">
        <v>9</v>
      </c>
      <c r="C1621">
        <v>1</v>
      </c>
      <c r="D1621">
        <v>5</v>
      </c>
      <c r="E1621">
        <v>0</v>
      </c>
      <c r="F1621">
        <v>0</v>
      </c>
      <c r="G1621">
        <v>1</v>
      </c>
      <c r="H1621" t="s">
        <v>12</v>
      </c>
      <c r="I1621">
        <v>36627</v>
      </c>
      <c r="J1621">
        <v>2</v>
      </c>
      <c r="K1621">
        <v>0</v>
      </c>
      <c r="L1621">
        <v>1</v>
      </c>
      <c r="M1621">
        <v>0</v>
      </c>
      <c r="N1621">
        <f t="shared" si="50"/>
        <v>-0.71391069920133954</v>
      </c>
      <c r="O1621">
        <f t="shared" si="51"/>
        <v>-0.25186858751724012</v>
      </c>
    </row>
    <row r="1622" spans="1:15">
      <c r="A1622">
        <v>8920</v>
      </c>
      <c r="B1622">
        <v>448</v>
      </c>
      <c r="C1622">
        <v>40</v>
      </c>
      <c r="D1622">
        <v>469</v>
      </c>
      <c r="E1622">
        <v>80</v>
      </c>
      <c r="F1622">
        <v>0</v>
      </c>
      <c r="G1622">
        <v>91</v>
      </c>
      <c r="H1622" t="s">
        <v>12</v>
      </c>
      <c r="I1622">
        <v>59235</v>
      </c>
      <c r="J1622">
        <v>1</v>
      </c>
      <c r="K1622">
        <v>0</v>
      </c>
      <c r="L1622">
        <v>1</v>
      </c>
      <c r="M1622">
        <v>0</v>
      </c>
      <c r="N1622">
        <f t="shared" si="50"/>
        <v>0.33210962529110527</v>
      </c>
      <c r="O1622">
        <f t="shared" si="51"/>
        <v>0.18932263582930486</v>
      </c>
    </row>
    <row r="1623" spans="1:15">
      <c r="A1623">
        <v>8923</v>
      </c>
      <c r="B1623">
        <v>514</v>
      </c>
      <c r="C1623">
        <v>22</v>
      </c>
      <c r="D1623">
        <v>732</v>
      </c>
      <c r="E1623">
        <v>42</v>
      </c>
      <c r="F1623">
        <v>198</v>
      </c>
      <c r="G1623">
        <v>79</v>
      </c>
      <c r="H1623" t="s">
        <v>12</v>
      </c>
      <c r="I1623">
        <v>83917</v>
      </c>
      <c r="J1623">
        <v>0</v>
      </c>
      <c r="K1623">
        <v>0</v>
      </c>
      <c r="L1623">
        <v>1</v>
      </c>
      <c r="M1623">
        <v>0</v>
      </c>
      <c r="N1623">
        <f t="shared" si="50"/>
        <v>1.4740891745268856</v>
      </c>
      <c r="O1623">
        <f t="shared" si="51"/>
        <v>0.68530792295088527</v>
      </c>
    </row>
    <row r="1624" spans="1:15">
      <c r="A1624">
        <v>8925</v>
      </c>
      <c r="B1624">
        <v>512</v>
      </c>
      <c r="C1624">
        <v>53</v>
      </c>
      <c r="D1624">
        <v>98</v>
      </c>
      <c r="E1624">
        <v>81</v>
      </c>
      <c r="F1624">
        <v>179</v>
      </c>
      <c r="G1624">
        <v>89</v>
      </c>
      <c r="H1624" t="s">
        <v>11</v>
      </c>
      <c r="I1624">
        <v>70053</v>
      </c>
      <c r="J1624">
        <v>0</v>
      </c>
      <c r="K1624">
        <v>1</v>
      </c>
      <c r="L1624">
        <v>0</v>
      </c>
      <c r="M1624">
        <v>1</v>
      </c>
      <c r="N1624">
        <f t="shared" si="50"/>
        <v>0.83263368183565889</v>
      </c>
      <c r="O1624">
        <f t="shared" si="51"/>
        <v>0.76171825167096519</v>
      </c>
    </row>
    <row r="1625" spans="1:15">
      <c r="A1625">
        <v>8931</v>
      </c>
      <c r="B1625">
        <v>812</v>
      </c>
      <c r="C1625">
        <v>99</v>
      </c>
      <c r="D1625">
        <v>431</v>
      </c>
      <c r="E1625">
        <v>237</v>
      </c>
      <c r="F1625">
        <v>149</v>
      </c>
      <c r="G1625">
        <v>33</v>
      </c>
      <c r="H1625" t="s">
        <v>11</v>
      </c>
      <c r="I1625">
        <v>83033</v>
      </c>
      <c r="J1625">
        <v>1</v>
      </c>
      <c r="K1625">
        <v>0</v>
      </c>
      <c r="L1625">
        <v>0</v>
      </c>
      <c r="M1625">
        <v>1</v>
      </c>
      <c r="N1625">
        <f t="shared" si="50"/>
        <v>1.433188521357595</v>
      </c>
      <c r="O1625">
        <f t="shared" si="51"/>
        <v>0.86785990934862667</v>
      </c>
    </row>
    <row r="1626" spans="1:15">
      <c r="A1626">
        <v>8932</v>
      </c>
      <c r="B1626">
        <v>960</v>
      </c>
      <c r="C1626">
        <v>28</v>
      </c>
      <c r="D1626">
        <v>183</v>
      </c>
      <c r="E1626">
        <v>220</v>
      </c>
      <c r="F1626">
        <v>70</v>
      </c>
      <c r="G1626">
        <v>70</v>
      </c>
      <c r="H1626" t="s">
        <v>11</v>
      </c>
      <c r="I1626">
        <v>65176</v>
      </c>
      <c r="J1626">
        <v>0</v>
      </c>
      <c r="K1626">
        <v>1</v>
      </c>
      <c r="L1626">
        <v>0</v>
      </c>
      <c r="M1626">
        <v>1</v>
      </c>
      <c r="N1626">
        <f t="shared" si="50"/>
        <v>0.6069860737964845</v>
      </c>
      <c r="O1626">
        <f t="shared" si="51"/>
        <v>0.69085693577364637</v>
      </c>
    </row>
    <row r="1627" spans="1:15">
      <c r="A1627">
        <v>8933</v>
      </c>
      <c r="B1627">
        <v>26</v>
      </c>
      <c r="C1627">
        <v>3</v>
      </c>
      <c r="D1627">
        <v>23</v>
      </c>
      <c r="E1627">
        <v>4</v>
      </c>
      <c r="F1627">
        <v>7</v>
      </c>
      <c r="G1627">
        <v>3</v>
      </c>
      <c r="H1627" t="s">
        <v>11</v>
      </c>
      <c r="I1627">
        <v>32146</v>
      </c>
      <c r="J1627">
        <v>1</v>
      </c>
      <c r="K1627">
        <v>0</v>
      </c>
      <c r="L1627">
        <v>0</v>
      </c>
      <c r="M1627">
        <v>1</v>
      </c>
      <c r="N1627">
        <f t="shared" si="50"/>
        <v>-0.92123629518730232</v>
      </c>
      <c r="O1627">
        <f t="shared" si="51"/>
        <v>-0.11988454817819934</v>
      </c>
    </row>
    <row r="1628" spans="1:15">
      <c r="A1628">
        <v>8939</v>
      </c>
      <c r="B1628">
        <v>382</v>
      </c>
      <c r="C1628">
        <v>138</v>
      </c>
      <c r="D1628">
        <v>65</v>
      </c>
      <c r="E1628">
        <v>60</v>
      </c>
      <c r="F1628">
        <v>26</v>
      </c>
      <c r="G1628">
        <v>59</v>
      </c>
      <c r="H1628" t="s">
        <v>12</v>
      </c>
      <c r="I1628">
        <v>61250</v>
      </c>
      <c r="J1628">
        <v>0</v>
      </c>
      <c r="K1628">
        <v>1</v>
      </c>
      <c r="L1628">
        <v>1</v>
      </c>
      <c r="M1628">
        <v>0</v>
      </c>
      <c r="N1628">
        <f t="shared" si="50"/>
        <v>0.42533905530934113</v>
      </c>
      <c r="O1628">
        <f t="shared" si="51"/>
        <v>0.23851127315438805</v>
      </c>
    </row>
    <row r="1629" spans="1:15">
      <c r="A1629">
        <v>8945</v>
      </c>
      <c r="B1629">
        <v>171</v>
      </c>
      <c r="C1629">
        <v>0</v>
      </c>
      <c r="D1629">
        <v>11</v>
      </c>
      <c r="E1629">
        <v>0</v>
      </c>
      <c r="F1629">
        <v>1</v>
      </c>
      <c r="G1629">
        <v>20</v>
      </c>
      <c r="H1629" t="s">
        <v>12</v>
      </c>
      <c r="I1629">
        <v>54137</v>
      </c>
      <c r="J1629">
        <v>0</v>
      </c>
      <c r="K1629">
        <v>1</v>
      </c>
      <c r="L1629">
        <v>1</v>
      </c>
      <c r="M1629">
        <v>0</v>
      </c>
      <c r="N1629">
        <f t="shared" si="50"/>
        <v>9.6236853959608279E-2</v>
      </c>
      <c r="O1629">
        <f t="shared" si="51"/>
        <v>5.6223261142869567E-2</v>
      </c>
    </row>
    <row r="1630" spans="1:15">
      <c r="A1630">
        <v>8952</v>
      </c>
      <c r="B1630">
        <v>397</v>
      </c>
      <c r="C1630">
        <v>46</v>
      </c>
      <c r="D1630">
        <v>288</v>
      </c>
      <c r="E1630">
        <v>20</v>
      </c>
      <c r="F1630">
        <v>38</v>
      </c>
      <c r="G1630">
        <v>70</v>
      </c>
      <c r="H1630" t="s">
        <v>11</v>
      </c>
      <c r="I1630">
        <v>65569</v>
      </c>
      <c r="J1630">
        <v>0</v>
      </c>
      <c r="K1630">
        <v>1</v>
      </c>
      <c r="L1630">
        <v>0</v>
      </c>
      <c r="M1630">
        <v>1</v>
      </c>
      <c r="N1630">
        <f t="shared" si="50"/>
        <v>0.62516928272808092</v>
      </c>
      <c r="O1630">
        <f t="shared" si="51"/>
        <v>0.69735072353661176</v>
      </c>
    </row>
    <row r="1631" spans="1:15">
      <c r="A1631">
        <v>8953</v>
      </c>
      <c r="B1631">
        <v>27</v>
      </c>
      <c r="C1631">
        <v>0</v>
      </c>
      <c r="D1631">
        <v>5</v>
      </c>
      <c r="E1631">
        <v>0</v>
      </c>
      <c r="F1631">
        <v>0</v>
      </c>
      <c r="G1631">
        <v>3</v>
      </c>
      <c r="H1631" t="s">
        <v>12</v>
      </c>
      <c r="I1631">
        <v>35791</v>
      </c>
      <c r="J1631">
        <v>2</v>
      </c>
      <c r="K1631">
        <v>1</v>
      </c>
      <c r="L1631">
        <v>1</v>
      </c>
      <c r="M1631">
        <v>0</v>
      </c>
      <c r="N1631">
        <f t="shared" si="50"/>
        <v>-0.75259050242478631</v>
      </c>
      <c r="O1631">
        <f t="shared" si="51"/>
        <v>-0.24321377313286088</v>
      </c>
    </row>
    <row r="1632" spans="1:15">
      <c r="A1632">
        <v>8955</v>
      </c>
      <c r="B1632">
        <v>35</v>
      </c>
      <c r="C1632">
        <v>0</v>
      </c>
      <c r="D1632">
        <v>4</v>
      </c>
      <c r="E1632">
        <v>0</v>
      </c>
      <c r="F1632">
        <v>0</v>
      </c>
      <c r="G1632">
        <v>10</v>
      </c>
      <c r="H1632" t="s">
        <v>11</v>
      </c>
      <c r="I1632">
        <v>40451</v>
      </c>
      <c r="J1632">
        <v>0</v>
      </c>
      <c r="K1632">
        <v>2</v>
      </c>
      <c r="L1632">
        <v>0</v>
      </c>
      <c r="M1632">
        <v>1</v>
      </c>
      <c r="N1632">
        <f t="shared" si="50"/>
        <v>-0.53698298684911427</v>
      </c>
      <c r="O1632">
        <f t="shared" si="51"/>
        <v>5.0384434740791476E-2</v>
      </c>
    </row>
    <row r="1633" spans="1:15">
      <c r="A1633">
        <v>8957</v>
      </c>
      <c r="B1633">
        <v>480</v>
      </c>
      <c r="C1633">
        <v>86</v>
      </c>
      <c r="D1633">
        <v>249</v>
      </c>
      <c r="E1633">
        <v>75</v>
      </c>
      <c r="F1633">
        <v>86</v>
      </c>
      <c r="G1633">
        <v>144</v>
      </c>
      <c r="H1633" t="s">
        <v>12</v>
      </c>
      <c r="I1633">
        <v>64831</v>
      </c>
      <c r="J1633">
        <v>1</v>
      </c>
      <c r="K1633">
        <v>1</v>
      </c>
      <c r="L1633">
        <v>1</v>
      </c>
      <c r="M1633">
        <v>0</v>
      </c>
      <c r="N1633">
        <f t="shared" si="50"/>
        <v>0.59102371481073201</v>
      </c>
      <c r="O1633">
        <f t="shared" si="51"/>
        <v>0.26743617194919406</v>
      </c>
    </row>
    <row r="1634" spans="1:15">
      <c r="A1634">
        <v>8962</v>
      </c>
      <c r="B1634">
        <v>26</v>
      </c>
      <c r="C1634">
        <v>0</v>
      </c>
      <c r="D1634">
        <v>8</v>
      </c>
      <c r="E1634">
        <v>0</v>
      </c>
      <c r="F1634">
        <v>0</v>
      </c>
      <c r="G1634">
        <v>3</v>
      </c>
      <c r="H1634" t="s">
        <v>11</v>
      </c>
      <c r="I1634">
        <v>44319</v>
      </c>
      <c r="J1634">
        <v>1</v>
      </c>
      <c r="K1634">
        <v>1</v>
      </c>
      <c r="L1634">
        <v>0</v>
      </c>
      <c r="M1634">
        <v>1</v>
      </c>
      <c r="N1634">
        <f t="shared" si="50"/>
        <v>-0.35801949537986549</v>
      </c>
      <c r="O1634">
        <f t="shared" si="51"/>
        <v>0.14930421998729357</v>
      </c>
    </row>
    <row r="1635" spans="1:15">
      <c r="A1635">
        <v>8969</v>
      </c>
      <c r="B1635">
        <v>548</v>
      </c>
      <c r="C1635">
        <v>31</v>
      </c>
      <c r="D1635">
        <v>422</v>
      </c>
      <c r="E1635">
        <v>0</v>
      </c>
      <c r="F1635">
        <v>112</v>
      </c>
      <c r="G1635">
        <v>28</v>
      </c>
      <c r="H1635" t="s">
        <v>11</v>
      </c>
      <c r="I1635">
        <v>71855</v>
      </c>
      <c r="J1635">
        <v>0</v>
      </c>
      <c r="K1635">
        <v>1</v>
      </c>
      <c r="L1635">
        <v>0</v>
      </c>
      <c r="M1635">
        <v>1</v>
      </c>
      <c r="N1635">
        <f t="shared" si="50"/>
        <v>0.9160080902192127</v>
      </c>
      <c r="O1635">
        <f t="shared" si="51"/>
        <v>0.78287937642714256</v>
      </c>
    </row>
    <row r="1636" spans="1:15">
      <c r="A1636">
        <v>8970</v>
      </c>
      <c r="B1636">
        <v>371</v>
      </c>
      <c r="C1636">
        <v>22</v>
      </c>
      <c r="D1636">
        <v>39</v>
      </c>
      <c r="E1636">
        <v>6</v>
      </c>
      <c r="F1636">
        <v>0</v>
      </c>
      <c r="G1636">
        <v>92</v>
      </c>
      <c r="H1636" t="s">
        <v>11</v>
      </c>
      <c r="I1636">
        <v>62010</v>
      </c>
      <c r="J1636">
        <v>0</v>
      </c>
      <c r="K1636">
        <v>1</v>
      </c>
      <c r="L1636">
        <v>0</v>
      </c>
      <c r="M1636">
        <v>1</v>
      </c>
      <c r="N1636">
        <f t="shared" si="50"/>
        <v>0.46050251278520177</v>
      </c>
      <c r="O1636">
        <f t="shared" si="51"/>
        <v>0.63329708153138398</v>
      </c>
    </row>
    <row r="1637" spans="1:15">
      <c r="A1637">
        <v>8975</v>
      </c>
      <c r="B1637">
        <v>14</v>
      </c>
      <c r="C1637">
        <v>3</v>
      </c>
      <c r="D1637">
        <v>21</v>
      </c>
      <c r="E1637">
        <v>2</v>
      </c>
      <c r="F1637">
        <v>1</v>
      </c>
      <c r="G1637">
        <v>28</v>
      </c>
      <c r="H1637" t="s">
        <v>11</v>
      </c>
      <c r="I1637">
        <v>19514</v>
      </c>
      <c r="J1637">
        <v>1</v>
      </c>
      <c r="K1637">
        <v>1</v>
      </c>
      <c r="L1637">
        <v>0</v>
      </c>
      <c r="M1637">
        <v>1</v>
      </c>
      <c r="N1637">
        <f t="shared" si="50"/>
        <v>-1.5056899726018707</v>
      </c>
      <c r="O1637">
        <f t="shared" si="51"/>
        <v>-0.29905606859612682</v>
      </c>
    </row>
    <row r="1638" spans="1:15">
      <c r="A1638">
        <v>8977</v>
      </c>
      <c r="B1638">
        <v>1</v>
      </c>
      <c r="C1638">
        <v>3</v>
      </c>
      <c r="D1638">
        <v>4</v>
      </c>
      <c r="E1638">
        <v>2</v>
      </c>
      <c r="F1638">
        <v>3</v>
      </c>
      <c r="G1638">
        <v>11</v>
      </c>
      <c r="H1638" t="s">
        <v>12</v>
      </c>
      <c r="I1638">
        <v>16581</v>
      </c>
      <c r="J1638">
        <v>0</v>
      </c>
      <c r="K1638">
        <v>0</v>
      </c>
      <c r="L1638">
        <v>1</v>
      </c>
      <c r="M1638">
        <v>0</v>
      </c>
      <c r="N1638">
        <f t="shared" si="50"/>
        <v>-1.6413931578343699</v>
      </c>
      <c r="O1638">
        <f t="shared" si="51"/>
        <v>-0.70720763757959537</v>
      </c>
    </row>
    <row r="1639" spans="1:15">
      <c r="A1639">
        <v>8985</v>
      </c>
      <c r="B1639">
        <v>806</v>
      </c>
      <c r="C1639">
        <v>80</v>
      </c>
      <c r="D1639">
        <v>161</v>
      </c>
      <c r="E1639">
        <v>120</v>
      </c>
      <c r="F1639">
        <v>11</v>
      </c>
      <c r="G1639">
        <v>33</v>
      </c>
      <c r="H1639" t="s">
        <v>11</v>
      </c>
      <c r="I1639">
        <v>68316</v>
      </c>
      <c r="J1639">
        <v>0</v>
      </c>
      <c r="K1639">
        <v>1</v>
      </c>
      <c r="L1639">
        <v>0</v>
      </c>
      <c r="M1639">
        <v>1</v>
      </c>
      <c r="N1639">
        <f t="shared" si="50"/>
        <v>0.75226667442043516</v>
      </c>
      <c r="O1639">
        <f t="shared" si="51"/>
        <v>0.73884741823499356</v>
      </c>
    </row>
    <row r="1640" spans="1:15">
      <c r="A1640">
        <v>9010</v>
      </c>
      <c r="B1640">
        <v>968</v>
      </c>
      <c r="C1640">
        <v>147</v>
      </c>
      <c r="D1640">
        <v>842</v>
      </c>
      <c r="E1640">
        <v>137</v>
      </c>
      <c r="F1640">
        <v>42</v>
      </c>
      <c r="G1640">
        <v>210</v>
      </c>
      <c r="H1640" t="s">
        <v>11</v>
      </c>
      <c r="I1640">
        <v>83151</v>
      </c>
      <c r="J1640">
        <v>0</v>
      </c>
      <c r="K1640">
        <v>0</v>
      </c>
      <c r="L1640">
        <v>0</v>
      </c>
      <c r="M1640">
        <v>1</v>
      </c>
      <c r="N1640">
        <f t="shared" si="50"/>
        <v>1.4386481108077944</v>
      </c>
      <c r="O1640">
        <f t="shared" si="51"/>
        <v>0.99992342448668836</v>
      </c>
    </row>
    <row r="1641" spans="1:15">
      <c r="A1641">
        <v>9014</v>
      </c>
      <c r="B1641">
        <v>39</v>
      </c>
      <c r="C1641">
        <v>1</v>
      </c>
      <c r="D1641">
        <v>16</v>
      </c>
      <c r="E1641">
        <v>2</v>
      </c>
      <c r="F1641">
        <v>0</v>
      </c>
      <c r="G1641">
        <v>3</v>
      </c>
      <c r="H1641" t="s">
        <v>11</v>
      </c>
      <c r="I1641">
        <v>37085</v>
      </c>
      <c r="J1641">
        <v>1</v>
      </c>
      <c r="K1641">
        <v>1</v>
      </c>
      <c r="L1641">
        <v>0</v>
      </c>
      <c r="M1641">
        <v>1</v>
      </c>
      <c r="N1641">
        <f t="shared" si="50"/>
        <v>-0.69272008930141304</v>
      </c>
      <c r="O1641">
        <f t="shared" si="51"/>
        <v>-7.0239513008721029E-3</v>
      </c>
    </row>
    <row r="1642" spans="1:15">
      <c r="A1642">
        <v>9029</v>
      </c>
      <c r="B1642">
        <v>707</v>
      </c>
      <c r="C1642">
        <v>44</v>
      </c>
      <c r="D1642">
        <v>603</v>
      </c>
      <c r="E1642">
        <v>95</v>
      </c>
      <c r="F1642">
        <v>58</v>
      </c>
      <c r="G1642">
        <v>29</v>
      </c>
      <c r="H1642" t="s">
        <v>11</v>
      </c>
      <c r="I1642">
        <v>70116</v>
      </c>
      <c r="J1642">
        <v>0</v>
      </c>
      <c r="K1642">
        <v>0</v>
      </c>
      <c r="L1642">
        <v>0</v>
      </c>
      <c r="M1642">
        <v>1</v>
      </c>
      <c r="N1642">
        <f t="shared" si="50"/>
        <v>0.83554854738957895</v>
      </c>
      <c r="O1642">
        <f t="shared" si="51"/>
        <v>0.96113834259447695</v>
      </c>
    </row>
    <row r="1643" spans="1:15">
      <c r="A1643">
        <v>9058</v>
      </c>
      <c r="B1643">
        <v>1060</v>
      </c>
      <c r="C1643">
        <v>21</v>
      </c>
      <c r="D1643">
        <v>530</v>
      </c>
      <c r="E1643">
        <v>32</v>
      </c>
      <c r="F1643">
        <v>0</v>
      </c>
      <c r="G1643">
        <v>224</v>
      </c>
      <c r="H1643" t="s">
        <v>12</v>
      </c>
      <c r="I1643">
        <v>79800</v>
      </c>
      <c r="J1643">
        <v>0</v>
      </c>
      <c r="K1643">
        <v>0</v>
      </c>
      <c r="L1643">
        <v>1</v>
      </c>
      <c r="M1643">
        <v>0</v>
      </c>
      <c r="N1643">
        <f t="shared" si="50"/>
        <v>1.2836050239635719</v>
      </c>
      <c r="O1643">
        <f t="shared" si="51"/>
        <v>0.65327289498916796</v>
      </c>
    </row>
    <row r="1644" spans="1:15">
      <c r="A1644">
        <v>9076</v>
      </c>
      <c r="B1644">
        <v>155</v>
      </c>
      <c r="C1644">
        <v>1</v>
      </c>
      <c r="D1644">
        <v>25</v>
      </c>
      <c r="E1644">
        <v>0</v>
      </c>
      <c r="F1644">
        <v>1</v>
      </c>
      <c r="G1644">
        <v>3</v>
      </c>
      <c r="H1644" t="s">
        <v>11</v>
      </c>
      <c r="I1644">
        <v>30732</v>
      </c>
      <c r="J1644">
        <v>1</v>
      </c>
      <c r="K1644">
        <v>0</v>
      </c>
      <c r="L1644">
        <v>0</v>
      </c>
      <c r="M1644">
        <v>1</v>
      </c>
      <c r="N1644">
        <f t="shared" si="50"/>
        <v>-0.98665883317528513</v>
      </c>
      <c r="O1644">
        <f t="shared" si="51"/>
        <v>-0.14875993999270323</v>
      </c>
    </row>
    <row r="1645" spans="1:15">
      <c r="A1645">
        <v>9081</v>
      </c>
      <c r="B1645">
        <v>4</v>
      </c>
      <c r="C1645">
        <v>1</v>
      </c>
      <c r="D1645">
        <v>6</v>
      </c>
      <c r="E1645">
        <v>4</v>
      </c>
      <c r="F1645">
        <v>1</v>
      </c>
      <c r="G1645">
        <v>9</v>
      </c>
      <c r="H1645" t="s">
        <v>12</v>
      </c>
      <c r="I1645">
        <v>20518</v>
      </c>
      <c r="J1645">
        <v>1</v>
      </c>
      <c r="K1645">
        <v>0</v>
      </c>
      <c r="L1645">
        <v>1</v>
      </c>
      <c r="M1645">
        <v>0</v>
      </c>
      <c r="N1645">
        <f t="shared" si="50"/>
        <v>-1.4592371945679705</v>
      </c>
      <c r="O1645">
        <f t="shared" si="51"/>
        <v>-0.59467088243716038</v>
      </c>
    </row>
    <row r="1646" spans="1:15">
      <c r="A1646">
        <v>9094</v>
      </c>
      <c r="B1646">
        <v>313</v>
      </c>
      <c r="C1646">
        <v>15</v>
      </c>
      <c r="D1646">
        <v>47</v>
      </c>
      <c r="E1646">
        <v>20</v>
      </c>
      <c r="F1646">
        <v>0</v>
      </c>
      <c r="G1646">
        <v>192</v>
      </c>
      <c r="H1646" t="s">
        <v>11</v>
      </c>
      <c r="I1646">
        <v>62972</v>
      </c>
      <c r="J1646">
        <v>0</v>
      </c>
      <c r="K1646">
        <v>1</v>
      </c>
      <c r="L1646">
        <v>0</v>
      </c>
      <c r="M1646">
        <v>1</v>
      </c>
      <c r="N1646">
        <f t="shared" si="50"/>
        <v>0.50501204711648862</v>
      </c>
      <c r="O1646">
        <f t="shared" si="51"/>
        <v>0.65177897252501116</v>
      </c>
    </row>
    <row r="1647" spans="1:15">
      <c r="A1647">
        <v>9097</v>
      </c>
      <c r="B1647">
        <v>244</v>
      </c>
      <c r="C1647">
        <v>8</v>
      </c>
      <c r="D1647">
        <v>32</v>
      </c>
      <c r="E1647">
        <v>7</v>
      </c>
      <c r="F1647">
        <v>2</v>
      </c>
      <c r="G1647">
        <v>50</v>
      </c>
      <c r="H1647" t="s">
        <v>12</v>
      </c>
      <c r="I1647">
        <v>46086</v>
      </c>
      <c r="J1647">
        <v>0</v>
      </c>
      <c r="K1647">
        <v>1</v>
      </c>
      <c r="L1647">
        <v>1</v>
      </c>
      <c r="M1647">
        <v>0</v>
      </c>
      <c r="N1647">
        <f t="shared" si="50"/>
        <v>-0.27626445674848943</v>
      </c>
      <c r="O1647">
        <f t="shared" si="51"/>
        <v>-0.15877075346203159</v>
      </c>
    </row>
    <row r="1648" spans="1:15">
      <c r="A1648">
        <v>9119</v>
      </c>
      <c r="B1648">
        <v>208</v>
      </c>
      <c r="C1648">
        <v>17</v>
      </c>
      <c r="D1648">
        <v>76</v>
      </c>
      <c r="E1648">
        <v>36</v>
      </c>
      <c r="F1648">
        <v>17</v>
      </c>
      <c r="G1648">
        <v>38</v>
      </c>
      <c r="H1648" t="s">
        <v>11</v>
      </c>
      <c r="I1648">
        <v>60905</v>
      </c>
      <c r="J1648">
        <v>0</v>
      </c>
      <c r="K1648">
        <v>1</v>
      </c>
      <c r="L1648">
        <v>0</v>
      </c>
      <c r="M1648">
        <v>1</v>
      </c>
      <c r="N1648">
        <f t="shared" si="50"/>
        <v>0.40937669632358858</v>
      </c>
      <c r="O1648">
        <f t="shared" si="51"/>
        <v>0.61100382945245546</v>
      </c>
    </row>
    <row r="1649" spans="1:15">
      <c r="A1649">
        <v>9120</v>
      </c>
      <c r="B1649">
        <v>747</v>
      </c>
      <c r="C1649">
        <v>10</v>
      </c>
      <c r="D1649">
        <v>161</v>
      </c>
      <c r="E1649">
        <v>65</v>
      </c>
      <c r="F1649">
        <v>40</v>
      </c>
      <c r="G1649">
        <v>42</v>
      </c>
      <c r="H1649" t="s">
        <v>12</v>
      </c>
      <c r="I1649">
        <v>66565</v>
      </c>
      <c r="J1649">
        <v>0</v>
      </c>
      <c r="K1649">
        <v>1</v>
      </c>
      <c r="L1649">
        <v>1</v>
      </c>
      <c r="M1649">
        <v>0</v>
      </c>
      <c r="N1649">
        <f t="shared" si="50"/>
        <v>0.67125191910434046</v>
      </c>
      <c r="O1649">
        <f t="shared" si="51"/>
        <v>0.35509456443394061</v>
      </c>
    </row>
    <row r="1650" spans="1:15">
      <c r="A1650">
        <v>9135</v>
      </c>
      <c r="B1650">
        <v>13</v>
      </c>
      <c r="C1650">
        <v>2</v>
      </c>
      <c r="D1650">
        <v>21</v>
      </c>
      <c r="E1650">
        <v>4</v>
      </c>
      <c r="F1650">
        <v>0</v>
      </c>
      <c r="G1650">
        <v>24</v>
      </c>
      <c r="H1650" t="s">
        <v>11</v>
      </c>
      <c r="I1650">
        <v>27203</v>
      </c>
      <c r="J1650">
        <v>1</v>
      </c>
      <c r="K1650">
        <v>1</v>
      </c>
      <c r="L1650">
        <v>0</v>
      </c>
      <c r="M1650">
        <v>1</v>
      </c>
      <c r="N1650">
        <f t="shared" si="50"/>
        <v>-1.149937571902012</v>
      </c>
      <c r="O1650">
        <f t="shared" si="51"/>
        <v>-0.18842140077755304</v>
      </c>
    </row>
    <row r="1651" spans="1:15">
      <c r="A1651">
        <v>9140</v>
      </c>
      <c r="B1651">
        <v>51</v>
      </c>
      <c r="C1651">
        <v>4</v>
      </c>
      <c r="D1651">
        <v>24</v>
      </c>
      <c r="E1651">
        <v>4</v>
      </c>
      <c r="F1651">
        <v>7</v>
      </c>
      <c r="G1651">
        <v>1</v>
      </c>
      <c r="H1651" t="s">
        <v>11</v>
      </c>
      <c r="I1651">
        <v>50523</v>
      </c>
      <c r="J1651">
        <v>1</v>
      </c>
      <c r="K1651">
        <v>1</v>
      </c>
      <c r="L1651">
        <v>0</v>
      </c>
      <c r="M1651">
        <v>1</v>
      </c>
      <c r="N1651">
        <f t="shared" si="50"/>
        <v>-7.0974639879550244E-2</v>
      </c>
      <c r="O1651">
        <f t="shared" si="51"/>
        <v>0.28945793200923903</v>
      </c>
    </row>
    <row r="1652" spans="1:15">
      <c r="A1652">
        <v>9145</v>
      </c>
      <c r="B1652">
        <v>604</v>
      </c>
      <c r="C1652">
        <v>26</v>
      </c>
      <c r="D1652">
        <v>470</v>
      </c>
      <c r="E1652">
        <v>123</v>
      </c>
      <c r="F1652">
        <v>161</v>
      </c>
      <c r="G1652">
        <v>94</v>
      </c>
      <c r="H1652" t="s">
        <v>12</v>
      </c>
      <c r="I1652">
        <v>72504</v>
      </c>
      <c r="J1652">
        <v>0</v>
      </c>
      <c r="K1652">
        <v>1</v>
      </c>
      <c r="L1652">
        <v>1</v>
      </c>
      <c r="M1652">
        <v>0</v>
      </c>
      <c r="N1652">
        <f t="shared" si="50"/>
        <v>0.94603583219530951</v>
      </c>
      <c r="O1652">
        <f t="shared" si="51"/>
        <v>0.46044458269702604</v>
      </c>
    </row>
    <row r="1653" spans="1:15">
      <c r="A1653">
        <v>9153</v>
      </c>
      <c r="B1653">
        <v>418</v>
      </c>
      <c r="C1653">
        <v>61</v>
      </c>
      <c r="D1653">
        <v>428</v>
      </c>
      <c r="E1653">
        <v>80</v>
      </c>
      <c r="F1653">
        <v>51</v>
      </c>
      <c r="G1653">
        <v>10</v>
      </c>
      <c r="H1653" t="s">
        <v>11</v>
      </c>
      <c r="I1653">
        <v>59304</v>
      </c>
      <c r="J1653">
        <v>0</v>
      </c>
      <c r="K1653">
        <v>1</v>
      </c>
      <c r="L1653">
        <v>0</v>
      </c>
      <c r="M1653">
        <v>1</v>
      </c>
      <c r="N1653">
        <f t="shared" si="50"/>
        <v>0.33530209708825576</v>
      </c>
      <c r="O1653">
        <f t="shared" si="51"/>
        <v>0.57672427100652002</v>
      </c>
    </row>
    <row r="1654" spans="1:15">
      <c r="A1654">
        <v>9166</v>
      </c>
      <c r="B1654">
        <v>387</v>
      </c>
      <c r="C1654">
        <v>84</v>
      </c>
      <c r="D1654">
        <v>141</v>
      </c>
      <c r="E1654">
        <v>73</v>
      </c>
      <c r="F1654">
        <v>35</v>
      </c>
      <c r="G1654">
        <v>162</v>
      </c>
      <c r="H1654" t="s">
        <v>11</v>
      </c>
      <c r="I1654">
        <v>63967</v>
      </c>
      <c r="J1654">
        <v>0</v>
      </c>
      <c r="K1654">
        <v>1</v>
      </c>
      <c r="L1654">
        <v>0</v>
      </c>
      <c r="M1654">
        <v>1</v>
      </c>
      <c r="N1654">
        <f t="shared" si="50"/>
        <v>0.55104841578554298</v>
      </c>
      <c r="O1654">
        <f t="shared" si="51"/>
        <v>0.66998261397499581</v>
      </c>
    </row>
    <row r="1655" spans="1:15">
      <c r="A1655">
        <v>9167</v>
      </c>
      <c r="B1655">
        <v>465</v>
      </c>
      <c r="C1655">
        <v>71</v>
      </c>
      <c r="D1655">
        <v>250</v>
      </c>
      <c r="E1655">
        <v>93</v>
      </c>
      <c r="F1655">
        <v>35</v>
      </c>
      <c r="G1655">
        <v>62</v>
      </c>
      <c r="H1655" t="s">
        <v>11</v>
      </c>
      <c r="I1655">
        <v>67131</v>
      </c>
      <c r="J1655">
        <v>0</v>
      </c>
      <c r="K1655">
        <v>1</v>
      </c>
      <c r="L1655">
        <v>0</v>
      </c>
      <c r="M1655">
        <v>1</v>
      </c>
      <c r="N1655">
        <f t="shared" si="50"/>
        <v>0.69743944138241565</v>
      </c>
      <c r="O1655">
        <f t="shared" si="51"/>
        <v>0.72176989190206509</v>
      </c>
    </row>
    <row r="1656" spans="1:15">
      <c r="A1656">
        <v>9185</v>
      </c>
      <c r="B1656">
        <v>452</v>
      </c>
      <c r="C1656">
        <v>20</v>
      </c>
      <c r="D1656">
        <v>514</v>
      </c>
      <c r="E1656">
        <v>13</v>
      </c>
      <c r="F1656">
        <v>30</v>
      </c>
      <c r="G1656">
        <v>0</v>
      </c>
      <c r="H1656" t="s">
        <v>12</v>
      </c>
      <c r="I1656">
        <v>69759</v>
      </c>
      <c r="J1656">
        <v>0</v>
      </c>
      <c r="K1656">
        <v>0</v>
      </c>
      <c r="L1656">
        <v>1</v>
      </c>
      <c r="M1656">
        <v>0</v>
      </c>
      <c r="N1656">
        <f t="shared" si="50"/>
        <v>0.8190309759173654</v>
      </c>
      <c r="O1656">
        <f t="shared" si="51"/>
        <v>0.52472217529953746</v>
      </c>
    </row>
    <row r="1657" spans="1:15">
      <c r="A1657">
        <v>9197</v>
      </c>
      <c r="B1657">
        <v>32</v>
      </c>
      <c r="C1657">
        <v>0</v>
      </c>
      <c r="D1657">
        <v>5</v>
      </c>
      <c r="E1657">
        <v>2</v>
      </c>
      <c r="F1657">
        <v>0</v>
      </c>
      <c r="G1657">
        <v>8</v>
      </c>
      <c r="H1657" t="s">
        <v>11</v>
      </c>
      <c r="I1657">
        <v>39722</v>
      </c>
      <c r="J1657">
        <v>0</v>
      </c>
      <c r="K1657">
        <v>1</v>
      </c>
      <c r="L1657">
        <v>0</v>
      </c>
      <c r="M1657">
        <v>1</v>
      </c>
      <c r="N1657">
        <f t="shared" si="50"/>
        <v>-0.57071214540161752</v>
      </c>
      <c r="O1657">
        <f t="shared" si="51"/>
        <v>5.7660799232582306E-2</v>
      </c>
    </row>
    <row r="1658" spans="1:15">
      <c r="A1658">
        <v>9204</v>
      </c>
      <c r="B1658">
        <v>371</v>
      </c>
      <c r="C1658">
        <v>159</v>
      </c>
      <c r="D1658">
        <v>194</v>
      </c>
      <c r="E1658">
        <v>58</v>
      </c>
      <c r="F1658">
        <v>106</v>
      </c>
      <c r="G1658">
        <v>141</v>
      </c>
      <c r="H1658" t="s">
        <v>12</v>
      </c>
      <c r="I1658">
        <v>66731</v>
      </c>
      <c r="J1658">
        <v>0</v>
      </c>
      <c r="K1658">
        <v>1</v>
      </c>
      <c r="L1658">
        <v>1</v>
      </c>
      <c r="M1658">
        <v>0</v>
      </c>
      <c r="N1658">
        <f t="shared" si="50"/>
        <v>0.67893235850038369</v>
      </c>
      <c r="O1658">
        <f t="shared" si="51"/>
        <v>0.35840003085462957</v>
      </c>
    </row>
    <row r="1659" spans="1:15">
      <c r="A1659">
        <v>9206</v>
      </c>
      <c r="B1659">
        <v>491</v>
      </c>
      <c r="C1659">
        <v>48</v>
      </c>
      <c r="D1659">
        <v>231</v>
      </c>
      <c r="E1659">
        <v>112</v>
      </c>
      <c r="F1659">
        <v>105</v>
      </c>
      <c r="G1659">
        <v>134</v>
      </c>
      <c r="H1659" t="s">
        <v>11</v>
      </c>
      <c r="I1659">
        <v>77382</v>
      </c>
      <c r="J1659">
        <v>0</v>
      </c>
      <c r="K1659">
        <v>1</v>
      </c>
      <c r="L1659">
        <v>0</v>
      </c>
      <c r="M1659">
        <v>1</v>
      </c>
      <c r="N1659">
        <f t="shared" si="50"/>
        <v>1.1717297079416888</v>
      </c>
      <c r="O1659">
        <f t="shared" si="51"/>
        <v>0.83356078414558865</v>
      </c>
    </row>
    <row r="1660" spans="1:15">
      <c r="A1660">
        <v>9212</v>
      </c>
      <c r="B1660">
        <v>1205</v>
      </c>
      <c r="C1660">
        <v>0</v>
      </c>
      <c r="D1660">
        <v>235</v>
      </c>
      <c r="E1660">
        <v>19</v>
      </c>
      <c r="F1660">
        <v>14</v>
      </c>
      <c r="G1660">
        <v>205</v>
      </c>
      <c r="H1660" t="s">
        <v>11</v>
      </c>
      <c r="I1660">
        <v>72828</v>
      </c>
      <c r="J1660">
        <v>0</v>
      </c>
      <c r="K1660">
        <v>1</v>
      </c>
      <c r="L1660">
        <v>0</v>
      </c>
      <c r="M1660">
        <v>1</v>
      </c>
      <c r="N1660">
        <f t="shared" si="50"/>
        <v>0.96102656932975539</v>
      </c>
      <c r="O1660">
        <f t="shared" si="51"/>
        <v>0.79328600035144359</v>
      </c>
    </row>
    <row r="1661" spans="1:15">
      <c r="A1661">
        <v>9213</v>
      </c>
      <c r="B1661">
        <v>4</v>
      </c>
      <c r="C1661">
        <v>1</v>
      </c>
      <c r="D1661">
        <v>5</v>
      </c>
      <c r="E1661">
        <v>2</v>
      </c>
      <c r="F1661">
        <v>0</v>
      </c>
      <c r="G1661">
        <v>3</v>
      </c>
      <c r="H1661" t="s">
        <v>12</v>
      </c>
      <c r="I1661">
        <v>31880</v>
      </c>
      <c r="J1661">
        <v>1</v>
      </c>
      <c r="K1661">
        <v>0</v>
      </c>
      <c r="L1661">
        <v>1</v>
      </c>
      <c r="M1661">
        <v>0</v>
      </c>
      <c r="N1661">
        <f t="shared" si="50"/>
        <v>-0.93354350530385355</v>
      </c>
      <c r="O1661">
        <f t="shared" si="51"/>
        <v>-0.45621833886596386</v>
      </c>
    </row>
    <row r="1662" spans="1:15">
      <c r="A1662">
        <v>9214</v>
      </c>
      <c r="B1662">
        <v>179</v>
      </c>
      <c r="C1662">
        <v>2</v>
      </c>
      <c r="D1662">
        <v>64</v>
      </c>
      <c r="E1662">
        <v>38</v>
      </c>
      <c r="F1662">
        <v>17</v>
      </c>
      <c r="G1662">
        <v>58</v>
      </c>
      <c r="H1662" t="s">
        <v>11</v>
      </c>
      <c r="I1662">
        <v>42691</v>
      </c>
      <c r="J1662">
        <v>0</v>
      </c>
      <c r="K1662">
        <v>0</v>
      </c>
      <c r="L1662">
        <v>0</v>
      </c>
      <c r="M1662">
        <v>1</v>
      </c>
      <c r="N1662">
        <f t="shared" si="50"/>
        <v>-0.43334332270973547</v>
      </c>
      <c r="O1662">
        <f t="shared" si="51"/>
        <v>0.18506307292188853</v>
      </c>
    </row>
    <row r="1663" spans="1:15">
      <c r="A1663">
        <v>9215</v>
      </c>
      <c r="B1663">
        <v>378</v>
      </c>
      <c r="C1663">
        <v>0</v>
      </c>
      <c r="D1663">
        <v>101</v>
      </c>
      <c r="E1663">
        <v>0</v>
      </c>
      <c r="F1663">
        <v>0</v>
      </c>
      <c r="G1663">
        <v>72</v>
      </c>
      <c r="H1663" t="s">
        <v>11</v>
      </c>
      <c r="I1663">
        <v>43974</v>
      </c>
      <c r="J1663">
        <v>1</v>
      </c>
      <c r="K1663">
        <v>0</v>
      </c>
      <c r="L1663">
        <v>0</v>
      </c>
      <c r="M1663">
        <v>1</v>
      </c>
      <c r="N1663">
        <f t="shared" si="50"/>
        <v>-0.37398185436561804</v>
      </c>
      <c r="O1663">
        <f t="shared" si="51"/>
        <v>0.17148338373249969</v>
      </c>
    </row>
    <row r="1664" spans="1:15">
      <c r="A1664">
        <v>9216</v>
      </c>
      <c r="B1664">
        <v>23</v>
      </c>
      <c r="C1664">
        <v>2</v>
      </c>
      <c r="D1664">
        <v>11</v>
      </c>
      <c r="E1664">
        <v>3</v>
      </c>
      <c r="F1664">
        <v>1</v>
      </c>
      <c r="G1664">
        <v>4</v>
      </c>
      <c r="H1664" t="s">
        <v>11</v>
      </c>
      <c r="I1664">
        <v>35788</v>
      </c>
      <c r="J1664">
        <v>1</v>
      </c>
      <c r="K1664">
        <v>1</v>
      </c>
      <c r="L1664">
        <v>0</v>
      </c>
      <c r="M1664">
        <v>1</v>
      </c>
      <c r="N1664">
        <f t="shared" si="50"/>
        <v>-0.75272930554640161</v>
      </c>
      <c r="O1664">
        <f t="shared" si="51"/>
        <v>-3.3251810594766097E-2</v>
      </c>
    </row>
    <row r="1665" spans="1:15">
      <c r="A1665">
        <v>9220</v>
      </c>
      <c r="B1665">
        <v>576</v>
      </c>
      <c r="C1665">
        <v>172</v>
      </c>
      <c r="D1665">
        <v>961</v>
      </c>
      <c r="E1665">
        <v>125</v>
      </c>
      <c r="F1665">
        <v>115</v>
      </c>
      <c r="G1665">
        <v>19</v>
      </c>
      <c r="H1665" t="s">
        <v>12</v>
      </c>
      <c r="I1665">
        <v>91700</v>
      </c>
      <c r="J1665">
        <v>0</v>
      </c>
      <c r="K1665">
        <v>0</v>
      </c>
      <c r="L1665">
        <v>1</v>
      </c>
      <c r="M1665">
        <v>0</v>
      </c>
      <c r="N1665">
        <f t="shared" si="50"/>
        <v>1.834190739704022</v>
      </c>
      <c r="O1665">
        <f t="shared" si="51"/>
        <v>0.72708009329467604</v>
      </c>
    </row>
    <row r="1666" spans="1:15">
      <c r="A1666">
        <v>9224</v>
      </c>
      <c r="B1666">
        <v>825</v>
      </c>
      <c r="C1666">
        <v>8</v>
      </c>
      <c r="D1666">
        <v>53</v>
      </c>
      <c r="E1666">
        <v>11</v>
      </c>
      <c r="F1666">
        <v>0</v>
      </c>
      <c r="G1666">
        <v>242</v>
      </c>
      <c r="H1666" t="s">
        <v>12</v>
      </c>
      <c r="I1666">
        <v>55260</v>
      </c>
      <c r="J1666">
        <v>0</v>
      </c>
      <c r="K1666">
        <v>1</v>
      </c>
      <c r="L1666">
        <v>1</v>
      </c>
      <c r="M1666">
        <v>0</v>
      </c>
      <c r="N1666">
        <f t="shared" si="50"/>
        <v>0.14819548915091293</v>
      </c>
      <c r="O1666">
        <f t="shared" si="51"/>
        <v>8.6306071844631141E-2</v>
      </c>
    </row>
    <row r="1667" spans="1:15">
      <c r="A1667">
        <v>9239</v>
      </c>
      <c r="B1667">
        <v>92</v>
      </c>
      <c r="C1667">
        <v>4</v>
      </c>
      <c r="D1667">
        <v>18</v>
      </c>
      <c r="E1667">
        <v>3</v>
      </c>
      <c r="F1667">
        <v>3</v>
      </c>
      <c r="G1667">
        <v>6</v>
      </c>
      <c r="H1667" t="s">
        <v>11</v>
      </c>
      <c r="I1667">
        <v>61923</v>
      </c>
      <c r="J1667">
        <v>0</v>
      </c>
      <c r="K1667">
        <v>2</v>
      </c>
      <c r="L1667">
        <v>0</v>
      </c>
      <c r="M1667">
        <v>1</v>
      </c>
      <c r="N1667">
        <f t="shared" ref="N1667:N1730" si="52">STANDARDIZE(I1667,$Q$1,$R$1)</f>
        <v>0.45647722225835985</v>
      </c>
      <c r="O1667">
        <f t="shared" ref="O1667:O1730" si="53">SUMPRODUCT(J1667:N1667,$Q$4:$U$4) / SQRT(SUMSQ(J1667:N1667) * SUMSQ($Q$4:$U$4))</f>
        <v>0.41125908845350201</v>
      </c>
    </row>
    <row r="1668" spans="1:15">
      <c r="A1668">
        <v>9240</v>
      </c>
      <c r="B1668">
        <v>458</v>
      </c>
      <c r="C1668">
        <v>0</v>
      </c>
      <c r="D1668">
        <v>24</v>
      </c>
      <c r="E1668">
        <v>6</v>
      </c>
      <c r="F1668">
        <v>4</v>
      </c>
      <c r="G1668">
        <v>34</v>
      </c>
      <c r="H1668" t="s">
        <v>12</v>
      </c>
      <c r="I1668">
        <v>60504</v>
      </c>
      <c r="J1668">
        <v>0</v>
      </c>
      <c r="K1668">
        <v>1</v>
      </c>
      <c r="L1668">
        <v>1</v>
      </c>
      <c r="M1668">
        <v>0</v>
      </c>
      <c r="N1668">
        <f t="shared" si="52"/>
        <v>0.39082334573435157</v>
      </c>
      <c r="O1668">
        <f t="shared" si="53"/>
        <v>0.2205856553606538</v>
      </c>
    </row>
    <row r="1669" spans="1:15">
      <c r="A1669">
        <v>9242</v>
      </c>
      <c r="B1669">
        <v>836</v>
      </c>
      <c r="C1669">
        <v>185</v>
      </c>
      <c r="D1669">
        <v>575</v>
      </c>
      <c r="E1669">
        <v>24</v>
      </c>
      <c r="F1669">
        <v>25</v>
      </c>
      <c r="G1669">
        <v>77</v>
      </c>
      <c r="H1669" t="s">
        <v>12</v>
      </c>
      <c r="I1669">
        <v>64509</v>
      </c>
      <c r="J1669">
        <v>0</v>
      </c>
      <c r="K1669">
        <v>0</v>
      </c>
      <c r="L1669">
        <v>1</v>
      </c>
      <c r="M1669">
        <v>0</v>
      </c>
      <c r="N1669">
        <f t="shared" si="52"/>
        <v>0.57612551309069626</v>
      </c>
      <c r="O1669">
        <f t="shared" si="53"/>
        <v>0.41340030146972623</v>
      </c>
    </row>
    <row r="1670" spans="1:15">
      <c r="A1670">
        <v>9246</v>
      </c>
      <c r="B1670">
        <v>171</v>
      </c>
      <c r="C1670">
        <v>3</v>
      </c>
      <c r="D1670">
        <v>129</v>
      </c>
      <c r="E1670">
        <v>26</v>
      </c>
      <c r="F1670">
        <v>24</v>
      </c>
      <c r="G1670">
        <v>62</v>
      </c>
      <c r="H1670" t="s">
        <v>11</v>
      </c>
      <c r="I1670">
        <v>40101</v>
      </c>
      <c r="J1670">
        <v>1</v>
      </c>
      <c r="K1670">
        <v>0</v>
      </c>
      <c r="L1670">
        <v>0</v>
      </c>
      <c r="M1670">
        <v>1</v>
      </c>
      <c r="N1670">
        <f t="shared" si="52"/>
        <v>-0.55317668437089229</v>
      </c>
      <c r="O1670">
        <f t="shared" si="53"/>
        <v>6.7469357171286201E-2</v>
      </c>
    </row>
    <row r="1671" spans="1:15">
      <c r="A1671">
        <v>9256</v>
      </c>
      <c r="B1671">
        <v>493</v>
      </c>
      <c r="C1671">
        <v>26</v>
      </c>
      <c r="D1671">
        <v>206</v>
      </c>
      <c r="E1671">
        <v>116</v>
      </c>
      <c r="F1671">
        <v>80</v>
      </c>
      <c r="G1671">
        <v>80</v>
      </c>
      <c r="H1671" t="s">
        <v>12</v>
      </c>
      <c r="I1671">
        <v>58350</v>
      </c>
      <c r="J1671">
        <v>0</v>
      </c>
      <c r="K1671">
        <v>1</v>
      </c>
      <c r="L1671">
        <v>1</v>
      </c>
      <c r="M1671">
        <v>0</v>
      </c>
      <c r="N1671">
        <f t="shared" si="52"/>
        <v>0.29116270441460962</v>
      </c>
      <c r="O1671">
        <f t="shared" si="53"/>
        <v>0.16699325289079642</v>
      </c>
    </row>
    <row r="1672" spans="1:15">
      <c r="A1672">
        <v>9260</v>
      </c>
      <c r="B1672">
        <v>1349</v>
      </c>
      <c r="C1672">
        <v>16</v>
      </c>
      <c r="D1672">
        <v>249</v>
      </c>
      <c r="E1672">
        <v>43</v>
      </c>
      <c r="F1672">
        <v>16</v>
      </c>
      <c r="G1672">
        <v>33</v>
      </c>
      <c r="H1672" t="s">
        <v>11</v>
      </c>
      <c r="I1672">
        <v>70356</v>
      </c>
      <c r="J1672">
        <v>0</v>
      </c>
      <c r="K1672">
        <v>0</v>
      </c>
      <c r="L1672">
        <v>0</v>
      </c>
      <c r="M1672">
        <v>1</v>
      </c>
      <c r="N1672">
        <f t="shared" si="52"/>
        <v>0.84665279711879804</v>
      </c>
      <c r="O1672">
        <f t="shared" si="53"/>
        <v>0.9629133896534241</v>
      </c>
    </row>
    <row r="1673" spans="1:15">
      <c r="A1673">
        <v>9262</v>
      </c>
      <c r="B1673">
        <v>20</v>
      </c>
      <c r="C1673">
        <v>6</v>
      </c>
      <c r="D1673">
        <v>5</v>
      </c>
      <c r="E1673">
        <v>0</v>
      </c>
      <c r="F1673">
        <v>9</v>
      </c>
      <c r="G1673">
        <v>12</v>
      </c>
      <c r="H1673" t="s">
        <v>11</v>
      </c>
      <c r="I1673">
        <v>32414</v>
      </c>
      <c r="J1673">
        <v>0</v>
      </c>
      <c r="K1673">
        <v>0</v>
      </c>
      <c r="L1673">
        <v>0</v>
      </c>
      <c r="M1673">
        <v>1</v>
      </c>
      <c r="N1673">
        <f t="shared" si="52"/>
        <v>-0.90883654965634086</v>
      </c>
      <c r="O1673">
        <f t="shared" si="53"/>
        <v>-0.14214045842294654</v>
      </c>
    </row>
    <row r="1674" spans="1:15">
      <c r="A1674">
        <v>9264</v>
      </c>
      <c r="B1674">
        <v>423</v>
      </c>
      <c r="C1674">
        <v>42</v>
      </c>
      <c r="D1674">
        <v>706</v>
      </c>
      <c r="E1674">
        <v>73</v>
      </c>
      <c r="F1674">
        <v>197</v>
      </c>
      <c r="G1674">
        <v>197</v>
      </c>
      <c r="H1674" t="s">
        <v>11</v>
      </c>
      <c r="I1674">
        <v>79529</v>
      </c>
      <c r="J1674">
        <v>0</v>
      </c>
      <c r="K1674">
        <v>0</v>
      </c>
      <c r="L1674">
        <v>0</v>
      </c>
      <c r="M1674">
        <v>1</v>
      </c>
      <c r="N1674">
        <f t="shared" si="52"/>
        <v>1.2710664753109953</v>
      </c>
      <c r="O1674">
        <f t="shared" si="53"/>
        <v>0.99744129057857134</v>
      </c>
    </row>
    <row r="1675" spans="1:15">
      <c r="A1675">
        <v>9265</v>
      </c>
      <c r="B1675">
        <v>925</v>
      </c>
      <c r="C1675">
        <v>64</v>
      </c>
      <c r="D1675">
        <v>179</v>
      </c>
      <c r="E1675">
        <v>133</v>
      </c>
      <c r="F1675">
        <v>12</v>
      </c>
      <c r="G1675">
        <v>77</v>
      </c>
      <c r="H1675" t="s">
        <v>11</v>
      </c>
      <c r="I1675">
        <v>75027</v>
      </c>
      <c r="J1675">
        <v>0</v>
      </c>
      <c r="K1675">
        <v>1</v>
      </c>
      <c r="L1675">
        <v>0</v>
      </c>
      <c r="M1675">
        <v>1</v>
      </c>
      <c r="N1675">
        <f t="shared" si="52"/>
        <v>1.062769257473726</v>
      </c>
      <c r="O1675">
        <f t="shared" si="53"/>
        <v>0.81437231580365255</v>
      </c>
    </row>
    <row r="1676" spans="1:15">
      <c r="A1676">
        <v>9274</v>
      </c>
      <c r="B1676">
        <v>525</v>
      </c>
      <c r="C1676">
        <v>147</v>
      </c>
      <c r="D1676">
        <v>112</v>
      </c>
      <c r="E1676">
        <v>219</v>
      </c>
      <c r="F1676">
        <v>147</v>
      </c>
      <c r="G1676">
        <v>63</v>
      </c>
      <c r="H1676" t="s">
        <v>11</v>
      </c>
      <c r="I1676">
        <v>80950</v>
      </c>
      <c r="J1676">
        <v>0</v>
      </c>
      <c r="K1676">
        <v>0</v>
      </c>
      <c r="L1676">
        <v>0</v>
      </c>
      <c r="M1676">
        <v>1</v>
      </c>
      <c r="N1676">
        <f t="shared" si="52"/>
        <v>1.3368128872494138</v>
      </c>
      <c r="O1676">
        <f t="shared" si="53"/>
        <v>0.99888636812246023</v>
      </c>
    </row>
    <row r="1677" spans="1:15">
      <c r="A1677">
        <v>9283</v>
      </c>
      <c r="B1677">
        <v>8</v>
      </c>
      <c r="C1677">
        <v>1</v>
      </c>
      <c r="D1677">
        <v>7</v>
      </c>
      <c r="E1677">
        <v>2</v>
      </c>
      <c r="F1677">
        <v>0</v>
      </c>
      <c r="G1677">
        <v>0</v>
      </c>
      <c r="H1677" t="s">
        <v>12</v>
      </c>
      <c r="I1677">
        <v>60199</v>
      </c>
      <c r="J1677">
        <v>1</v>
      </c>
      <c r="K1677">
        <v>2</v>
      </c>
      <c r="L1677">
        <v>1</v>
      </c>
      <c r="M1677">
        <v>0</v>
      </c>
      <c r="N1677">
        <f t="shared" si="52"/>
        <v>0.37671169503680219</v>
      </c>
      <c r="O1677">
        <f t="shared" si="53"/>
        <v>0.12587809708585415</v>
      </c>
    </row>
    <row r="1678" spans="1:15">
      <c r="A1678">
        <v>9284</v>
      </c>
      <c r="B1678">
        <v>620</v>
      </c>
      <c r="C1678">
        <v>16</v>
      </c>
      <c r="D1678">
        <v>165</v>
      </c>
      <c r="E1678">
        <v>0</v>
      </c>
      <c r="F1678">
        <v>24</v>
      </c>
      <c r="G1678">
        <v>82</v>
      </c>
      <c r="H1678" t="s">
        <v>11</v>
      </c>
      <c r="I1678">
        <v>53977</v>
      </c>
      <c r="J1678">
        <v>0</v>
      </c>
      <c r="K1678">
        <v>1</v>
      </c>
      <c r="L1678">
        <v>0</v>
      </c>
      <c r="M1678">
        <v>1</v>
      </c>
      <c r="N1678">
        <f t="shared" si="52"/>
        <v>8.8834020806795505E-2</v>
      </c>
      <c r="O1678">
        <f t="shared" si="53"/>
        <v>0.44750657511759023</v>
      </c>
    </row>
    <row r="1679" spans="1:15">
      <c r="A1679">
        <v>9286</v>
      </c>
      <c r="B1679">
        <v>407</v>
      </c>
      <c r="C1679">
        <v>28</v>
      </c>
      <c r="D1679">
        <v>100</v>
      </c>
      <c r="E1679">
        <v>120</v>
      </c>
      <c r="F1679">
        <v>74</v>
      </c>
      <c r="G1679">
        <v>18</v>
      </c>
      <c r="H1679" t="s">
        <v>11</v>
      </c>
      <c r="I1679">
        <v>83151</v>
      </c>
      <c r="J1679">
        <v>0</v>
      </c>
      <c r="K1679">
        <v>0</v>
      </c>
      <c r="L1679">
        <v>0</v>
      </c>
      <c r="M1679">
        <v>1</v>
      </c>
      <c r="N1679">
        <f t="shared" si="52"/>
        <v>1.4386481108077944</v>
      </c>
      <c r="O1679">
        <f t="shared" si="53"/>
        <v>0.99992342448668836</v>
      </c>
    </row>
    <row r="1680" spans="1:15">
      <c r="A1680">
        <v>9289</v>
      </c>
      <c r="B1680">
        <v>29</v>
      </c>
      <c r="C1680">
        <v>1</v>
      </c>
      <c r="D1680">
        <v>17</v>
      </c>
      <c r="E1680">
        <v>0</v>
      </c>
      <c r="F1680">
        <v>3</v>
      </c>
      <c r="G1680">
        <v>13</v>
      </c>
      <c r="H1680" t="s">
        <v>11</v>
      </c>
      <c r="I1680">
        <v>36781</v>
      </c>
      <c r="J1680">
        <v>1</v>
      </c>
      <c r="K1680">
        <v>0</v>
      </c>
      <c r="L1680">
        <v>0</v>
      </c>
      <c r="M1680">
        <v>1</v>
      </c>
      <c r="N1680">
        <f t="shared" si="52"/>
        <v>-0.70678547229175726</v>
      </c>
      <c r="O1680">
        <f t="shared" si="53"/>
        <v>-1.5655053213891573E-2</v>
      </c>
    </row>
    <row r="1681" spans="1:15">
      <c r="A1681">
        <v>9291</v>
      </c>
      <c r="B1681">
        <v>8</v>
      </c>
      <c r="C1681">
        <v>2</v>
      </c>
      <c r="D1681">
        <v>4</v>
      </c>
      <c r="E1681">
        <v>0</v>
      </c>
      <c r="F1681">
        <v>0</v>
      </c>
      <c r="G1681">
        <v>1</v>
      </c>
      <c r="H1681" t="s">
        <v>11</v>
      </c>
      <c r="I1681">
        <v>34242</v>
      </c>
      <c r="J1681">
        <v>0</v>
      </c>
      <c r="K1681">
        <v>1</v>
      </c>
      <c r="L1681">
        <v>0</v>
      </c>
      <c r="M1681">
        <v>1</v>
      </c>
      <c r="N1681">
        <f t="shared" si="52"/>
        <v>-0.82425918088545502</v>
      </c>
      <c r="O1681">
        <f t="shared" si="53"/>
        <v>-7.4551695821982747E-2</v>
      </c>
    </row>
    <row r="1682" spans="1:15">
      <c r="A1682">
        <v>9292</v>
      </c>
      <c r="B1682">
        <v>324</v>
      </c>
      <c r="C1682">
        <v>132</v>
      </c>
      <c r="D1682">
        <v>693</v>
      </c>
      <c r="E1682">
        <v>27</v>
      </c>
      <c r="F1682">
        <v>118</v>
      </c>
      <c r="G1682">
        <v>88</v>
      </c>
      <c r="H1682" t="s">
        <v>11</v>
      </c>
      <c r="I1682">
        <v>81795</v>
      </c>
      <c r="J1682">
        <v>0</v>
      </c>
      <c r="K1682">
        <v>0</v>
      </c>
      <c r="L1682">
        <v>0</v>
      </c>
      <c r="M1682">
        <v>1</v>
      </c>
      <c r="N1682">
        <f t="shared" si="52"/>
        <v>1.3759090998377062</v>
      </c>
      <c r="O1682">
        <f t="shared" si="53"/>
        <v>0.99944128160650281</v>
      </c>
    </row>
    <row r="1683" spans="1:15">
      <c r="A1683">
        <v>9298</v>
      </c>
      <c r="B1683">
        <v>1252</v>
      </c>
      <c r="C1683">
        <v>0</v>
      </c>
      <c r="D1683">
        <v>465</v>
      </c>
      <c r="E1683">
        <v>46</v>
      </c>
      <c r="F1683">
        <v>35</v>
      </c>
      <c r="G1683">
        <v>0</v>
      </c>
      <c r="H1683" t="s">
        <v>11</v>
      </c>
      <c r="I1683">
        <v>81574</v>
      </c>
      <c r="J1683">
        <v>0</v>
      </c>
      <c r="K1683">
        <v>0</v>
      </c>
      <c r="L1683">
        <v>0</v>
      </c>
      <c r="M1683">
        <v>1</v>
      </c>
      <c r="N1683">
        <f t="shared" si="52"/>
        <v>1.3656839365453837</v>
      </c>
      <c r="O1683">
        <f t="shared" si="53"/>
        <v>0.99931627363424202</v>
      </c>
    </row>
    <row r="1684" spans="1:15">
      <c r="A1684">
        <v>9303</v>
      </c>
      <c r="B1684">
        <v>12</v>
      </c>
      <c r="C1684">
        <v>4</v>
      </c>
      <c r="D1684">
        <v>7</v>
      </c>
      <c r="E1684">
        <v>1</v>
      </c>
      <c r="F1684">
        <v>3</v>
      </c>
      <c r="G1684">
        <v>5</v>
      </c>
      <c r="H1684" t="s">
        <v>11</v>
      </c>
      <c r="I1684">
        <v>5305</v>
      </c>
      <c r="J1684">
        <v>0</v>
      </c>
      <c r="K1684">
        <v>1</v>
      </c>
      <c r="L1684">
        <v>0</v>
      </c>
      <c r="M1684">
        <v>1</v>
      </c>
      <c r="N1684">
        <f t="shared" si="52"/>
        <v>-2.1631078242788502</v>
      </c>
      <c r="O1684">
        <f t="shared" si="53"/>
        <v>-0.47622935802278898</v>
      </c>
    </row>
    <row r="1685" spans="1:15">
      <c r="A1685">
        <v>9305</v>
      </c>
      <c r="B1685">
        <v>311</v>
      </c>
      <c r="C1685">
        <v>26</v>
      </c>
      <c r="D1685">
        <v>640</v>
      </c>
      <c r="E1685">
        <v>180</v>
      </c>
      <c r="F1685">
        <v>37</v>
      </c>
      <c r="G1685">
        <v>121</v>
      </c>
      <c r="H1685" t="s">
        <v>12</v>
      </c>
      <c r="I1685">
        <v>79689</v>
      </c>
      <c r="J1685">
        <v>0</v>
      </c>
      <c r="K1685">
        <v>0</v>
      </c>
      <c r="L1685">
        <v>1</v>
      </c>
      <c r="M1685">
        <v>0</v>
      </c>
      <c r="N1685">
        <f t="shared" si="52"/>
        <v>1.2784693084638081</v>
      </c>
      <c r="O1685">
        <f t="shared" si="53"/>
        <v>0.65228199806508047</v>
      </c>
    </row>
    <row r="1686" spans="1:15">
      <c r="A1686">
        <v>9316</v>
      </c>
      <c r="B1686">
        <v>2</v>
      </c>
      <c r="C1686">
        <v>0</v>
      </c>
      <c r="D1686">
        <v>7</v>
      </c>
      <c r="E1686">
        <v>3</v>
      </c>
      <c r="F1686">
        <v>7</v>
      </c>
      <c r="G1686">
        <v>10</v>
      </c>
      <c r="H1686" t="s">
        <v>11</v>
      </c>
      <c r="I1686">
        <v>13084</v>
      </c>
      <c r="J1686">
        <v>0</v>
      </c>
      <c r="K1686">
        <v>0</v>
      </c>
      <c r="L1686">
        <v>0</v>
      </c>
      <c r="M1686">
        <v>1</v>
      </c>
      <c r="N1686">
        <f t="shared" si="52"/>
        <v>-1.803191329930534</v>
      </c>
      <c r="O1686">
        <f t="shared" si="53"/>
        <v>-0.45234875997841606</v>
      </c>
    </row>
    <row r="1687" spans="1:15">
      <c r="A1687">
        <v>9336</v>
      </c>
      <c r="B1687">
        <v>512</v>
      </c>
      <c r="C1687">
        <v>0</v>
      </c>
      <c r="D1687">
        <v>83</v>
      </c>
      <c r="E1687">
        <v>0</v>
      </c>
      <c r="F1687">
        <v>0</v>
      </c>
      <c r="G1687">
        <v>41</v>
      </c>
      <c r="H1687" t="s">
        <v>12</v>
      </c>
      <c r="I1687">
        <v>62187</v>
      </c>
      <c r="J1687">
        <v>0</v>
      </c>
      <c r="K1687">
        <v>1</v>
      </c>
      <c r="L1687">
        <v>1</v>
      </c>
      <c r="M1687">
        <v>0</v>
      </c>
      <c r="N1687">
        <f t="shared" si="52"/>
        <v>0.4686918969605009</v>
      </c>
      <c r="O1687">
        <f t="shared" si="53"/>
        <v>0.26051688959727104</v>
      </c>
    </row>
    <row r="1688" spans="1:15">
      <c r="A1688">
        <v>9347</v>
      </c>
      <c r="B1688">
        <v>31</v>
      </c>
      <c r="C1688">
        <v>0</v>
      </c>
      <c r="D1688">
        <v>7</v>
      </c>
      <c r="E1688">
        <v>2</v>
      </c>
      <c r="F1688">
        <v>0</v>
      </c>
      <c r="G1688">
        <v>6</v>
      </c>
      <c r="H1688" t="s">
        <v>11</v>
      </c>
      <c r="I1688">
        <v>50943</v>
      </c>
      <c r="J1688">
        <v>0</v>
      </c>
      <c r="K1688">
        <v>1</v>
      </c>
      <c r="L1688">
        <v>0</v>
      </c>
      <c r="M1688">
        <v>1</v>
      </c>
      <c r="N1688">
        <f t="shared" si="52"/>
        <v>-5.1542202853416708E-2</v>
      </c>
      <c r="O1688">
        <f t="shared" si="53"/>
        <v>0.36594569417216744</v>
      </c>
    </row>
    <row r="1689" spans="1:15">
      <c r="A1689">
        <v>9349</v>
      </c>
      <c r="B1689">
        <v>693</v>
      </c>
      <c r="C1689">
        <v>21</v>
      </c>
      <c r="D1689">
        <v>118</v>
      </c>
      <c r="E1689">
        <v>110</v>
      </c>
      <c r="F1689">
        <v>147</v>
      </c>
      <c r="G1689">
        <v>42</v>
      </c>
      <c r="H1689" t="s">
        <v>11</v>
      </c>
      <c r="I1689">
        <v>92533</v>
      </c>
      <c r="J1689">
        <v>0</v>
      </c>
      <c r="K1689">
        <v>0</v>
      </c>
      <c r="L1689">
        <v>0</v>
      </c>
      <c r="M1689">
        <v>1</v>
      </c>
      <c r="N1689">
        <f t="shared" si="52"/>
        <v>1.8727317398058534</v>
      </c>
      <c r="O1689">
        <f t="shared" si="53"/>
        <v>0.99453522364185298</v>
      </c>
    </row>
    <row r="1690" spans="1:15">
      <c r="A1690">
        <v>9353</v>
      </c>
      <c r="B1690">
        <v>515</v>
      </c>
      <c r="C1690">
        <v>47</v>
      </c>
      <c r="D1690">
        <v>267</v>
      </c>
      <c r="E1690">
        <v>62</v>
      </c>
      <c r="F1690">
        <v>66</v>
      </c>
      <c r="G1690">
        <v>38</v>
      </c>
      <c r="H1690" t="s">
        <v>12</v>
      </c>
      <c r="I1690">
        <v>62450</v>
      </c>
      <c r="J1690">
        <v>0</v>
      </c>
      <c r="K1690">
        <v>1</v>
      </c>
      <c r="L1690">
        <v>1</v>
      </c>
      <c r="M1690">
        <v>0</v>
      </c>
      <c r="N1690">
        <f t="shared" si="52"/>
        <v>0.48086030395543689</v>
      </c>
      <c r="O1690">
        <f t="shared" si="53"/>
        <v>0.26658759349904593</v>
      </c>
    </row>
    <row r="1691" spans="1:15">
      <c r="A1691">
        <v>9360</v>
      </c>
      <c r="B1691">
        <v>86</v>
      </c>
      <c r="C1691">
        <v>2</v>
      </c>
      <c r="D1691">
        <v>73</v>
      </c>
      <c r="E1691">
        <v>69</v>
      </c>
      <c r="F1691">
        <v>38</v>
      </c>
      <c r="G1691">
        <v>48</v>
      </c>
      <c r="H1691" t="s">
        <v>11</v>
      </c>
      <c r="I1691">
        <v>37040</v>
      </c>
      <c r="J1691">
        <v>0</v>
      </c>
      <c r="K1691">
        <v>0</v>
      </c>
      <c r="L1691">
        <v>0</v>
      </c>
      <c r="M1691">
        <v>1</v>
      </c>
      <c r="N1691">
        <f t="shared" si="52"/>
        <v>-0.69480213612564157</v>
      </c>
      <c r="O1691">
        <f t="shared" si="53"/>
        <v>-1.2176356347427825E-2</v>
      </c>
    </row>
    <row r="1692" spans="1:15">
      <c r="A1692">
        <v>9362</v>
      </c>
      <c r="B1692">
        <v>492</v>
      </c>
      <c r="C1692">
        <v>5</v>
      </c>
      <c r="D1692">
        <v>32</v>
      </c>
      <c r="E1692">
        <v>13</v>
      </c>
      <c r="F1692">
        <v>5</v>
      </c>
      <c r="G1692">
        <v>21</v>
      </c>
      <c r="H1692" t="s">
        <v>12</v>
      </c>
      <c r="I1692">
        <v>69263</v>
      </c>
      <c r="J1692">
        <v>0</v>
      </c>
      <c r="K1692">
        <v>1</v>
      </c>
      <c r="L1692">
        <v>1</v>
      </c>
      <c r="M1692">
        <v>0</v>
      </c>
      <c r="N1692">
        <f t="shared" si="52"/>
        <v>0.79608219314364581</v>
      </c>
      <c r="O1692">
        <f t="shared" si="53"/>
        <v>0.40622228484643952</v>
      </c>
    </row>
    <row r="1693" spans="1:15">
      <c r="A1693">
        <v>9365</v>
      </c>
      <c r="B1693">
        <v>1048</v>
      </c>
      <c r="C1693">
        <v>0</v>
      </c>
      <c r="D1693">
        <v>217</v>
      </c>
      <c r="E1693">
        <v>0</v>
      </c>
      <c r="F1693">
        <v>0</v>
      </c>
      <c r="G1693">
        <v>12</v>
      </c>
      <c r="H1693" t="s">
        <v>12</v>
      </c>
      <c r="I1693">
        <v>60000</v>
      </c>
      <c r="J1693">
        <v>0</v>
      </c>
      <c r="K1693">
        <v>1</v>
      </c>
      <c r="L1693">
        <v>1</v>
      </c>
      <c r="M1693">
        <v>0</v>
      </c>
      <c r="N1693">
        <f t="shared" si="52"/>
        <v>0.36750442130299132</v>
      </c>
      <c r="O1693">
        <f t="shared" si="53"/>
        <v>0.2082813707658922</v>
      </c>
    </row>
    <row r="1694" spans="1:15">
      <c r="A1694">
        <v>9369</v>
      </c>
      <c r="B1694">
        <v>688</v>
      </c>
      <c r="C1694">
        <v>14</v>
      </c>
      <c r="D1694">
        <v>309</v>
      </c>
      <c r="E1694">
        <v>201</v>
      </c>
      <c r="F1694">
        <v>24</v>
      </c>
      <c r="G1694">
        <v>38</v>
      </c>
      <c r="H1694" t="s">
        <v>12</v>
      </c>
      <c r="I1694">
        <v>88194</v>
      </c>
      <c r="J1694">
        <v>0</v>
      </c>
      <c r="K1694">
        <v>1</v>
      </c>
      <c r="L1694">
        <v>1</v>
      </c>
      <c r="M1694">
        <v>0</v>
      </c>
      <c r="N1694">
        <f t="shared" si="52"/>
        <v>1.6719761582430122</v>
      </c>
      <c r="O1694">
        <f t="shared" si="53"/>
        <v>0.63227467825612449</v>
      </c>
    </row>
    <row r="1695" spans="1:15">
      <c r="A1695">
        <v>9370</v>
      </c>
      <c r="B1695">
        <v>562</v>
      </c>
      <c r="C1695">
        <v>81</v>
      </c>
      <c r="D1695">
        <v>276</v>
      </c>
      <c r="E1695">
        <v>80</v>
      </c>
      <c r="F1695">
        <v>40</v>
      </c>
      <c r="G1695">
        <v>81</v>
      </c>
      <c r="H1695" t="s">
        <v>11</v>
      </c>
      <c r="I1695">
        <v>65846</v>
      </c>
      <c r="J1695">
        <v>0</v>
      </c>
      <c r="K1695">
        <v>0</v>
      </c>
      <c r="L1695">
        <v>0</v>
      </c>
      <c r="M1695">
        <v>1</v>
      </c>
      <c r="N1695">
        <f t="shared" si="52"/>
        <v>0.63798543762388804</v>
      </c>
      <c r="O1695">
        <f t="shared" si="53"/>
        <v>0.91797121711163099</v>
      </c>
    </row>
    <row r="1696" spans="1:15">
      <c r="A1696">
        <v>9381</v>
      </c>
      <c r="B1696">
        <v>328</v>
      </c>
      <c r="C1696">
        <v>9</v>
      </c>
      <c r="D1696">
        <v>124</v>
      </c>
      <c r="E1696">
        <v>12</v>
      </c>
      <c r="F1696">
        <v>24</v>
      </c>
      <c r="G1696">
        <v>109</v>
      </c>
      <c r="H1696" t="s">
        <v>11</v>
      </c>
      <c r="I1696">
        <v>66373</v>
      </c>
      <c r="J1696">
        <v>1</v>
      </c>
      <c r="K1696">
        <v>1</v>
      </c>
      <c r="L1696">
        <v>0</v>
      </c>
      <c r="M1696">
        <v>1</v>
      </c>
      <c r="N1696">
        <f t="shared" si="52"/>
        <v>0.66236851932096508</v>
      </c>
      <c r="O1696">
        <f t="shared" si="53"/>
        <v>0.59808185325109831</v>
      </c>
    </row>
    <row r="1697" spans="1:15">
      <c r="A1697">
        <v>9386</v>
      </c>
      <c r="B1697">
        <v>274</v>
      </c>
      <c r="C1697">
        <v>0</v>
      </c>
      <c r="D1697">
        <v>21</v>
      </c>
      <c r="E1697">
        <v>4</v>
      </c>
      <c r="F1697">
        <v>6</v>
      </c>
      <c r="G1697">
        <v>15</v>
      </c>
      <c r="H1697" t="s">
        <v>11</v>
      </c>
      <c r="I1697">
        <v>50127</v>
      </c>
      <c r="J1697">
        <v>0</v>
      </c>
      <c r="K1697">
        <v>1</v>
      </c>
      <c r="L1697">
        <v>0</v>
      </c>
      <c r="M1697">
        <v>1</v>
      </c>
      <c r="N1697">
        <f t="shared" si="52"/>
        <v>-8.9296651932761845E-2</v>
      </c>
      <c r="O1697">
        <f t="shared" si="53"/>
        <v>0.34339696106638296</v>
      </c>
    </row>
    <row r="1698" spans="1:15">
      <c r="A1698">
        <v>9392</v>
      </c>
      <c r="B1698">
        <v>4</v>
      </c>
      <c r="C1698">
        <v>1</v>
      </c>
      <c r="D1698">
        <v>11</v>
      </c>
      <c r="E1698">
        <v>0</v>
      </c>
      <c r="F1698">
        <v>0</v>
      </c>
      <c r="G1698">
        <v>1</v>
      </c>
      <c r="H1698" t="s">
        <v>12</v>
      </c>
      <c r="I1698">
        <v>26954</v>
      </c>
      <c r="J1698">
        <v>1</v>
      </c>
      <c r="K1698">
        <v>0</v>
      </c>
      <c r="L1698">
        <v>1</v>
      </c>
      <c r="M1698">
        <v>0</v>
      </c>
      <c r="N1698">
        <f t="shared" si="52"/>
        <v>-1.1614582309960768</v>
      </c>
      <c r="O1698">
        <f t="shared" si="53"/>
        <v>-0.5255812102956896</v>
      </c>
    </row>
    <row r="1699" spans="1:15">
      <c r="A1699">
        <v>9400</v>
      </c>
      <c r="B1699">
        <v>630</v>
      </c>
      <c r="C1699">
        <v>26</v>
      </c>
      <c r="D1699">
        <v>611</v>
      </c>
      <c r="E1699">
        <v>44</v>
      </c>
      <c r="F1699">
        <v>18</v>
      </c>
      <c r="G1699">
        <v>54</v>
      </c>
      <c r="H1699" t="s">
        <v>12</v>
      </c>
      <c r="I1699">
        <v>85485</v>
      </c>
      <c r="J1699">
        <v>0</v>
      </c>
      <c r="K1699">
        <v>0</v>
      </c>
      <c r="L1699">
        <v>1</v>
      </c>
      <c r="M1699">
        <v>0</v>
      </c>
      <c r="N1699">
        <f t="shared" si="52"/>
        <v>1.5466369394244508</v>
      </c>
      <c r="O1699">
        <f t="shared" si="53"/>
        <v>0.69542101869695794</v>
      </c>
    </row>
    <row r="1700" spans="1:15">
      <c r="A1700">
        <v>9405</v>
      </c>
      <c r="B1700">
        <v>84</v>
      </c>
      <c r="C1700">
        <v>3</v>
      </c>
      <c r="D1700">
        <v>61</v>
      </c>
      <c r="E1700">
        <v>2</v>
      </c>
      <c r="F1700">
        <v>1</v>
      </c>
      <c r="G1700">
        <v>21</v>
      </c>
      <c r="H1700" t="s">
        <v>11</v>
      </c>
      <c r="I1700">
        <v>52869</v>
      </c>
      <c r="J1700">
        <v>1</v>
      </c>
      <c r="K1700">
        <v>1</v>
      </c>
      <c r="L1700">
        <v>0</v>
      </c>
      <c r="M1700">
        <v>1</v>
      </c>
      <c r="N1700">
        <f t="shared" si="52"/>
        <v>3.7569401223567049E-2</v>
      </c>
      <c r="O1700">
        <f t="shared" si="53"/>
        <v>0.34151703586218385</v>
      </c>
    </row>
    <row r="1701" spans="1:15">
      <c r="A1701">
        <v>9422</v>
      </c>
      <c r="B1701">
        <v>36</v>
      </c>
      <c r="C1701">
        <v>2</v>
      </c>
      <c r="D1701">
        <v>42</v>
      </c>
      <c r="E1701">
        <v>20</v>
      </c>
      <c r="F1701">
        <v>21</v>
      </c>
      <c r="G1701">
        <v>10</v>
      </c>
      <c r="H1701" t="s">
        <v>11</v>
      </c>
      <c r="I1701">
        <v>38360</v>
      </c>
      <c r="J1701">
        <v>1</v>
      </c>
      <c r="K1701">
        <v>0</v>
      </c>
      <c r="L1701">
        <v>0</v>
      </c>
      <c r="M1701">
        <v>1</v>
      </c>
      <c r="N1701">
        <f t="shared" si="52"/>
        <v>-0.63372876261493627</v>
      </c>
      <c r="O1701">
        <f t="shared" si="53"/>
        <v>2.3068198393194725E-2</v>
      </c>
    </row>
    <row r="1702" spans="1:15">
      <c r="A1702">
        <v>9423</v>
      </c>
      <c r="B1702">
        <v>13</v>
      </c>
      <c r="C1702">
        <v>3</v>
      </c>
      <c r="D1702">
        <v>17</v>
      </c>
      <c r="E1702">
        <v>7</v>
      </c>
      <c r="F1702">
        <v>3</v>
      </c>
      <c r="G1702">
        <v>3</v>
      </c>
      <c r="H1702" t="s">
        <v>11</v>
      </c>
      <c r="I1702">
        <v>32765</v>
      </c>
      <c r="J1702">
        <v>1</v>
      </c>
      <c r="K1702">
        <v>0</v>
      </c>
      <c r="L1702">
        <v>0</v>
      </c>
      <c r="M1702">
        <v>1</v>
      </c>
      <c r="N1702">
        <f t="shared" si="52"/>
        <v>-0.8925965844273579</v>
      </c>
      <c r="O1702">
        <f t="shared" si="53"/>
        <v>-0.10681085743580607</v>
      </c>
    </row>
    <row r="1703" spans="1:15">
      <c r="A1703">
        <v>9426</v>
      </c>
      <c r="B1703">
        <v>691</v>
      </c>
      <c r="C1703">
        <v>0</v>
      </c>
      <c r="D1703">
        <v>69</v>
      </c>
      <c r="E1703">
        <v>10</v>
      </c>
      <c r="F1703">
        <v>0</v>
      </c>
      <c r="G1703">
        <v>130</v>
      </c>
      <c r="H1703" t="s">
        <v>12</v>
      </c>
      <c r="I1703">
        <v>58308</v>
      </c>
      <c r="J1703">
        <v>0</v>
      </c>
      <c r="K1703">
        <v>1</v>
      </c>
      <c r="L1703">
        <v>1</v>
      </c>
      <c r="M1703">
        <v>0</v>
      </c>
      <c r="N1703">
        <f t="shared" si="52"/>
        <v>0.28921946071199622</v>
      </c>
      <c r="O1703">
        <f t="shared" si="53"/>
        <v>0.1659236130930824</v>
      </c>
    </row>
    <row r="1704" spans="1:15">
      <c r="A1704">
        <v>9449</v>
      </c>
      <c r="B1704">
        <v>415</v>
      </c>
      <c r="C1704">
        <v>5</v>
      </c>
      <c r="D1704">
        <v>124</v>
      </c>
      <c r="E1704">
        <v>15</v>
      </c>
      <c r="F1704">
        <v>35</v>
      </c>
      <c r="G1704">
        <v>11</v>
      </c>
      <c r="H1704" t="s">
        <v>12</v>
      </c>
      <c r="I1704">
        <v>79761</v>
      </c>
      <c r="J1704">
        <v>0</v>
      </c>
      <c r="K1704">
        <v>1</v>
      </c>
      <c r="L1704">
        <v>1</v>
      </c>
      <c r="M1704">
        <v>0</v>
      </c>
      <c r="N1704">
        <f t="shared" si="52"/>
        <v>1.2818005833825739</v>
      </c>
      <c r="O1704">
        <f t="shared" si="53"/>
        <v>0.55613851172472861</v>
      </c>
    </row>
    <row r="1705" spans="1:15">
      <c r="A1705">
        <v>9451</v>
      </c>
      <c r="B1705">
        <v>811</v>
      </c>
      <c r="C1705">
        <v>76</v>
      </c>
      <c r="D1705">
        <v>428</v>
      </c>
      <c r="E1705">
        <v>99</v>
      </c>
      <c r="F1705">
        <v>137</v>
      </c>
      <c r="G1705">
        <v>107</v>
      </c>
      <c r="H1705" t="s">
        <v>11</v>
      </c>
      <c r="I1705">
        <v>73538</v>
      </c>
      <c r="J1705">
        <v>0</v>
      </c>
      <c r="K1705">
        <v>1</v>
      </c>
      <c r="L1705">
        <v>0</v>
      </c>
      <c r="M1705">
        <v>1</v>
      </c>
      <c r="N1705">
        <f t="shared" si="52"/>
        <v>0.99387664144536203</v>
      </c>
      <c r="O1705">
        <f t="shared" si="53"/>
        <v>0.80045252578048642</v>
      </c>
    </row>
    <row r="1706" spans="1:15">
      <c r="A1706">
        <v>9463</v>
      </c>
      <c r="B1706">
        <v>931</v>
      </c>
      <c r="C1706">
        <v>56</v>
      </c>
      <c r="D1706">
        <v>253</v>
      </c>
      <c r="E1706">
        <v>91</v>
      </c>
      <c r="F1706">
        <v>98</v>
      </c>
      <c r="G1706">
        <v>14</v>
      </c>
      <c r="H1706" t="s">
        <v>11</v>
      </c>
      <c r="I1706">
        <v>71706</v>
      </c>
      <c r="J1706">
        <v>0</v>
      </c>
      <c r="K1706">
        <v>1</v>
      </c>
      <c r="L1706">
        <v>0</v>
      </c>
      <c r="M1706">
        <v>1</v>
      </c>
      <c r="N1706">
        <f t="shared" si="52"/>
        <v>0.90911420184565583</v>
      </c>
      <c r="O1706">
        <f t="shared" si="53"/>
        <v>0.78122421318313229</v>
      </c>
    </row>
    <row r="1707" spans="1:15">
      <c r="A1707">
        <v>9467</v>
      </c>
      <c r="B1707">
        <v>3</v>
      </c>
      <c r="C1707">
        <v>2</v>
      </c>
      <c r="D1707">
        <v>10</v>
      </c>
      <c r="E1707">
        <v>3</v>
      </c>
      <c r="F1707">
        <v>0</v>
      </c>
      <c r="G1707">
        <v>2</v>
      </c>
      <c r="H1707" t="s">
        <v>12</v>
      </c>
      <c r="I1707">
        <v>34738</v>
      </c>
      <c r="J1707">
        <v>1</v>
      </c>
      <c r="K1707">
        <v>0</v>
      </c>
      <c r="L1707">
        <v>1</v>
      </c>
      <c r="M1707">
        <v>0</v>
      </c>
      <c r="N1707">
        <f t="shared" si="52"/>
        <v>-0.80131039811173543</v>
      </c>
      <c r="O1707">
        <f t="shared" si="53"/>
        <v>-0.40824336799953226</v>
      </c>
    </row>
    <row r="1708" spans="1:15">
      <c r="A1708">
        <v>9478</v>
      </c>
      <c r="B1708">
        <v>91</v>
      </c>
      <c r="C1708">
        <v>64</v>
      </c>
      <c r="D1708">
        <v>128</v>
      </c>
      <c r="E1708">
        <v>65</v>
      </c>
      <c r="F1708">
        <v>3</v>
      </c>
      <c r="G1708">
        <v>50</v>
      </c>
      <c r="H1708" t="s">
        <v>12</v>
      </c>
      <c r="I1708">
        <v>66503</v>
      </c>
      <c r="J1708">
        <v>1</v>
      </c>
      <c r="K1708">
        <v>0</v>
      </c>
      <c r="L1708">
        <v>1</v>
      </c>
      <c r="M1708">
        <v>0</v>
      </c>
      <c r="N1708">
        <f t="shared" si="52"/>
        <v>0.66838332125762545</v>
      </c>
      <c r="O1708">
        <f t="shared" si="53"/>
        <v>0.35385462370114834</v>
      </c>
    </row>
    <row r="1709" spans="1:15">
      <c r="A1709">
        <v>9481</v>
      </c>
      <c r="B1709">
        <v>9</v>
      </c>
      <c r="C1709">
        <v>9</v>
      </c>
      <c r="D1709">
        <v>11</v>
      </c>
      <c r="E1709">
        <v>13</v>
      </c>
      <c r="F1709">
        <v>10</v>
      </c>
      <c r="G1709">
        <v>16</v>
      </c>
      <c r="H1709" t="s">
        <v>11</v>
      </c>
      <c r="I1709">
        <v>17148</v>
      </c>
      <c r="J1709">
        <v>1</v>
      </c>
      <c r="K1709">
        <v>0</v>
      </c>
      <c r="L1709">
        <v>0</v>
      </c>
      <c r="M1709">
        <v>1</v>
      </c>
      <c r="N1709">
        <f t="shared" si="52"/>
        <v>-1.6151593678490896</v>
      </c>
      <c r="O1709">
        <f t="shared" si="53"/>
        <v>-0.36193092139538918</v>
      </c>
    </row>
    <row r="1710" spans="1:15">
      <c r="A1710">
        <v>9483</v>
      </c>
      <c r="B1710">
        <v>290</v>
      </c>
      <c r="C1710">
        <v>59</v>
      </c>
      <c r="D1710">
        <v>177</v>
      </c>
      <c r="E1710">
        <v>77</v>
      </c>
      <c r="F1710">
        <v>5</v>
      </c>
      <c r="G1710">
        <v>29</v>
      </c>
      <c r="H1710" t="s">
        <v>11</v>
      </c>
      <c r="I1710">
        <v>57957</v>
      </c>
      <c r="J1710">
        <v>0</v>
      </c>
      <c r="K1710">
        <v>1</v>
      </c>
      <c r="L1710">
        <v>0</v>
      </c>
      <c r="M1710">
        <v>1</v>
      </c>
      <c r="N1710">
        <f t="shared" si="52"/>
        <v>0.27297949548301326</v>
      </c>
      <c r="O1710">
        <f t="shared" si="53"/>
        <v>0.5461372124503181</v>
      </c>
    </row>
    <row r="1711" spans="1:15">
      <c r="A1711">
        <v>9485</v>
      </c>
      <c r="B1711">
        <v>102</v>
      </c>
      <c r="C1711">
        <v>9</v>
      </c>
      <c r="D1711">
        <v>49</v>
      </c>
      <c r="E1711">
        <v>24</v>
      </c>
      <c r="F1711">
        <v>3</v>
      </c>
      <c r="G1711">
        <v>12</v>
      </c>
      <c r="H1711" t="s">
        <v>11</v>
      </c>
      <c r="I1711">
        <v>45921</v>
      </c>
      <c r="J1711">
        <v>0</v>
      </c>
      <c r="K1711">
        <v>0</v>
      </c>
      <c r="L1711">
        <v>0</v>
      </c>
      <c r="M1711">
        <v>1</v>
      </c>
      <c r="N1711">
        <f t="shared" si="52"/>
        <v>-0.2838986284373276</v>
      </c>
      <c r="O1711">
        <f t="shared" si="53"/>
        <v>0.31307782465498118</v>
      </c>
    </row>
    <row r="1712" spans="1:15">
      <c r="A1712">
        <v>9491</v>
      </c>
      <c r="B1712">
        <v>14</v>
      </c>
      <c r="C1712">
        <v>1</v>
      </c>
      <c r="D1712">
        <v>21</v>
      </c>
      <c r="E1712">
        <v>2</v>
      </c>
      <c r="F1712">
        <v>3</v>
      </c>
      <c r="G1712">
        <v>25</v>
      </c>
      <c r="H1712" t="s">
        <v>11</v>
      </c>
      <c r="I1712">
        <v>23976</v>
      </c>
      <c r="J1712">
        <v>1</v>
      </c>
      <c r="K1712">
        <v>0</v>
      </c>
      <c r="L1712">
        <v>0</v>
      </c>
      <c r="M1712">
        <v>1</v>
      </c>
      <c r="N1712">
        <f t="shared" si="52"/>
        <v>-1.2992434630528045</v>
      </c>
      <c r="O1712">
        <f t="shared" si="53"/>
        <v>-0.26836575185497363</v>
      </c>
    </row>
    <row r="1713" spans="1:15">
      <c r="A1713">
        <v>9493</v>
      </c>
      <c r="B1713">
        <v>840</v>
      </c>
      <c r="C1713">
        <v>53</v>
      </c>
      <c r="D1713">
        <v>804</v>
      </c>
      <c r="E1713">
        <v>23</v>
      </c>
      <c r="F1713">
        <v>71</v>
      </c>
      <c r="G1713">
        <v>17</v>
      </c>
      <c r="H1713" t="s">
        <v>12</v>
      </c>
      <c r="I1713">
        <v>76412</v>
      </c>
      <c r="J1713">
        <v>0</v>
      </c>
      <c r="K1713">
        <v>0</v>
      </c>
      <c r="L1713">
        <v>1</v>
      </c>
      <c r="M1713">
        <v>0</v>
      </c>
      <c r="N1713">
        <f t="shared" si="52"/>
        <v>1.1268500319527615</v>
      </c>
      <c r="O1713">
        <f t="shared" si="53"/>
        <v>0.61939263531541389</v>
      </c>
    </row>
    <row r="1714" spans="1:15">
      <c r="A1714">
        <v>9499</v>
      </c>
      <c r="B1714">
        <v>1279</v>
      </c>
      <c r="C1714">
        <v>15</v>
      </c>
      <c r="D1714">
        <v>287</v>
      </c>
      <c r="E1714">
        <v>20</v>
      </c>
      <c r="F1714">
        <v>0</v>
      </c>
      <c r="G1714">
        <v>15</v>
      </c>
      <c r="H1714" t="s">
        <v>11</v>
      </c>
      <c r="I1714">
        <v>93404</v>
      </c>
      <c r="J1714">
        <v>1</v>
      </c>
      <c r="K1714">
        <v>2</v>
      </c>
      <c r="L1714">
        <v>0</v>
      </c>
      <c r="M1714">
        <v>1</v>
      </c>
      <c r="N1714">
        <f t="shared" si="52"/>
        <v>1.913030912781478</v>
      </c>
      <c r="O1714">
        <f t="shared" si="53"/>
        <v>0.69007949909192479</v>
      </c>
    </row>
    <row r="1715" spans="1:15">
      <c r="A1715">
        <v>9500</v>
      </c>
      <c r="B1715">
        <v>221</v>
      </c>
      <c r="C1715">
        <v>104</v>
      </c>
      <c r="D1715">
        <v>169</v>
      </c>
      <c r="E1715">
        <v>102</v>
      </c>
      <c r="F1715">
        <v>78</v>
      </c>
      <c r="G1715">
        <v>84</v>
      </c>
      <c r="H1715" t="s">
        <v>11</v>
      </c>
      <c r="I1715">
        <v>58113</v>
      </c>
      <c r="J1715">
        <v>0</v>
      </c>
      <c r="K1715">
        <v>1</v>
      </c>
      <c r="L1715">
        <v>0</v>
      </c>
      <c r="M1715">
        <v>1</v>
      </c>
      <c r="N1715">
        <f t="shared" si="52"/>
        <v>0.28019725780700566</v>
      </c>
      <c r="O1715">
        <f t="shared" si="53"/>
        <v>0.54975831602362535</v>
      </c>
    </row>
    <row r="1716" spans="1:15">
      <c r="A1716">
        <v>9503</v>
      </c>
      <c r="B1716">
        <v>39</v>
      </c>
      <c r="C1716">
        <v>33</v>
      </c>
      <c r="D1716">
        <v>130</v>
      </c>
      <c r="E1716">
        <v>41</v>
      </c>
      <c r="F1716">
        <v>26</v>
      </c>
      <c r="G1716">
        <v>44</v>
      </c>
      <c r="H1716" t="s">
        <v>12</v>
      </c>
      <c r="I1716">
        <v>28071</v>
      </c>
      <c r="J1716">
        <v>0</v>
      </c>
      <c r="K1716">
        <v>0</v>
      </c>
      <c r="L1716">
        <v>1</v>
      </c>
      <c r="M1716">
        <v>0</v>
      </c>
      <c r="N1716">
        <f t="shared" si="52"/>
        <v>-1.1097772020480026</v>
      </c>
      <c r="O1716">
        <f t="shared" si="53"/>
        <v>-0.61520512337217315</v>
      </c>
    </row>
    <row r="1717" spans="1:15">
      <c r="A1717">
        <v>9504</v>
      </c>
      <c r="B1717">
        <v>179</v>
      </c>
      <c r="C1717">
        <v>28</v>
      </c>
      <c r="D1717">
        <v>520</v>
      </c>
      <c r="E1717">
        <v>111</v>
      </c>
      <c r="F1717">
        <v>123</v>
      </c>
      <c r="G1717">
        <v>47</v>
      </c>
      <c r="H1717" t="s">
        <v>11</v>
      </c>
      <c r="I1717">
        <v>81698</v>
      </c>
      <c r="J1717">
        <v>0</v>
      </c>
      <c r="K1717">
        <v>0</v>
      </c>
      <c r="L1717">
        <v>0</v>
      </c>
      <c r="M1717">
        <v>1</v>
      </c>
      <c r="N1717">
        <f t="shared" si="52"/>
        <v>1.3714211322388135</v>
      </c>
      <c r="O1717">
        <f t="shared" si="53"/>
        <v>0.99938811495986357</v>
      </c>
    </row>
    <row r="1718" spans="1:15">
      <c r="A1718">
        <v>9507</v>
      </c>
      <c r="B1718">
        <v>261</v>
      </c>
      <c r="C1718">
        <v>23</v>
      </c>
      <c r="D1718">
        <v>73</v>
      </c>
      <c r="E1718">
        <v>4</v>
      </c>
      <c r="F1718">
        <v>23</v>
      </c>
      <c r="G1718">
        <v>50</v>
      </c>
      <c r="H1718" t="s">
        <v>11</v>
      </c>
      <c r="I1718">
        <v>40794</v>
      </c>
      <c r="J1718">
        <v>0</v>
      </c>
      <c r="K1718">
        <v>1</v>
      </c>
      <c r="L1718">
        <v>0</v>
      </c>
      <c r="M1718">
        <v>1</v>
      </c>
      <c r="N1718">
        <f t="shared" si="52"/>
        <v>-0.52111316327777191</v>
      </c>
      <c r="O1718">
        <f t="shared" si="53"/>
        <v>8.5596389061964484E-2</v>
      </c>
    </row>
    <row r="1719" spans="1:15">
      <c r="A1719">
        <v>9516</v>
      </c>
      <c r="B1719">
        <v>620</v>
      </c>
      <c r="C1719">
        <v>54</v>
      </c>
      <c r="D1719">
        <v>239</v>
      </c>
      <c r="E1719">
        <v>99</v>
      </c>
      <c r="F1719">
        <v>98</v>
      </c>
      <c r="G1719">
        <v>119</v>
      </c>
      <c r="H1719" t="s">
        <v>12</v>
      </c>
      <c r="I1719">
        <v>49118</v>
      </c>
      <c r="J1719">
        <v>0</v>
      </c>
      <c r="K1719">
        <v>0</v>
      </c>
      <c r="L1719">
        <v>1</v>
      </c>
      <c r="M1719">
        <v>0</v>
      </c>
      <c r="N1719">
        <f t="shared" si="52"/>
        <v>-0.13598076850268739</v>
      </c>
      <c r="O1719">
        <f t="shared" si="53"/>
        <v>-0.11158139656520293</v>
      </c>
    </row>
    <row r="1720" spans="1:15">
      <c r="A1720">
        <v>9523</v>
      </c>
      <c r="B1720">
        <v>5</v>
      </c>
      <c r="C1720">
        <v>0</v>
      </c>
      <c r="D1720">
        <v>8</v>
      </c>
      <c r="E1720">
        <v>2</v>
      </c>
      <c r="F1720">
        <v>0</v>
      </c>
      <c r="G1720">
        <v>0</v>
      </c>
      <c r="H1720" t="s">
        <v>11</v>
      </c>
      <c r="I1720">
        <v>40479</v>
      </c>
      <c r="J1720">
        <v>1</v>
      </c>
      <c r="K1720">
        <v>0</v>
      </c>
      <c r="L1720">
        <v>0</v>
      </c>
      <c r="M1720">
        <v>1</v>
      </c>
      <c r="N1720">
        <f t="shared" si="52"/>
        <v>-0.53568749104737201</v>
      </c>
      <c r="O1720">
        <f t="shared" si="53"/>
        <v>7.7326763771718751E-2</v>
      </c>
    </row>
    <row r="1721" spans="1:15">
      <c r="A1721">
        <v>9529</v>
      </c>
      <c r="B1721">
        <v>559</v>
      </c>
      <c r="C1721">
        <v>153</v>
      </c>
      <c r="D1721">
        <v>503</v>
      </c>
      <c r="E1721">
        <v>218</v>
      </c>
      <c r="F1721">
        <v>13</v>
      </c>
      <c r="G1721">
        <v>181</v>
      </c>
      <c r="H1721" t="s">
        <v>11</v>
      </c>
      <c r="I1721">
        <v>73687</v>
      </c>
      <c r="J1721">
        <v>0</v>
      </c>
      <c r="K1721">
        <v>0</v>
      </c>
      <c r="L1721">
        <v>0</v>
      </c>
      <c r="M1721">
        <v>1</v>
      </c>
      <c r="N1721">
        <f t="shared" si="52"/>
        <v>1.0007705298189189</v>
      </c>
      <c r="O1721">
        <f t="shared" si="53"/>
        <v>0.98201164436786159</v>
      </c>
    </row>
    <row r="1722" spans="1:15">
      <c r="A1722">
        <v>9530</v>
      </c>
      <c r="B1722">
        <v>5</v>
      </c>
      <c r="C1722">
        <v>3</v>
      </c>
      <c r="D1722">
        <v>4</v>
      </c>
      <c r="E1722">
        <v>4</v>
      </c>
      <c r="F1722">
        <v>1</v>
      </c>
      <c r="G1722">
        <v>0</v>
      </c>
      <c r="H1722" t="s">
        <v>11</v>
      </c>
      <c r="I1722">
        <v>24645</v>
      </c>
      <c r="J1722">
        <v>1</v>
      </c>
      <c r="K1722">
        <v>0</v>
      </c>
      <c r="L1722">
        <v>0</v>
      </c>
      <c r="M1722">
        <v>1</v>
      </c>
      <c r="N1722">
        <f t="shared" si="52"/>
        <v>-1.2682903669326062</v>
      </c>
      <c r="O1722">
        <f t="shared" si="53"/>
        <v>-0.25781116804698156</v>
      </c>
    </row>
    <row r="1723" spans="1:15">
      <c r="A1723">
        <v>9553</v>
      </c>
      <c r="B1723">
        <v>0</v>
      </c>
      <c r="C1723">
        <v>2</v>
      </c>
      <c r="D1723">
        <v>3</v>
      </c>
      <c r="E1723">
        <v>4</v>
      </c>
      <c r="F1723">
        <v>1</v>
      </c>
      <c r="G1723">
        <v>5</v>
      </c>
      <c r="H1723" t="s">
        <v>11</v>
      </c>
      <c r="I1723">
        <v>7500</v>
      </c>
      <c r="J1723">
        <v>0</v>
      </c>
      <c r="K1723">
        <v>0</v>
      </c>
      <c r="L1723">
        <v>0</v>
      </c>
      <c r="M1723">
        <v>1</v>
      </c>
      <c r="N1723">
        <f t="shared" si="52"/>
        <v>-2.0615502069636999</v>
      </c>
      <c r="O1723">
        <f t="shared" si="53"/>
        <v>-0.50044276043335534</v>
      </c>
    </row>
    <row r="1724" spans="1:15">
      <c r="A1724">
        <v>9559</v>
      </c>
      <c r="B1724">
        <v>944</v>
      </c>
      <c r="C1724">
        <v>0</v>
      </c>
      <c r="D1724">
        <v>60</v>
      </c>
      <c r="E1724">
        <v>0</v>
      </c>
      <c r="F1724">
        <v>0</v>
      </c>
      <c r="G1724">
        <v>30</v>
      </c>
      <c r="H1724" t="s">
        <v>11</v>
      </c>
      <c r="I1724">
        <v>57072</v>
      </c>
      <c r="J1724">
        <v>0</v>
      </c>
      <c r="K1724">
        <v>1</v>
      </c>
      <c r="L1724">
        <v>0</v>
      </c>
      <c r="M1724">
        <v>1</v>
      </c>
      <c r="N1724">
        <f t="shared" si="52"/>
        <v>0.23203257460651758</v>
      </c>
      <c r="O1724">
        <f t="shared" si="53"/>
        <v>0.52521878641062336</v>
      </c>
    </row>
    <row r="1725" spans="1:15">
      <c r="A1725">
        <v>9560</v>
      </c>
      <c r="B1725">
        <v>856</v>
      </c>
      <c r="C1725">
        <v>61</v>
      </c>
      <c r="D1725">
        <v>570</v>
      </c>
      <c r="E1725">
        <v>40</v>
      </c>
      <c r="F1725">
        <v>25</v>
      </c>
      <c r="G1725">
        <v>122</v>
      </c>
      <c r="H1725" t="s">
        <v>11</v>
      </c>
      <c r="I1725">
        <v>83003</v>
      </c>
      <c r="J1725">
        <v>0</v>
      </c>
      <c r="K1725">
        <v>0</v>
      </c>
      <c r="L1725">
        <v>0</v>
      </c>
      <c r="M1725">
        <v>1</v>
      </c>
      <c r="N1725">
        <f t="shared" si="52"/>
        <v>1.4318004901414427</v>
      </c>
      <c r="O1725">
        <f t="shared" si="53"/>
        <v>0.99989322639602896</v>
      </c>
    </row>
    <row r="1726" spans="1:15">
      <c r="A1726">
        <v>9576</v>
      </c>
      <c r="B1726">
        <v>86</v>
      </c>
      <c r="C1726">
        <v>4</v>
      </c>
      <c r="D1726">
        <v>56</v>
      </c>
      <c r="E1726">
        <v>2</v>
      </c>
      <c r="F1726">
        <v>4</v>
      </c>
      <c r="G1726">
        <v>7</v>
      </c>
      <c r="H1726" t="s">
        <v>11</v>
      </c>
      <c r="I1726">
        <v>32313</v>
      </c>
      <c r="J1726">
        <v>1</v>
      </c>
      <c r="K1726">
        <v>0</v>
      </c>
      <c r="L1726">
        <v>0</v>
      </c>
      <c r="M1726">
        <v>1</v>
      </c>
      <c r="N1726">
        <f t="shared" si="52"/>
        <v>-0.91350958808405403</v>
      </c>
      <c r="O1726">
        <f t="shared" si="53"/>
        <v>-0.11638339810277604</v>
      </c>
    </row>
    <row r="1727" spans="1:15">
      <c r="A1727">
        <v>9579</v>
      </c>
      <c r="B1727">
        <v>53</v>
      </c>
      <c r="C1727">
        <v>1</v>
      </c>
      <c r="D1727">
        <v>34</v>
      </c>
      <c r="E1727">
        <v>2</v>
      </c>
      <c r="F1727">
        <v>0</v>
      </c>
      <c r="G1727">
        <v>16</v>
      </c>
      <c r="H1727" t="s">
        <v>11</v>
      </c>
      <c r="I1727">
        <v>33762</v>
      </c>
      <c r="J1727">
        <v>2</v>
      </c>
      <c r="K1727">
        <v>1</v>
      </c>
      <c r="L1727">
        <v>0</v>
      </c>
      <c r="M1727">
        <v>1</v>
      </c>
      <c r="N1727">
        <f t="shared" si="52"/>
        <v>-0.8464676803438933</v>
      </c>
      <c r="O1727">
        <f t="shared" si="53"/>
        <v>-5.4183847037269618E-2</v>
      </c>
    </row>
    <row r="1728" spans="1:15">
      <c r="A1728">
        <v>9592</v>
      </c>
      <c r="B1728">
        <v>11</v>
      </c>
      <c r="C1728">
        <v>2</v>
      </c>
      <c r="D1728">
        <v>9</v>
      </c>
      <c r="E1728">
        <v>3</v>
      </c>
      <c r="F1728">
        <v>0</v>
      </c>
      <c r="G1728">
        <v>8</v>
      </c>
      <c r="H1728" t="s">
        <v>11</v>
      </c>
      <c r="I1728">
        <v>22010</v>
      </c>
      <c r="J1728">
        <v>1</v>
      </c>
      <c r="K1728">
        <v>0</v>
      </c>
      <c r="L1728">
        <v>0</v>
      </c>
      <c r="M1728">
        <v>1</v>
      </c>
      <c r="N1728">
        <f t="shared" si="52"/>
        <v>-1.3902057754179915</v>
      </c>
      <c r="O1728">
        <f t="shared" si="53"/>
        <v>-0.29786952145612033</v>
      </c>
    </row>
    <row r="1729" spans="1:15">
      <c r="A1729">
        <v>9595</v>
      </c>
      <c r="B1729">
        <v>539</v>
      </c>
      <c r="C1729">
        <v>169</v>
      </c>
      <c r="D1729">
        <v>816</v>
      </c>
      <c r="E1729">
        <v>20</v>
      </c>
      <c r="F1729">
        <v>0</v>
      </c>
      <c r="G1729">
        <v>30</v>
      </c>
      <c r="H1729" t="s">
        <v>11</v>
      </c>
      <c r="I1729">
        <v>64260</v>
      </c>
      <c r="J1729">
        <v>0</v>
      </c>
      <c r="K1729">
        <v>0</v>
      </c>
      <c r="L1729">
        <v>0</v>
      </c>
      <c r="M1729">
        <v>1</v>
      </c>
      <c r="N1729">
        <f t="shared" si="52"/>
        <v>0.56460485399663141</v>
      </c>
      <c r="O1729">
        <f t="shared" si="53"/>
        <v>0.8952710612451491</v>
      </c>
    </row>
    <row r="1730" spans="1:15">
      <c r="A1730">
        <v>9596</v>
      </c>
      <c r="B1730">
        <v>365</v>
      </c>
      <c r="C1730">
        <v>32</v>
      </c>
      <c r="D1730">
        <v>117</v>
      </c>
      <c r="E1730">
        <v>34</v>
      </c>
      <c r="F1730">
        <v>110</v>
      </c>
      <c r="G1730">
        <v>6</v>
      </c>
      <c r="H1730" t="s">
        <v>12</v>
      </c>
      <c r="I1730">
        <v>65295</v>
      </c>
      <c r="J1730">
        <v>0</v>
      </c>
      <c r="K1730">
        <v>0</v>
      </c>
      <c r="L1730">
        <v>1</v>
      </c>
      <c r="M1730">
        <v>0</v>
      </c>
      <c r="N1730">
        <f t="shared" si="52"/>
        <v>0.61249193095388899</v>
      </c>
      <c r="O1730">
        <f t="shared" si="53"/>
        <v>0.4325325136580434</v>
      </c>
    </row>
    <row r="1731" spans="1:15">
      <c r="A1731">
        <v>9597</v>
      </c>
      <c r="B1731">
        <v>236</v>
      </c>
      <c r="C1731">
        <v>106</v>
      </c>
      <c r="D1731">
        <v>189</v>
      </c>
      <c r="E1731">
        <v>23</v>
      </c>
      <c r="F1731">
        <v>41</v>
      </c>
      <c r="G1731">
        <v>130</v>
      </c>
      <c r="H1731" t="s">
        <v>11</v>
      </c>
      <c r="I1731">
        <v>73448</v>
      </c>
      <c r="J1731">
        <v>0</v>
      </c>
      <c r="K1731">
        <v>0</v>
      </c>
      <c r="L1731">
        <v>0</v>
      </c>
      <c r="M1731">
        <v>1</v>
      </c>
      <c r="N1731">
        <f t="shared" ref="N1731:N1794" si="54">STANDARDIZE(I1731,$Q$1,$R$1)</f>
        <v>0.98971254779690487</v>
      </c>
      <c r="O1731">
        <f t="shared" ref="O1731:O1794" si="55">SUMPRODUCT(J1731:N1731,$Q$4:$U$4) / SQRT(SUMSQ(J1731:N1731) * SUMSQ($Q$4:$U$4))</f>
        <v>0.98094752519067707</v>
      </c>
    </row>
    <row r="1732" spans="1:15">
      <c r="A1732">
        <v>9606</v>
      </c>
      <c r="B1732">
        <v>882</v>
      </c>
      <c r="C1732">
        <v>29</v>
      </c>
      <c r="D1732">
        <v>514</v>
      </c>
      <c r="E1732">
        <v>38</v>
      </c>
      <c r="F1732">
        <v>29</v>
      </c>
      <c r="G1732">
        <v>44</v>
      </c>
      <c r="H1732" t="s">
        <v>11</v>
      </c>
      <c r="I1732">
        <v>69969</v>
      </c>
      <c r="J1732">
        <v>0</v>
      </c>
      <c r="K1732">
        <v>0</v>
      </c>
      <c r="L1732">
        <v>0</v>
      </c>
      <c r="M1732">
        <v>1</v>
      </c>
      <c r="N1732">
        <f t="shared" si="54"/>
        <v>0.82874719443043221</v>
      </c>
      <c r="O1732">
        <f t="shared" si="55"/>
        <v>0.9600211808268686</v>
      </c>
    </row>
    <row r="1733" spans="1:15">
      <c r="A1733">
        <v>9612</v>
      </c>
      <c r="B1733">
        <v>1</v>
      </c>
      <c r="C1733">
        <v>8</v>
      </c>
      <c r="D1733">
        <v>6</v>
      </c>
      <c r="E1733">
        <v>4</v>
      </c>
      <c r="F1733">
        <v>8</v>
      </c>
      <c r="G1733">
        <v>16</v>
      </c>
      <c r="H1733" t="s">
        <v>12</v>
      </c>
      <c r="I1733">
        <v>23830</v>
      </c>
      <c r="J1733">
        <v>0</v>
      </c>
      <c r="K1733">
        <v>0</v>
      </c>
      <c r="L1733">
        <v>1</v>
      </c>
      <c r="M1733">
        <v>0</v>
      </c>
      <c r="N1733">
        <f t="shared" si="54"/>
        <v>-1.3059985483047463</v>
      </c>
      <c r="O1733">
        <f t="shared" si="55"/>
        <v>-0.65750818615097717</v>
      </c>
    </row>
    <row r="1734" spans="1:15">
      <c r="A1734">
        <v>9617</v>
      </c>
      <c r="B1734">
        <v>0</v>
      </c>
      <c r="C1734">
        <v>4</v>
      </c>
      <c r="D1734">
        <v>5</v>
      </c>
      <c r="E1734">
        <v>6</v>
      </c>
      <c r="F1734">
        <v>0</v>
      </c>
      <c r="G1734">
        <v>4</v>
      </c>
      <c r="H1734" t="s">
        <v>12</v>
      </c>
      <c r="I1734">
        <v>15033</v>
      </c>
      <c r="J1734">
        <v>0</v>
      </c>
      <c r="K1734">
        <v>0</v>
      </c>
      <c r="L1734">
        <v>1</v>
      </c>
      <c r="M1734">
        <v>0</v>
      </c>
      <c r="N1734">
        <f t="shared" si="54"/>
        <v>-1.7130155685878334</v>
      </c>
      <c r="O1734">
        <f t="shared" si="55"/>
        <v>-0.71517721812695534</v>
      </c>
    </row>
    <row r="1735" spans="1:15">
      <c r="A1735">
        <v>9624</v>
      </c>
      <c r="B1735">
        <v>603</v>
      </c>
      <c r="C1735">
        <v>45</v>
      </c>
      <c r="D1735">
        <v>207</v>
      </c>
      <c r="E1735">
        <v>36</v>
      </c>
      <c r="F1735">
        <v>18</v>
      </c>
      <c r="G1735">
        <v>54</v>
      </c>
      <c r="H1735" t="s">
        <v>11</v>
      </c>
      <c r="I1735">
        <v>65488</v>
      </c>
      <c r="J1735">
        <v>0</v>
      </c>
      <c r="K1735">
        <v>0</v>
      </c>
      <c r="L1735">
        <v>0</v>
      </c>
      <c r="M1735">
        <v>1</v>
      </c>
      <c r="N1735">
        <f t="shared" si="54"/>
        <v>0.62142159844446943</v>
      </c>
      <c r="O1735">
        <f t="shared" si="55"/>
        <v>0.91320222132046336</v>
      </c>
    </row>
    <row r="1736" spans="1:15">
      <c r="A1736">
        <v>9635</v>
      </c>
      <c r="B1736">
        <v>66</v>
      </c>
      <c r="C1736">
        <v>2</v>
      </c>
      <c r="D1736">
        <v>40</v>
      </c>
      <c r="E1736">
        <v>4</v>
      </c>
      <c r="F1736">
        <v>3</v>
      </c>
      <c r="G1736">
        <v>14</v>
      </c>
      <c r="H1736" t="s">
        <v>11</v>
      </c>
      <c r="I1736">
        <v>35876</v>
      </c>
      <c r="J1736">
        <v>0</v>
      </c>
      <c r="K1736">
        <v>0</v>
      </c>
      <c r="L1736">
        <v>0</v>
      </c>
      <c r="M1736">
        <v>1</v>
      </c>
      <c r="N1736">
        <f t="shared" si="54"/>
        <v>-0.74865774731235457</v>
      </c>
      <c r="O1736">
        <f t="shared" si="55"/>
        <v>-4.7571270110356043E-2</v>
      </c>
    </row>
    <row r="1737" spans="1:15">
      <c r="A1737">
        <v>9645</v>
      </c>
      <c r="B1737">
        <v>920</v>
      </c>
      <c r="C1737">
        <v>138</v>
      </c>
      <c r="D1737">
        <v>168</v>
      </c>
      <c r="E1737">
        <v>36</v>
      </c>
      <c r="F1737">
        <v>46</v>
      </c>
      <c r="G1737">
        <v>30</v>
      </c>
      <c r="H1737" t="s">
        <v>11</v>
      </c>
      <c r="I1737">
        <v>64590</v>
      </c>
      <c r="J1737">
        <v>0</v>
      </c>
      <c r="K1737">
        <v>0</v>
      </c>
      <c r="L1737">
        <v>0</v>
      </c>
      <c r="M1737">
        <v>1</v>
      </c>
      <c r="N1737">
        <f t="shared" si="54"/>
        <v>0.57987319737430776</v>
      </c>
      <c r="O1737">
        <f t="shared" si="55"/>
        <v>0.90033609609341214</v>
      </c>
    </row>
    <row r="1738" spans="1:15">
      <c r="A1738">
        <v>9648</v>
      </c>
      <c r="B1738">
        <v>153</v>
      </c>
      <c r="C1738">
        <v>4</v>
      </c>
      <c r="D1738">
        <v>56</v>
      </c>
      <c r="E1738">
        <v>0</v>
      </c>
      <c r="F1738">
        <v>9</v>
      </c>
      <c r="G1738">
        <v>31</v>
      </c>
      <c r="H1738" t="s">
        <v>12</v>
      </c>
      <c r="I1738">
        <v>46904</v>
      </c>
      <c r="J1738">
        <v>1</v>
      </c>
      <c r="K1738">
        <v>1</v>
      </c>
      <c r="L1738">
        <v>1</v>
      </c>
      <c r="M1738">
        <v>0</v>
      </c>
      <c r="N1738">
        <f t="shared" si="54"/>
        <v>-0.23841747225473414</v>
      </c>
      <c r="O1738">
        <f t="shared" si="55"/>
        <v>-0.11292611053357189</v>
      </c>
    </row>
    <row r="1739" spans="1:15">
      <c r="A1739">
        <v>9653</v>
      </c>
      <c r="B1739">
        <v>27</v>
      </c>
      <c r="C1739">
        <v>1</v>
      </c>
      <c r="D1739">
        <v>14</v>
      </c>
      <c r="E1739">
        <v>4</v>
      </c>
      <c r="F1739">
        <v>1</v>
      </c>
      <c r="G1739">
        <v>21</v>
      </c>
      <c r="H1739" t="s">
        <v>11</v>
      </c>
      <c r="I1739">
        <v>35797</v>
      </c>
      <c r="J1739">
        <v>0</v>
      </c>
      <c r="K1739">
        <v>1</v>
      </c>
      <c r="L1739">
        <v>0</v>
      </c>
      <c r="M1739">
        <v>1</v>
      </c>
      <c r="N1739">
        <f t="shared" si="54"/>
        <v>-0.75231289618155583</v>
      </c>
      <c r="O1739">
        <f t="shared" si="55"/>
        <v>-3.8987466355851319E-2</v>
      </c>
    </row>
    <row r="1740" spans="1:15">
      <c r="A1740">
        <v>9665</v>
      </c>
      <c r="B1740">
        <v>267</v>
      </c>
      <c r="C1740">
        <v>3</v>
      </c>
      <c r="D1740">
        <v>30</v>
      </c>
      <c r="E1740">
        <v>4</v>
      </c>
      <c r="F1740">
        <v>0</v>
      </c>
      <c r="G1740">
        <v>57</v>
      </c>
      <c r="H1740" t="s">
        <v>12</v>
      </c>
      <c r="I1740">
        <v>54237</v>
      </c>
      <c r="J1740">
        <v>0</v>
      </c>
      <c r="K1740">
        <v>1</v>
      </c>
      <c r="L1740">
        <v>1</v>
      </c>
      <c r="M1740">
        <v>0</v>
      </c>
      <c r="N1740">
        <f t="shared" si="54"/>
        <v>0.10086362468011625</v>
      </c>
      <c r="O1740">
        <f t="shared" si="55"/>
        <v>5.8912934079140937E-2</v>
      </c>
    </row>
    <row r="1741" spans="1:15">
      <c r="A1741">
        <v>9668</v>
      </c>
      <c r="B1741">
        <v>4</v>
      </c>
      <c r="C1741">
        <v>16</v>
      </c>
      <c r="D1741">
        <v>20</v>
      </c>
      <c r="E1741">
        <v>0</v>
      </c>
      <c r="F1741">
        <v>17</v>
      </c>
      <c r="G1741">
        <v>20</v>
      </c>
      <c r="H1741" t="s">
        <v>11</v>
      </c>
      <c r="I1741">
        <v>18793</v>
      </c>
      <c r="J1741">
        <v>1</v>
      </c>
      <c r="K1741">
        <v>0</v>
      </c>
      <c r="L1741">
        <v>0</v>
      </c>
      <c r="M1741">
        <v>1</v>
      </c>
      <c r="N1741">
        <f t="shared" si="54"/>
        <v>-1.5390489894967332</v>
      </c>
      <c r="O1741">
        <f t="shared" si="55"/>
        <v>-0.34158719164581258</v>
      </c>
    </row>
    <row r="1742" spans="1:15">
      <c r="A1742">
        <v>9672</v>
      </c>
      <c r="B1742">
        <v>8</v>
      </c>
      <c r="C1742">
        <v>3</v>
      </c>
      <c r="D1742">
        <v>9</v>
      </c>
      <c r="E1742">
        <v>19</v>
      </c>
      <c r="F1742">
        <v>4</v>
      </c>
      <c r="G1742">
        <v>22</v>
      </c>
      <c r="H1742" t="s">
        <v>11</v>
      </c>
      <c r="I1742">
        <v>23162</v>
      </c>
      <c r="J1742">
        <v>1</v>
      </c>
      <c r="K1742">
        <v>1</v>
      </c>
      <c r="L1742">
        <v>0</v>
      </c>
      <c r="M1742">
        <v>1</v>
      </c>
      <c r="N1742">
        <f t="shared" si="54"/>
        <v>-1.3369053767177395</v>
      </c>
      <c r="O1742">
        <f t="shared" si="55"/>
        <v>-0.24980189635315928</v>
      </c>
    </row>
    <row r="1743" spans="1:15">
      <c r="A1743">
        <v>9687</v>
      </c>
      <c r="B1743">
        <v>184</v>
      </c>
      <c r="C1743">
        <v>174</v>
      </c>
      <c r="D1743">
        <v>256</v>
      </c>
      <c r="E1743">
        <v>50</v>
      </c>
      <c r="F1743">
        <v>30</v>
      </c>
      <c r="G1743">
        <v>32</v>
      </c>
      <c r="H1743" t="s">
        <v>12</v>
      </c>
      <c r="I1743">
        <v>73170</v>
      </c>
      <c r="J1743">
        <v>0</v>
      </c>
      <c r="K1743">
        <v>0</v>
      </c>
      <c r="L1743">
        <v>1</v>
      </c>
      <c r="M1743">
        <v>0</v>
      </c>
      <c r="N1743">
        <f t="shared" si="54"/>
        <v>0.97685012519389269</v>
      </c>
      <c r="O1743">
        <f t="shared" si="55"/>
        <v>0.57867172630688057</v>
      </c>
    </row>
    <row r="1744" spans="1:15">
      <c r="A1744">
        <v>9697</v>
      </c>
      <c r="B1744">
        <v>335</v>
      </c>
      <c r="C1744">
        <v>42</v>
      </c>
      <c r="D1744">
        <v>127</v>
      </c>
      <c r="E1744">
        <v>28</v>
      </c>
      <c r="F1744">
        <v>5</v>
      </c>
      <c r="G1744">
        <v>5</v>
      </c>
      <c r="H1744" t="s">
        <v>11</v>
      </c>
      <c r="I1744">
        <v>53790</v>
      </c>
      <c r="J1744">
        <v>0</v>
      </c>
      <c r="K1744">
        <v>2</v>
      </c>
      <c r="L1744">
        <v>0</v>
      </c>
      <c r="M1744">
        <v>1</v>
      </c>
      <c r="N1744">
        <f t="shared" si="54"/>
        <v>8.018195955944557E-2</v>
      </c>
      <c r="O1744">
        <f t="shared" si="55"/>
        <v>0.28020149158338015</v>
      </c>
    </row>
    <row r="1745" spans="1:15">
      <c r="A1745">
        <v>9699</v>
      </c>
      <c r="B1745">
        <v>357</v>
      </c>
      <c r="C1745">
        <v>35</v>
      </c>
      <c r="D1745">
        <v>271</v>
      </c>
      <c r="E1745">
        <v>28</v>
      </c>
      <c r="F1745">
        <v>28</v>
      </c>
      <c r="G1745">
        <v>14</v>
      </c>
      <c r="H1745" t="s">
        <v>12</v>
      </c>
      <c r="I1745">
        <v>67272</v>
      </c>
      <c r="J1745">
        <v>0</v>
      </c>
      <c r="K1745">
        <v>1</v>
      </c>
      <c r="L1745">
        <v>1</v>
      </c>
      <c r="M1745">
        <v>0</v>
      </c>
      <c r="N1745">
        <f t="shared" si="54"/>
        <v>0.7039631880983318</v>
      </c>
      <c r="O1745">
        <f t="shared" si="55"/>
        <v>0.36902724314293595</v>
      </c>
    </row>
    <row r="1746" spans="1:15">
      <c r="A1746">
        <v>9701</v>
      </c>
      <c r="B1746">
        <v>32</v>
      </c>
      <c r="C1746">
        <v>34</v>
      </c>
      <c r="D1746">
        <v>41</v>
      </c>
      <c r="E1746">
        <v>73</v>
      </c>
      <c r="F1746">
        <v>16</v>
      </c>
      <c r="G1746">
        <v>116</v>
      </c>
      <c r="H1746" t="s">
        <v>11</v>
      </c>
      <c r="I1746">
        <v>41883</v>
      </c>
      <c r="J1746">
        <v>1</v>
      </c>
      <c r="K1746">
        <v>0</v>
      </c>
      <c r="L1746">
        <v>0</v>
      </c>
      <c r="M1746">
        <v>1</v>
      </c>
      <c r="N1746">
        <f t="shared" si="54"/>
        <v>-0.47072763013143998</v>
      </c>
      <c r="O1746">
        <f t="shared" si="55"/>
        <v>0.11454792834899868</v>
      </c>
    </row>
    <row r="1747" spans="1:15">
      <c r="A1747">
        <v>9703</v>
      </c>
      <c r="B1747">
        <v>77</v>
      </c>
      <c r="C1747">
        <v>2</v>
      </c>
      <c r="D1747">
        <v>35</v>
      </c>
      <c r="E1747">
        <v>0</v>
      </c>
      <c r="F1747">
        <v>1</v>
      </c>
      <c r="G1747">
        <v>69</v>
      </c>
      <c r="H1747" t="s">
        <v>11</v>
      </c>
      <c r="I1747">
        <v>38097</v>
      </c>
      <c r="J1747">
        <v>1</v>
      </c>
      <c r="K1747">
        <v>1</v>
      </c>
      <c r="L1747">
        <v>0</v>
      </c>
      <c r="M1747">
        <v>1</v>
      </c>
      <c r="N1747">
        <f t="shared" si="54"/>
        <v>-0.6458971696098722</v>
      </c>
      <c r="O1747">
        <f t="shared" si="55"/>
        <v>1.3887660971135135E-2</v>
      </c>
    </row>
    <row r="1748" spans="1:15">
      <c r="A1748">
        <v>9706</v>
      </c>
      <c r="B1748">
        <v>62</v>
      </c>
      <c r="C1748">
        <v>1</v>
      </c>
      <c r="D1748">
        <v>20</v>
      </c>
      <c r="E1748">
        <v>4</v>
      </c>
      <c r="F1748">
        <v>0</v>
      </c>
      <c r="G1748">
        <v>7</v>
      </c>
      <c r="H1748" t="s">
        <v>12</v>
      </c>
      <c r="I1748">
        <v>31560</v>
      </c>
      <c r="J1748">
        <v>1</v>
      </c>
      <c r="K1748">
        <v>0</v>
      </c>
      <c r="L1748">
        <v>1</v>
      </c>
      <c r="M1748">
        <v>0</v>
      </c>
      <c r="N1748">
        <f t="shared" si="54"/>
        <v>-0.94834917160947907</v>
      </c>
      <c r="O1748">
        <f t="shared" si="55"/>
        <v>-0.46122154593646603</v>
      </c>
    </row>
    <row r="1749" spans="1:15">
      <c r="A1749">
        <v>9707</v>
      </c>
      <c r="B1749">
        <v>1103</v>
      </c>
      <c r="C1749">
        <v>0</v>
      </c>
      <c r="D1749">
        <v>45</v>
      </c>
      <c r="E1749">
        <v>0</v>
      </c>
      <c r="F1749">
        <v>0</v>
      </c>
      <c r="G1749">
        <v>34</v>
      </c>
      <c r="H1749" t="s">
        <v>11</v>
      </c>
      <c r="I1749">
        <v>55212</v>
      </c>
      <c r="J1749">
        <v>0</v>
      </c>
      <c r="K1749">
        <v>1</v>
      </c>
      <c r="L1749">
        <v>0</v>
      </c>
      <c r="M1749">
        <v>1</v>
      </c>
      <c r="N1749">
        <f t="shared" si="54"/>
        <v>0.14597463920506909</v>
      </c>
      <c r="O1749">
        <f t="shared" si="55"/>
        <v>0.47930178903686244</v>
      </c>
    </row>
    <row r="1750" spans="1:15">
      <c r="A1750">
        <v>9710</v>
      </c>
      <c r="B1750">
        <v>708</v>
      </c>
      <c r="C1750">
        <v>7</v>
      </c>
      <c r="D1750">
        <v>62</v>
      </c>
      <c r="E1750">
        <v>0</v>
      </c>
      <c r="F1750">
        <v>0</v>
      </c>
      <c r="G1750">
        <v>15</v>
      </c>
      <c r="H1750" t="s">
        <v>12</v>
      </c>
      <c r="I1750">
        <v>58086</v>
      </c>
      <c r="J1750">
        <v>0</v>
      </c>
      <c r="K1750">
        <v>1</v>
      </c>
      <c r="L1750">
        <v>1</v>
      </c>
      <c r="M1750">
        <v>0</v>
      </c>
      <c r="N1750">
        <f t="shared" si="54"/>
        <v>0.27894802971246851</v>
      </c>
      <c r="O1750">
        <f t="shared" si="55"/>
        <v>0.16025552932190909</v>
      </c>
    </row>
    <row r="1751" spans="1:15">
      <c r="A1751">
        <v>9723</v>
      </c>
      <c r="B1751">
        <v>530</v>
      </c>
      <c r="C1751">
        <v>142</v>
      </c>
      <c r="D1751">
        <v>217</v>
      </c>
      <c r="E1751">
        <v>62</v>
      </c>
      <c r="F1751">
        <v>9</v>
      </c>
      <c r="G1751">
        <v>56</v>
      </c>
      <c r="H1751" t="s">
        <v>11</v>
      </c>
      <c r="I1751">
        <v>67716</v>
      </c>
      <c r="J1751">
        <v>0</v>
      </c>
      <c r="K1751">
        <v>1</v>
      </c>
      <c r="L1751">
        <v>0</v>
      </c>
      <c r="M1751">
        <v>1</v>
      </c>
      <c r="N1751">
        <f t="shared" si="54"/>
        <v>0.72450605009738733</v>
      </c>
      <c r="O1751">
        <f t="shared" si="55"/>
        <v>0.73035378908902904</v>
      </c>
    </row>
    <row r="1752" spans="1:15">
      <c r="A1752">
        <v>9725</v>
      </c>
      <c r="B1752">
        <v>8</v>
      </c>
      <c r="C1752">
        <v>0</v>
      </c>
      <c r="D1752">
        <v>3</v>
      </c>
      <c r="E1752">
        <v>0</v>
      </c>
      <c r="F1752">
        <v>0</v>
      </c>
      <c r="G1752">
        <v>1</v>
      </c>
      <c r="H1752" t="s">
        <v>11</v>
      </c>
      <c r="I1752">
        <v>28764</v>
      </c>
      <c r="J1752">
        <v>1</v>
      </c>
      <c r="K1752">
        <v>1</v>
      </c>
      <c r="L1752">
        <v>0</v>
      </c>
      <c r="M1752">
        <v>1</v>
      </c>
      <c r="N1752">
        <f t="shared" si="54"/>
        <v>-1.0777136809548824</v>
      </c>
      <c r="O1752">
        <f t="shared" si="55"/>
        <v>-0.16271012014491043</v>
      </c>
    </row>
    <row r="1753" spans="1:15">
      <c r="A1753">
        <v>9727</v>
      </c>
      <c r="B1753">
        <v>4</v>
      </c>
      <c r="C1753">
        <v>24</v>
      </c>
      <c r="D1753">
        <v>11</v>
      </c>
      <c r="E1753">
        <v>16</v>
      </c>
      <c r="F1753">
        <v>1</v>
      </c>
      <c r="G1753">
        <v>25</v>
      </c>
      <c r="H1753" t="s">
        <v>11</v>
      </c>
      <c r="I1753">
        <v>23539</v>
      </c>
      <c r="J1753">
        <v>0</v>
      </c>
      <c r="K1753">
        <v>0</v>
      </c>
      <c r="L1753">
        <v>0</v>
      </c>
      <c r="M1753">
        <v>1</v>
      </c>
      <c r="N1753">
        <f t="shared" si="54"/>
        <v>-1.3194624511014243</v>
      </c>
      <c r="O1753">
        <f t="shared" si="55"/>
        <v>-0.32140798503776907</v>
      </c>
    </row>
    <row r="1754" spans="1:15">
      <c r="A1754">
        <v>9729</v>
      </c>
      <c r="B1754">
        <v>189</v>
      </c>
      <c r="C1754">
        <v>10</v>
      </c>
      <c r="D1754">
        <v>253</v>
      </c>
      <c r="E1754">
        <v>56</v>
      </c>
      <c r="F1754">
        <v>43</v>
      </c>
      <c r="G1754">
        <v>64</v>
      </c>
      <c r="H1754" t="s">
        <v>12</v>
      </c>
      <c r="I1754">
        <v>58275</v>
      </c>
      <c r="J1754">
        <v>1</v>
      </c>
      <c r="K1754">
        <v>1</v>
      </c>
      <c r="L1754">
        <v>1</v>
      </c>
      <c r="M1754">
        <v>0</v>
      </c>
      <c r="N1754">
        <f t="shared" si="54"/>
        <v>0.2876926263742286</v>
      </c>
      <c r="O1754">
        <f t="shared" si="55"/>
        <v>0.13569105750122601</v>
      </c>
    </row>
    <row r="1755" spans="1:15">
      <c r="A1755">
        <v>9736</v>
      </c>
      <c r="B1755">
        <v>53</v>
      </c>
      <c r="C1755">
        <v>5</v>
      </c>
      <c r="D1755">
        <v>19</v>
      </c>
      <c r="E1755">
        <v>2</v>
      </c>
      <c r="F1755">
        <v>13</v>
      </c>
      <c r="G1755">
        <v>4</v>
      </c>
      <c r="H1755" t="s">
        <v>11</v>
      </c>
      <c r="I1755">
        <v>41850</v>
      </c>
      <c r="J1755">
        <v>1</v>
      </c>
      <c r="K1755">
        <v>1</v>
      </c>
      <c r="L1755">
        <v>0</v>
      </c>
      <c r="M1755">
        <v>1</v>
      </c>
      <c r="N1755">
        <f t="shared" si="54"/>
        <v>-0.4722544644692076</v>
      </c>
      <c r="O1755">
        <f t="shared" si="55"/>
        <v>9.4397098627462039E-2</v>
      </c>
    </row>
    <row r="1756" spans="1:15">
      <c r="A1756">
        <v>9738</v>
      </c>
      <c r="B1756">
        <v>65</v>
      </c>
      <c r="C1756">
        <v>4</v>
      </c>
      <c r="D1756">
        <v>16</v>
      </c>
      <c r="E1756">
        <v>0</v>
      </c>
      <c r="F1756">
        <v>4</v>
      </c>
      <c r="G1756">
        <v>11</v>
      </c>
      <c r="H1756" t="s">
        <v>11</v>
      </c>
      <c r="I1756">
        <v>42386</v>
      </c>
      <c r="J1756">
        <v>1</v>
      </c>
      <c r="K1756">
        <v>0</v>
      </c>
      <c r="L1756">
        <v>0</v>
      </c>
      <c r="M1756">
        <v>1</v>
      </c>
      <c r="N1756">
        <f t="shared" si="54"/>
        <v>-0.44745497340728485</v>
      </c>
      <c r="O1756">
        <f t="shared" si="55"/>
        <v>0.12809573226406948</v>
      </c>
    </row>
    <row r="1757" spans="1:15">
      <c r="A1757">
        <v>9739</v>
      </c>
      <c r="B1757">
        <v>62</v>
      </c>
      <c r="C1757">
        <v>0</v>
      </c>
      <c r="D1757">
        <v>22</v>
      </c>
      <c r="E1757">
        <v>3</v>
      </c>
      <c r="F1757">
        <v>1</v>
      </c>
      <c r="G1757">
        <v>26</v>
      </c>
      <c r="H1757" t="s">
        <v>12</v>
      </c>
      <c r="I1757">
        <v>34377</v>
      </c>
      <c r="J1757">
        <v>0</v>
      </c>
      <c r="K1757">
        <v>1</v>
      </c>
      <c r="L1757">
        <v>1</v>
      </c>
      <c r="M1757">
        <v>0</v>
      </c>
      <c r="N1757">
        <f t="shared" si="54"/>
        <v>-0.81801304041276923</v>
      </c>
      <c r="O1757">
        <f t="shared" si="55"/>
        <v>-0.41463596200146091</v>
      </c>
    </row>
    <row r="1758" spans="1:15">
      <c r="A1758">
        <v>9743</v>
      </c>
      <c r="B1758">
        <v>1449</v>
      </c>
      <c r="C1758">
        <v>89</v>
      </c>
      <c r="D1758">
        <v>161</v>
      </c>
      <c r="E1758">
        <v>69</v>
      </c>
      <c r="F1758">
        <v>35</v>
      </c>
      <c r="G1758">
        <v>107</v>
      </c>
      <c r="H1758" t="s">
        <v>11</v>
      </c>
      <c r="I1758">
        <v>76998</v>
      </c>
      <c r="J1758">
        <v>0</v>
      </c>
      <c r="K1758">
        <v>1</v>
      </c>
      <c r="L1758">
        <v>0</v>
      </c>
      <c r="M1758">
        <v>1</v>
      </c>
      <c r="N1758">
        <f t="shared" si="54"/>
        <v>1.1539629083749383</v>
      </c>
      <c r="O1758">
        <f t="shared" si="55"/>
        <v>0.83065320398144482</v>
      </c>
    </row>
    <row r="1759" spans="1:15">
      <c r="A1759">
        <v>9750</v>
      </c>
      <c r="B1759">
        <v>731</v>
      </c>
      <c r="C1759">
        <v>60</v>
      </c>
      <c r="D1759">
        <v>353</v>
      </c>
      <c r="E1759">
        <v>78</v>
      </c>
      <c r="F1759">
        <v>12</v>
      </c>
      <c r="G1759">
        <v>73</v>
      </c>
      <c r="H1759" t="s">
        <v>12</v>
      </c>
      <c r="I1759">
        <v>64325</v>
      </c>
      <c r="J1759">
        <v>0</v>
      </c>
      <c r="K1759">
        <v>1</v>
      </c>
      <c r="L1759">
        <v>1</v>
      </c>
      <c r="M1759">
        <v>0</v>
      </c>
      <c r="N1759">
        <f t="shared" si="54"/>
        <v>0.56761225496496159</v>
      </c>
      <c r="O1759">
        <f t="shared" si="55"/>
        <v>0.30845820721727374</v>
      </c>
    </row>
    <row r="1760" spans="1:15">
      <c r="A1760">
        <v>9771</v>
      </c>
      <c r="B1760">
        <v>104</v>
      </c>
      <c r="C1760">
        <v>20</v>
      </c>
      <c r="D1760">
        <v>101</v>
      </c>
      <c r="E1760">
        <v>24</v>
      </c>
      <c r="F1760">
        <v>15</v>
      </c>
      <c r="G1760">
        <v>5</v>
      </c>
      <c r="H1760" t="s">
        <v>12</v>
      </c>
      <c r="I1760">
        <v>23331</v>
      </c>
      <c r="J1760">
        <v>1</v>
      </c>
      <c r="K1760">
        <v>0</v>
      </c>
      <c r="L1760">
        <v>1</v>
      </c>
      <c r="M1760">
        <v>0</v>
      </c>
      <c r="N1760">
        <f t="shared" si="54"/>
        <v>-1.329086134200081</v>
      </c>
      <c r="O1760">
        <f t="shared" si="55"/>
        <v>-0.5671249106304741</v>
      </c>
    </row>
    <row r="1761" spans="1:15">
      <c r="A1761">
        <v>9780</v>
      </c>
      <c r="B1761">
        <v>465</v>
      </c>
      <c r="C1761">
        <v>25</v>
      </c>
      <c r="D1761">
        <v>132</v>
      </c>
      <c r="E1761">
        <v>136</v>
      </c>
      <c r="F1761">
        <v>0</v>
      </c>
      <c r="G1761">
        <v>37</v>
      </c>
      <c r="H1761" t="s">
        <v>11</v>
      </c>
      <c r="I1761">
        <v>71499</v>
      </c>
      <c r="J1761">
        <v>0</v>
      </c>
      <c r="K1761">
        <v>1</v>
      </c>
      <c r="L1761">
        <v>0</v>
      </c>
      <c r="M1761">
        <v>1</v>
      </c>
      <c r="N1761">
        <f t="shared" si="54"/>
        <v>0.89953678645420432</v>
      </c>
      <c r="O1761">
        <f t="shared" si="55"/>
        <v>0.77889706438561668</v>
      </c>
    </row>
    <row r="1762" spans="1:15">
      <c r="A1762">
        <v>9790</v>
      </c>
      <c r="B1762">
        <v>912</v>
      </c>
      <c r="C1762">
        <v>72</v>
      </c>
      <c r="D1762">
        <v>170</v>
      </c>
      <c r="E1762">
        <v>47</v>
      </c>
      <c r="F1762">
        <v>36</v>
      </c>
      <c r="G1762">
        <v>97</v>
      </c>
      <c r="H1762" t="s">
        <v>12</v>
      </c>
      <c r="I1762">
        <v>78499</v>
      </c>
      <c r="J1762">
        <v>0</v>
      </c>
      <c r="K1762">
        <v>0</v>
      </c>
      <c r="L1762">
        <v>1</v>
      </c>
      <c r="M1762">
        <v>0</v>
      </c>
      <c r="N1762">
        <f t="shared" si="54"/>
        <v>1.2234107368897631</v>
      </c>
      <c r="O1762">
        <f t="shared" si="55"/>
        <v>0.64117859390894982</v>
      </c>
    </row>
    <row r="1763" spans="1:15">
      <c r="A1763">
        <v>9797</v>
      </c>
      <c r="B1763">
        <v>228</v>
      </c>
      <c r="C1763">
        <v>19</v>
      </c>
      <c r="D1763">
        <v>130</v>
      </c>
      <c r="E1763">
        <v>4</v>
      </c>
      <c r="F1763">
        <v>11</v>
      </c>
      <c r="G1763">
        <v>51</v>
      </c>
      <c r="H1763" t="s">
        <v>11</v>
      </c>
      <c r="I1763">
        <v>58116</v>
      </c>
      <c r="J1763">
        <v>0</v>
      </c>
      <c r="K1763">
        <v>1</v>
      </c>
      <c r="L1763">
        <v>0</v>
      </c>
      <c r="M1763">
        <v>1</v>
      </c>
      <c r="N1763">
        <f t="shared" si="54"/>
        <v>0.2803360609286209</v>
      </c>
      <c r="O1763">
        <f t="shared" si="55"/>
        <v>0.54982775435209508</v>
      </c>
    </row>
    <row r="1764" spans="1:15">
      <c r="A1764">
        <v>9799</v>
      </c>
      <c r="B1764">
        <v>866</v>
      </c>
      <c r="C1764">
        <v>21</v>
      </c>
      <c r="D1764">
        <v>151</v>
      </c>
      <c r="E1764">
        <v>28</v>
      </c>
      <c r="F1764">
        <v>21</v>
      </c>
      <c r="G1764">
        <v>86</v>
      </c>
      <c r="H1764" t="s">
        <v>12</v>
      </c>
      <c r="I1764">
        <v>83664</v>
      </c>
      <c r="J1764">
        <v>1</v>
      </c>
      <c r="K1764">
        <v>1</v>
      </c>
      <c r="L1764">
        <v>1</v>
      </c>
      <c r="M1764">
        <v>0</v>
      </c>
      <c r="N1764">
        <f t="shared" si="54"/>
        <v>1.4623834446040005</v>
      </c>
      <c r="O1764">
        <f t="shared" si="55"/>
        <v>0.534236025128209</v>
      </c>
    </row>
    <row r="1765" spans="1:15">
      <c r="A1765">
        <v>9817</v>
      </c>
      <c r="B1765">
        <v>853</v>
      </c>
      <c r="C1765">
        <v>10</v>
      </c>
      <c r="D1765">
        <v>143</v>
      </c>
      <c r="E1765">
        <v>13</v>
      </c>
      <c r="F1765">
        <v>10</v>
      </c>
      <c r="G1765">
        <v>20</v>
      </c>
      <c r="H1765" t="s">
        <v>12</v>
      </c>
      <c r="I1765">
        <v>44802</v>
      </c>
      <c r="J1765">
        <v>0</v>
      </c>
      <c r="K1765">
        <v>0</v>
      </c>
      <c r="L1765">
        <v>1</v>
      </c>
      <c r="M1765">
        <v>0</v>
      </c>
      <c r="N1765">
        <f t="shared" si="54"/>
        <v>-0.33567219279981197</v>
      </c>
      <c r="O1765">
        <f t="shared" si="55"/>
        <v>-0.26352625510846223</v>
      </c>
    </row>
    <row r="1766" spans="1:15">
      <c r="A1766">
        <v>9829</v>
      </c>
      <c r="B1766">
        <v>22</v>
      </c>
      <c r="C1766">
        <v>4</v>
      </c>
      <c r="D1766">
        <v>17</v>
      </c>
      <c r="E1766">
        <v>12</v>
      </c>
      <c r="F1766">
        <v>10</v>
      </c>
      <c r="G1766">
        <v>13</v>
      </c>
      <c r="H1766" t="s">
        <v>11</v>
      </c>
      <c r="I1766">
        <v>28587</v>
      </c>
      <c r="J1766">
        <v>1</v>
      </c>
      <c r="K1766">
        <v>0</v>
      </c>
      <c r="L1766">
        <v>0</v>
      </c>
      <c r="M1766">
        <v>1</v>
      </c>
      <c r="N1766">
        <f t="shared" si="54"/>
        <v>-1.0859030651301815</v>
      </c>
      <c r="O1766">
        <f t="shared" si="55"/>
        <v>-0.189960728905682</v>
      </c>
    </row>
    <row r="1767" spans="1:15">
      <c r="A1767">
        <v>9850</v>
      </c>
      <c r="B1767">
        <v>3</v>
      </c>
      <c r="C1767">
        <v>6</v>
      </c>
      <c r="D1767">
        <v>7</v>
      </c>
      <c r="E1767">
        <v>0</v>
      </c>
      <c r="F1767">
        <v>0</v>
      </c>
      <c r="G1767">
        <v>3</v>
      </c>
      <c r="H1767" t="s">
        <v>11</v>
      </c>
      <c r="I1767">
        <v>24884</v>
      </c>
      <c r="J1767">
        <v>1</v>
      </c>
      <c r="K1767">
        <v>0</v>
      </c>
      <c r="L1767">
        <v>0</v>
      </c>
      <c r="M1767">
        <v>1</v>
      </c>
      <c r="N1767">
        <f t="shared" si="54"/>
        <v>-1.257232384910592</v>
      </c>
      <c r="O1767">
        <f t="shared" si="55"/>
        <v>-0.25397524586336345</v>
      </c>
    </row>
    <row r="1768" spans="1:15">
      <c r="A1768">
        <v>9855</v>
      </c>
      <c r="B1768">
        <v>899</v>
      </c>
      <c r="C1768">
        <v>0</v>
      </c>
      <c r="D1768">
        <v>101</v>
      </c>
      <c r="E1768">
        <v>0</v>
      </c>
      <c r="F1768">
        <v>0</v>
      </c>
      <c r="G1768">
        <v>20</v>
      </c>
      <c r="H1768" t="s">
        <v>12</v>
      </c>
      <c r="I1768">
        <v>62000</v>
      </c>
      <c r="J1768">
        <v>0</v>
      </c>
      <c r="K1768">
        <v>1</v>
      </c>
      <c r="L1768">
        <v>1</v>
      </c>
      <c r="M1768">
        <v>0</v>
      </c>
      <c r="N1768">
        <f t="shared" si="54"/>
        <v>0.46003983571315099</v>
      </c>
      <c r="O1768">
        <f t="shared" si="55"/>
        <v>0.25617184768086632</v>
      </c>
    </row>
    <row r="1769" spans="1:15">
      <c r="A1769">
        <v>9860</v>
      </c>
      <c r="B1769">
        <v>159</v>
      </c>
      <c r="C1769">
        <v>0</v>
      </c>
      <c r="D1769">
        <v>22</v>
      </c>
      <c r="E1769">
        <v>2</v>
      </c>
      <c r="F1769">
        <v>1</v>
      </c>
      <c r="G1769">
        <v>31</v>
      </c>
      <c r="H1769" t="s">
        <v>11</v>
      </c>
      <c r="I1769">
        <v>44911</v>
      </c>
      <c r="J1769">
        <v>0</v>
      </c>
      <c r="K1769">
        <v>1</v>
      </c>
      <c r="L1769">
        <v>0</v>
      </c>
      <c r="M1769">
        <v>1</v>
      </c>
      <c r="N1769">
        <f t="shared" si="54"/>
        <v>-0.33062901271445827</v>
      </c>
      <c r="O1769">
        <f t="shared" si="55"/>
        <v>0.19744012028767907</v>
      </c>
    </row>
    <row r="1770" spans="1:15">
      <c r="A1770">
        <v>9862</v>
      </c>
      <c r="B1770">
        <v>1</v>
      </c>
      <c r="C1770">
        <v>6</v>
      </c>
      <c r="D1770">
        <v>7</v>
      </c>
      <c r="E1770">
        <v>11</v>
      </c>
      <c r="F1770">
        <v>5</v>
      </c>
      <c r="G1770">
        <v>3</v>
      </c>
      <c r="H1770" t="s">
        <v>11</v>
      </c>
      <c r="I1770">
        <v>21918</v>
      </c>
      <c r="J1770">
        <v>1</v>
      </c>
      <c r="K1770">
        <v>0</v>
      </c>
      <c r="L1770">
        <v>0</v>
      </c>
      <c r="M1770">
        <v>1</v>
      </c>
      <c r="N1770">
        <f t="shared" si="54"/>
        <v>-1.3944624044808589</v>
      </c>
      <c r="O1770">
        <f t="shared" si="55"/>
        <v>-0.29919648420565309</v>
      </c>
    </row>
    <row r="1771" spans="1:15">
      <c r="A1771">
        <v>9904</v>
      </c>
      <c r="B1771">
        <v>336</v>
      </c>
      <c r="C1771">
        <v>123</v>
      </c>
      <c r="D1771">
        <v>274</v>
      </c>
      <c r="E1771">
        <v>46</v>
      </c>
      <c r="F1771">
        <v>123</v>
      </c>
      <c r="G1771">
        <v>141</v>
      </c>
      <c r="H1771" t="s">
        <v>11</v>
      </c>
      <c r="I1771">
        <v>71391</v>
      </c>
      <c r="J1771">
        <v>0</v>
      </c>
      <c r="K1771">
        <v>1</v>
      </c>
      <c r="L1771">
        <v>0</v>
      </c>
      <c r="M1771">
        <v>1</v>
      </c>
      <c r="N1771">
        <f t="shared" si="54"/>
        <v>0.89453987407605573</v>
      </c>
      <c r="O1771">
        <f t="shared" si="55"/>
        <v>0.77767002501193094</v>
      </c>
    </row>
    <row r="1772" spans="1:15">
      <c r="A1772">
        <v>9905</v>
      </c>
      <c r="B1772">
        <v>135</v>
      </c>
      <c r="C1772">
        <v>1</v>
      </c>
      <c r="D1772">
        <v>41</v>
      </c>
      <c r="E1772">
        <v>10</v>
      </c>
      <c r="F1772">
        <v>1</v>
      </c>
      <c r="G1772">
        <v>67</v>
      </c>
      <c r="H1772" t="s">
        <v>11</v>
      </c>
      <c r="I1772">
        <v>34074</v>
      </c>
      <c r="J1772">
        <v>1</v>
      </c>
      <c r="K1772">
        <v>1</v>
      </c>
      <c r="L1772">
        <v>0</v>
      </c>
      <c r="M1772">
        <v>1</v>
      </c>
      <c r="N1772">
        <f t="shared" si="54"/>
        <v>-0.83203215569590838</v>
      </c>
      <c r="O1772">
        <f t="shared" si="55"/>
        <v>-6.685804871196678E-2</v>
      </c>
    </row>
    <row r="1773" spans="1:15">
      <c r="A1773">
        <v>9907</v>
      </c>
      <c r="B1773">
        <v>742</v>
      </c>
      <c r="C1773">
        <v>28</v>
      </c>
      <c r="D1773">
        <v>152</v>
      </c>
      <c r="E1773">
        <v>25</v>
      </c>
      <c r="F1773">
        <v>9</v>
      </c>
      <c r="G1773">
        <v>57</v>
      </c>
      <c r="H1773" t="s">
        <v>11</v>
      </c>
      <c r="I1773">
        <v>66476</v>
      </c>
      <c r="J1773">
        <v>0</v>
      </c>
      <c r="K1773">
        <v>1</v>
      </c>
      <c r="L1773">
        <v>0</v>
      </c>
      <c r="M1773">
        <v>1</v>
      </c>
      <c r="N1773">
        <f t="shared" si="54"/>
        <v>0.66713409316308836</v>
      </c>
      <c r="O1773">
        <f t="shared" si="55"/>
        <v>0.71179832133468335</v>
      </c>
    </row>
    <row r="1774" spans="1:15">
      <c r="A1774">
        <v>9909</v>
      </c>
      <c r="B1774">
        <v>3</v>
      </c>
      <c r="C1774">
        <v>18</v>
      </c>
      <c r="D1774">
        <v>14</v>
      </c>
      <c r="E1774">
        <v>15</v>
      </c>
      <c r="F1774">
        <v>22</v>
      </c>
      <c r="G1774">
        <v>50</v>
      </c>
      <c r="H1774" t="s">
        <v>11</v>
      </c>
      <c r="I1774">
        <v>7500</v>
      </c>
      <c r="J1774">
        <v>0</v>
      </c>
      <c r="K1774">
        <v>0</v>
      </c>
      <c r="L1774">
        <v>0</v>
      </c>
      <c r="M1774">
        <v>1</v>
      </c>
      <c r="N1774">
        <f t="shared" si="54"/>
        <v>-2.0615502069636999</v>
      </c>
      <c r="O1774">
        <f t="shared" si="55"/>
        <v>-0.50044276043335534</v>
      </c>
    </row>
    <row r="1775" spans="1:15">
      <c r="A1775">
        <v>9925</v>
      </c>
      <c r="B1775">
        <v>127</v>
      </c>
      <c r="C1775">
        <v>1</v>
      </c>
      <c r="D1775">
        <v>56</v>
      </c>
      <c r="E1775">
        <v>0</v>
      </c>
      <c r="F1775">
        <v>1</v>
      </c>
      <c r="G1775">
        <v>31</v>
      </c>
      <c r="H1775" t="s">
        <v>11</v>
      </c>
      <c r="I1775">
        <v>39665</v>
      </c>
      <c r="J1775">
        <v>1</v>
      </c>
      <c r="K1775">
        <v>0</v>
      </c>
      <c r="L1775">
        <v>0</v>
      </c>
      <c r="M1775">
        <v>1</v>
      </c>
      <c r="N1775">
        <f t="shared" si="54"/>
        <v>-0.573349404712307</v>
      </c>
      <c r="O1775">
        <f t="shared" si="55"/>
        <v>5.6192280101091681E-2</v>
      </c>
    </row>
    <row r="1776" spans="1:15">
      <c r="A1776">
        <v>9930</v>
      </c>
      <c r="B1776">
        <v>606</v>
      </c>
      <c r="C1776">
        <v>148</v>
      </c>
      <c r="D1776">
        <v>228</v>
      </c>
      <c r="E1776">
        <v>15</v>
      </c>
      <c r="F1776">
        <v>148</v>
      </c>
      <c r="G1776">
        <v>22</v>
      </c>
      <c r="H1776" t="s">
        <v>12</v>
      </c>
      <c r="I1776">
        <v>82716</v>
      </c>
      <c r="J1776">
        <v>0</v>
      </c>
      <c r="K1776">
        <v>0</v>
      </c>
      <c r="L1776">
        <v>1</v>
      </c>
      <c r="M1776">
        <v>0</v>
      </c>
      <c r="N1776">
        <f t="shared" si="54"/>
        <v>1.4185216581735849</v>
      </c>
      <c r="O1776">
        <f t="shared" si="55"/>
        <v>0.67684099116616026</v>
      </c>
    </row>
    <row r="1777" spans="1:15">
      <c r="A1777">
        <v>9931</v>
      </c>
      <c r="B1777">
        <v>5</v>
      </c>
      <c r="C1777">
        <v>0</v>
      </c>
      <c r="D1777">
        <v>1</v>
      </c>
      <c r="E1777">
        <v>1</v>
      </c>
      <c r="F1777">
        <v>1</v>
      </c>
      <c r="G1777">
        <v>1</v>
      </c>
      <c r="H1777" t="s">
        <v>11</v>
      </c>
      <c r="I1777">
        <v>4023</v>
      </c>
      <c r="J1777">
        <v>1</v>
      </c>
      <c r="K1777">
        <v>1</v>
      </c>
      <c r="L1777">
        <v>0</v>
      </c>
      <c r="M1777">
        <v>1</v>
      </c>
      <c r="N1777">
        <f t="shared" si="54"/>
        <v>-2.2224230249157624</v>
      </c>
      <c r="O1777">
        <f t="shared" si="55"/>
        <v>-0.45423601093968607</v>
      </c>
    </row>
    <row r="1778" spans="1:15">
      <c r="A1778">
        <v>9937</v>
      </c>
      <c r="B1778">
        <v>187</v>
      </c>
      <c r="C1778">
        <v>81</v>
      </c>
      <c r="D1778">
        <v>149</v>
      </c>
      <c r="E1778">
        <v>25</v>
      </c>
      <c r="F1778">
        <v>43</v>
      </c>
      <c r="G1778">
        <v>91</v>
      </c>
      <c r="H1778" t="s">
        <v>12</v>
      </c>
      <c r="I1778">
        <v>70337</v>
      </c>
      <c r="J1778">
        <v>0</v>
      </c>
      <c r="K1778">
        <v>0</v>
      </c>
      <c r="L1778">
        <v>1</v>
      </c>
      <c r="M1778">
        <v>0</v>
      </c>
      <c r="N1778">
        <f t="shared" si="54"/>
        <v>0.84577371068190155</v>
      </c>
      <c r="O1778">
        <f t="shared" si="55"/>
        <v>0.53477708433051674</v>
      </c>
    </row>
    <row r="1779" spans="1:15">
      <c r="A1779">
        <v>9938</v>
      </c>
      <c r="B1779">
        <v>519</v>
      </c>
      <c r="C1779">
        <v>17</v>
      </c>
      <c r="D1779">
        <v>813</v>
      </c>
      <c r="E1779">
        <v>27</v>
      </c>
      <c r="F1779">
        <v>173</v>
      </c>
      <c r="G1779">
        <v>51</v>
      </c>
      <c r="H1779" t="s">
        <v>11</v>
      </c>
      <c r="I1779">
        <v>80067</v>
      </c>
      <c r="J1779">
        <v>0</v>
      </c>
      <c r="K1779">
        <v>0</v>
      </c>
      <c r="L1779">
        <v>0</v>
      </c>
      <c r="M1779">
        <v>1</v>
      </c>
      <c r="N1779">
        <f t="shared" si="54"/>
        <v>1.2959585017873283</v>
      </c>
      <c r="O1779">
        <f t="shared" si="55"/>
        <v>0.9980693911712033</v>
      </c>
    </row>
    <row r="1780" spans="1:15">
      <c r="A1780">
        <v>9940</v>
      </c>
      <c r="B1780">
        <v>382</v>
      </c>
      <c r="C1780">
        <v>114</v>
      </c>
      <c r="D1780">
        <v>276</v>
      </c>
      <c r="E1780">
        <v>75</v>
      </c>
      <c r="F1780">
        <v>124</v>
      </c>
      <c r="G1780">
        <v>38</v>
      </c>
      <c r="H1780" t="s">
        <v>11</v>
      </c>
      <c r="I1780">
        <v>64961</v>
      </c>
      <c r="J1780">
        <v>0</v>
      </c>
      <c r="K1780">
        <v>1</v>
      </c>
      <c r="L1780">
        <v>0</v>
      </c>
      <c r="M1780">
        <v>1</v>
      </c>
      <c r="N1780">
        <f t="shared" si="54"/>
        <v>0.59703851674739239</v>
      </c>
      <c r="O1780">
        <f t="shared" si="55"/>
        <v>0.68724405348926476</v>
      </c>
    </row>
    <row r="1781" spans="1:15">
      <c r="A1781">
        <v>9949</v>
      </c>
      <c r="B1781">
        <v>598</v>
      </c>
      <c r="C1781">
        <v>16</v>
      </c>
      <c r="D1781">
        <v>141</v>
      </c>
      <c r="E1781">
        <v>32</v>
      </c>
      <c r="F1781">
        <v>41</v>
      </c>
      <c r="G1781">
        <v>49</v>
      </c>
      <c r="H1781" t="s">
        <v>11</v>
      </c>
      <c r="I1781">
        <v>59809</v>
      </c>
      <c r="J1781">
        <v>0</v>
      </c>
      <c r="K1781">
        <v>2</v>
      </c>
      <c r="L1781">
        <v>0</v>
      </c>
      <c r="M1781">
        <v>1</v>
      </c>
      <c r="N1781">
        <f t="shared" si="54"/>
        <v>0.35866728922682106</v>
      </c>
      <c r="O1781">
        <f t="shared" si="55"/>
        <v>0.37867710241626656</v>
      </c>
    </row>
    <row r="1782" spans="1:15">
      <c r="A1782">
        <v>9952</v>
      </c>
      <c r="B1782">
        <v>368</v>
      </c>
      <c r="C1782">
        <v>32</v>
      </c>
      <c r="D1782">
        <v>639</v>
      </c>
      <c r="E1782">
        <v>13</v>
      </c>
      <c r="F1782">
        <v>43</v>
      </c>
      <c r="G1782">
        <v>10</v>
      </c>
      <c r="H1782" t="s">
        <v>11</v>
      </c>
      <c r="I1782">
        <v>78093</v>
      </c>
      <c r="J1782">
        <v>0</v>
      </c>
      <c r="K1782">
        <v>0</v>
      </c>
      <c r="L1782">
        <v>0</v>
      </c>
      <c r="M1782">
        <v>1</v>
      </c>
      <c r="N1782">
        <f t="shared" si="54"/>
        <v>1.2046260477645008</v>
      </c>
      <c r="O1782">
        <f t="shared" si="55"/>
        <v>0.99522193961766203</v>
      </c>
    </row>
    <row r="1783" spans="1:15">
      <c r="A1783">
        <v>9960</v>
      </c>
      <c r="B1783">
        <v>0</v>
      </c>
      <c r="C1783">
        <v>0</v>
      </c>
      <c r="D1783">
        <v>1</v>
      </c>
      <c r="E1783">
        <v>8</v>
      </c>
      <c r="F1783">
        <v>3</v>
      </c>
      <c r="G1783">
        <v>2</v>
      </c>
      <c r="H1783" t="s">
        <v>12</v>
      </c>
      <c r="I1783">
        <v>26868</v>
      </c>
      <c r="J1783">
        <v>1</v>
      </c>
      <c r="K1783">
        <v>0</v>
      </c>
      <c r="L1783">
        <v>1</v>
      </c>
      <c r="M1783">
        <v>0</v>
      </c>
      <c r="N1783">
        <f t="shared" si="54"/>
        <v>-1.1654372538157136</v>
      </c>
      <c r="O1783">
        <f t="shared" si="55"/>
        <v>-0.52665428652990887</v>
      </c>
    </row>
    <row r="1784" spans="1:15">
      <c r="A1784">
        <v>9967</v>
      </c>
      <c r="B1784">
        <v>160</v>
      </c>
      <c r="C1784">
        <v>15</v>
      </c>
      <c r="D1784">
        <v>196</v>
      </c>
      <c r="E1784">
        <v>15</v>
      </c>
      <c r="F1784">
        <v>11</v>
      </c>
      <c r="G1784">
        <v>50</v>
      </c>
      <c r="H1784" t="s">
        <v>12</v>
      </c>
      <c r="I1784">
        <v>53034</v>
      </c>
      <c r="J1784">
        <v>1</v>
      </c>
      <c r="K1784">
        <v>1</v>
      </c>
      <c r="L1784">
        <v>1</v>
      </c>
      <c r="M1784">
        <v>0</v>
      </c>
      <c r="N1784">
        <f t="shared" si="54"/>
        <v>4.5203572912405218E-2</v>
      </c>
      <c r="O1784">
        <f t="shared" si="55"/>
        <v>2.1605142376402441E-2</v>
      </c>
    </row>
    <row r="1785" spans="1:15">
      <c r="A1785">
        <v>9970</v>
      </c>
      <c r="B1785">
        <v>42</v>
      </c>
      <c r="C1785">
        <v>11</v>
      </c>
      <c r="D1785">
        <v>57</v>
      </c>
      <c r="E1785">
        <v>10</v>
      </c>
      <c r="F1785">
        <v>28</v>
      </c>
      <c r="G1785">
        <v>14</v>
      </c>
      <c r="H1785" t="s">
        <v>11</v>
      </c>
      <c r="I1785">
        <v>55375</v>
      </c>
      <c r="J1785">
        <v>0</v>
      </c>
      <c r="K1785">
        <v>1</v>
      </c>
      <c r="L1785">
        <v>0</v>
      </c>
      <c r="M1785">
        <v>1</v>
      </c>
      <c r="N1785">
        <f t="shared" si="54"/>
        <v>0.15351627547949712</v>
      </c>
      <c r="O1785">
        <f t="shared" si="55"/>
        <v>0.4834245771843958</v>
      </c>
    </row>
    <row r="1786" spans="1:15">
      <c r="A1786">
        <v>9971</v>
      </c>
      <c r="B1786">
        <v>397</v>
      </c>
      <c r="C1786">
        <v>19</v>
      </c>
      <c r="D1786">
        <v>69</v>
      </c>
      <c r="E1786">
        <v>12</v>
      </c>
      <c r="F1786">
        <v>0</v>
      </c>
      <c r="G1786">
        <v>9</v>
      </c>
      <c r="H1786" t="s">
        <v>11</v>
      </c>
      <c r="I1786">
        <v>65526</v>
      </c>
      <c r="J1786">
        <v>0</v>
      </c>
      <c r="K1786">
        <v>1</v>
      </c>
      <c r="L1786">
        <v>0</v>
      </c>
      <c r="M1786">
        <v>1</v>
      </c>
      <c r="N1786">
        <f t="shared" si="54"/>
        <v>0.62317977131826252</v>
      </c>
      <c r="O1786">
        <f t="shared" si="55"/>
        <v>0.69664712990560274</v>
      </c>
    </row>
    <row r="1787" spans="1:15">
      <c r="A1787">
        <v>9973</v>
      </c>
      <c r="B1787">
        <v>370</v>
      </c>
      <c r="C1787">
        <v>9</v>
      </c>
      <c r="D1787">
        <v>92</v>
      </c>
      <c r="E1787">
        <v>6</v>
      </c>
      <c r="F1787">
        <v>9</v>
      </c>
      <c r="G1787">
        <v>4</v>
      </c>
      <c r="H1787" t="s">
        <v>11</v>
      </c>
      <c r="I1787">
        <v>50437</v>
      </c>
      <c r="J1787">
        <v>0</v>
      </c>
      <c r="K1787">
        <v>2</v>
      </c>
      <c r="L1787">
        <v>0</v>
      </c>
      <c r="M1787">
        <v>1</v>
      </c>
      <c r="N1787">
        <f t="shared" si="54"/>
        <v>-7.4953662699187101E-2</v>
      </c>
      <c r="O1787">
        <f t="shared" si="55"/>
        <v>0.22280256061927151</v>
      </c>
    </row>
    <row r="1788" spans="1:15">
      <c r="A1788">
        <v>9974</v>
      </c>
      <c r="B1788">
        <v>15</v>
      </c>
      <c r="C1788">
        <v>6</v>
      </c>
      <c r="D1788">
        <v>20</v>
      </c>
      <c r="E1788">
        <v>4</v>
      </c>
      <c r="F1788">
        <v>5</v>
      </c>
      <c r="G1788">
        <v>20</v>
      </c>
      <c r="H1788" t="s">
        <v>11</v>
      </c>
      <c r="I1788">
        <v>30631</v>
      </c>
      <c r="J1788">
        <v>1</v>
      </c>
      <c r="K1788">
        <v>0</v>
      </c>
      <c r="L1788">
        <v>0</v>
      </c>
      <c r="M1788">
        <v>1</v>
      </c>
      <c r="N1788">
        <f t="shared" si="54"/>
        <v>-0.99133187160299829</v>
      </c>
      <c r="O1788">
        <f t="shared" si="55"/>
        <v>-0.15076996912193857</v>
      </c>
    </row>
    <row r="1789" spans="1:15">
      <c r="A1789">
        <v>9977</v>
      </c>
      <c r="B1789">
        <v>321</v>
      </c>
      <c r="C1789">
        <v>11</v>
      </c>
      <c r="D1789">
        <v>309</v>
      </c>
      <c r="E1789">
        <v>33</v>
      </c>
      <c r="F1789">
        <v>26</v>
      </c>
      <c r="G1789">
        <v>34</v>
      </c>
      <c r="H1789" t="s">
        <v>12</v>
      </c>
      <c r="I1789">
        <v>78901</v>
      </c>
      <c r="J1789">
        <v>0</v>
      </c>
      <c r="K1789">
        <v>1</v>
      </c>
      <c r="L1789">
        <v>1</v>
      </c>
      <c r="M1789">
        <v>0</v>
      </c>
      <c r="N1789">
        <f t="shared" si="54"/>
        <v>1.2420103551862052</v>
      </c>
      <c r="O1789">
        <f t="shared" si="55"/>
        <v>0.54645906884872342</v>
      </c>
    </row>
    <row r="1790" spans="1:15">
      <c r="A1790">
        <v>9984</v>
      </c>
      <c r="B1790">
        <v>349</v>
      </c>
      <c r="C1790">
        <v>16</v>
      </c>
      <c r="D1790">
        <v>144</v>
      </c>
      <c r="E1790">
        <v>28</v>
      </c>
      <c r="F1790">
        <v>5</v>
      </c>
      <c r="G1790">
        <v>182</v>
      </c>
      <c r="H1790" t="s">
        <v>11</v>
      </c>
      <c r="I1790">
        <v>56337</v>
      </c>
      <c r="J1790">
        <v>1</v>
      </c>
      <c r="K1790">
        <v>1</v>
      </c>
      <c r="L1790">
        <v>0</v>
      </c>
      <c r="M1790">
        <v>1</v>
      </c>
      <c r="N1790">
        <f t="shared" si="54"/>
        <v>0.19802580981078391</v>
      </c>
      <c r="O1790">
        <f t="shared" si="55"/>
        <v>0.41560649397988092</v>
      </c>
    </row>
    <row r="1791" spans="1:15">
      <c r="A1791">
        <v>9986</v>
      </c>
      <c r="B1791">
        <v>16</v>
      </c>
      <c r="C1791">
        <v>0</v>
      </c>
      <c r="D1791">
        <v>23</v>
      </c>
      <c r="E1791">
        <v>3</v>
      </c>
      <c r="F1791">
        <v>2</v>
      </c>
      <c r="G1791">
        <v>10</v>
      </c>
      <c r="H1791" t="s">
        <v>11</v>
      </c>
      <c r="I1791">
        <v>19444</v>
      </c>
      <c r="J1791">
        <v>1</v>
      </c>
      <c r="K1791">
        <v>0</v>
      </c>
      <c r="L1791">
        <v>0</v>
      </c>
      <c r="M1791">
        <v>1</v>
      </c>
      <c r="N1791">
        <f t="shared" si="54"/>
        <v>-1.5089287121062263</v>
      </c>
      <c r="O1791">
        <f t="shared" si="55"/>
        <v>-0.33317277237543119</v>
      </c>
    </row>
    <row r="1792" spans="1:15">
      <c r="A1792">
        <v>9988</v>
      </c>
      <c r="B1792">
        <v>553</v>
      </c>
      <c r="C1792">
        <v>25</v>
      </c>
      <c r="D1792">
        <v>142</v>
      </c>
      <c r="E1792">
        <v>65</v>
      </c>
      <c r="F1792">
        <v>67</v>
      </c>
      <c r="G1792">
        <v>8</v>
      </c>
      <c r="H1792" t="s">
        <v>12</v>
      </c>
      <c r="I1792">
        <v>70379</v>
      </c>
      <c r="J1792">
        <v>0</v>
      </c>
      <c r="K1792">
        <v>1</v>
      </c>
      <c r="L1792">
        <v>1</v>
      </c>
      <c r="M1792">
        <v>0</v>
      </c>
      <c r="N1792">
        <f t="shared" si="54"/>
        <v>0.84771695438451489</v>
      </c>
      <c r="O1792">
        <f t="shared" si="55"/>
        <v>0.42576420187367953</v>
      </c>
    </row>
    <row r="1793" spans="1:15">
      <c r="A1793">
        <v>9999</v>
      </c>
      <c r="B1793">
        <v>610</v>
      </c>
      <c r="C1793">
        <v>105</v>
      </c>
      <c r="D1793">
        <v>125</v>
      </c>
      <c r="E1793">
        <v>137</v>
      </c>
      <c r="F1793">
        <v>42</v>
      </c>
      <c r="G1793">
        <v>21</v>
      </c>
      <c r="H1793" t="s">
        <v>11</v>
      </c>
      <c r="I1793">
        <v>75276</v>
      </c>
      <c r="J1793">
        <v>0</v>
      </c>
      <c r="K1793">
        <v>0</v>
      </c>
      <c r="L1793">
        <v>0</v>
      </c>
      <c r="M1793">
        <v>1</v>
      </c>
      <c r="N1793">
        <f t="shared" si="54"/>
        <v>1.0742899165677908</v>
      </c>
      <c r="O1793">
        <f t="shared" si="55"/>
        <v>0.98808143184454045</v>
      </c>
    </row>
    <row r="1794" spans="1:15">
      <c r="A1794">
        <v>10001</v>
      </c>
      <c r="B1794">
        <v>5</v>
      </c>
      <c r="C1794">
        <v>17</v>
      </c>
      <c r="D1794">
        <v>17</v>
      </c>
      <c r="E1794">
        <v>13</v>
      </c>
      <c r="F1794">
        <v>14</v>
      </c>
      <c r="G1794">
        <v>34</v>
      </c>
      <c r="H1794" t="s">
        <v>11</v>
      </c>
      <c r="I1794">
        <v>7500</v>
      </c>
      <c r="J1794">
        <v>1</v>
      </c>
      <c r="K1794">
        <v>0</v>
      </c>
      <c r="L1794">
        <v>0</v>
      </c>
      <c r="M1794">
        <v>1</v>
      </c>
      <c r="N1794">
        <f t="shared" si="54"/>
        <v>-2.0615502069636999</v>
      </c>
      <c r="O1794">
        <f t="shared" si="55"/>
        <v>-0.45866329104289905</v>
      </c>
    </row>
    <row r="1795" spans="1:15">
      <c r="A1795">
        <v>10010</v>
      </c>
      <c r="B1795">
        <v>100</v>
      </c>
      <c r="C1795">
        <v>2</v>
      </c>
      <c r="D1795">
        <v>16</v>
      </c>
      <c r="E1795">
        <v>2</v>
      </c>
      <c r="F1795">
        <v>1</v>
      </c>
      <c r="G1795">
        <v>31</v>
      </c>
      <c r="H1795" t="s">
        <v>12</v>
      </c>
      <c r="I1795">
        <v>36957</v>
      </c>
      <c r="J1795">
        <v>1</v>
      </c>
      <c r="K1795">
        <v>1</v>
      </c>
      <c r="L1795">
        <v>1</v>
      </c>
      <c r="M1795">
        <v>0</v>
      </c>
      <c r="N1795">
        <f t="shared" ref="N1795:N1858" si="56">STANDARDIZE(I1795,$Q$1,$R$1)</f>
        <v>-0.69864235582366319</v>
      </c>
      <c r="O1795">
        <f t="shared" ref="O1795:O1858" si="57">SUMPRODUCT(J1795:N1795,$Q$4:$U$4) / SQRT(SUMSQ(J1795:N1795) * SUMSQ($Q$4:$U$4))</f>
        <v>-0.3097798942105322</v>
      </c>
    </row>
    <row r="1796" spans="1:15">
      <c r="A1796">
        <v>10022</v>
      </c>
      <c r="B1796">
        <v>12</v>
      </c>
      <c r="C1796">
        <v>0</v>
      </c>
      <c r="D1796">
        <v>4</v>
      </c>
      <c r="E1796">
        <v>0</v>
      </c>
      <c r="F1796">
        <v>0</v>
      </c>
      <c r="G1796">
        <v>0</v>
      </c>
      <c r="H1796" t="s">
        <v>12</v>
      </c>
      <c r="I1796">
        <v>54466</v>
      </c>
      <c r="J1796">
        <v>1</v>
      </c>
      <c r="K1796">
        <v>1</v>
      </c>
      <c r="L1796">
        <v>1</v>
      </c>
      <c r="M1796">
        <v>0</v>
      </c>
      <c r="N1796">
        <f t="shared" si="56"/>
        <v>0.11145892963007954</v>
      </c>
      <c r="O1796">
        <f t="shared" si="57"/>
        <v>5.3180171575009788E-2</v>
      </c>
    </row>
    <row r="1797" spans="1:15">
      <c r="A1797">
        <v>10031</v>
      </c>
      <c r="B1797">
        <v>20</v>
      </c>
      <c r="C1797">
        <v>2</v>
      </c>
      <c r="D1797">
        <v>23</v>
      </c>
      <c r="E1797">
        <v>3</v>
      </c>
      <c r="F1797">
        <v>1</v>
      </c>
      <c r="G1797">
        <v>4</v>
      </c>
      <c r="H1797" t="s">
        <v>11</v>
      </c>
      <c r="I1797">
        <v>16927</v>
      </c>
      <c r="J1797">
        <v>1</v>
      </c>
      <c r="K1797">
        <v>1</v>
      </c>
      <c r="L1797">
        <v>0</v>
      </c>
      <c r="M1797">
        <v>1</v>
      </c>
      <c r="N1797">
        <f t="shared" si="56"/>
        <v>-1.6253845311414123</v>
      </c>
      <c r="O1797">
        <f t="shared" si="57"/>
        <v>-0.33068339630850169</v>
      </c>
    </row>
    <row r="1798" spans="1:15">
      <c r="A1798">
        <v>10032</v>
      </c>
      <c r="B1798">
        <v>3</v>
      </c>
      <c r="C1798">
        <v>5</v>
      </c>
      <c r="D1798">
        <v>14</v>
      </c>
      <c r="E1798">
        <v>2</v>
      </c>
      <c r="F1798">
        <v>12</v>
      </c>
      <c r="G1798">
        <v>17</v>
      </c>
      <c r="H1798" t="s">
        <v>12</v>
      </c>
      <c r="I1798">
        <v>12571</v>
      </c>
      <c r="J1798">
        <v>1</v>
      </c>
      <c r="K1798">
        <v>0</v>
      </c>
      <c r="L1798">
        <v>1</v>
      </c>
      <c r="M1798">
        <v>0</v>
      </c>
      <c r="N1798">
        <f t="shared" si="56"/>
        <v>-1.8269266637267401</v>
      </c>
      <c r="O1798">
        <f t="shared" si="57"/>
        <v>-0.65484492955494245</v>
      </c>
    </row>
    <row r="1799" spans="1:15">
      <c r="A1799">
        <v>10057</v>
      </c>
      <c r="B1799">
        <v>503</v>
      </c>
      <c r="C1799">
        <v>27</v>
      </c>
      <c r="D1799">
        <v>419</v>
      </c>
      <c r="E1799">
        <v>90</v>
      </c>
      <c r="F1799">
        <v>139</v>
      </c>
      <c r="G1799">
        <v>153</v>
      </c>
      <c r="H1799" t="s">
        <v>12</v>
      </c>
      <c r="I1799">
        <v>72282</v>
      </c>
      <c r="J1799">
        <v>0</v>
      </c>
      <c r="K1799">
        <v>0</v>
      </c>
      <c r="L1799">
        <v>1</v>
      </c>
      <c r="M1799">
        <v>0</v>
      </c>
      <c r="N1799">
        <f t="shared" si="56"/>
        <v>0.93576440119578186</v>
      </c>
      <c r="O1799">
        <f t="shared" si="57"/>
        <v>0.56582598543822216</v>
      </c>
    </row>
    <row r="1800" spans="1:15">
      <c r="A1800">
        <v>10061</v>
      </c>
      <c r="B1800">
        <v>724</v>
      </c>
      <c r="C1800">
        <v>17</v>
      </c>
      <c r="D1800">
        <v>143</v>
      </c>
      <c r="E1800">
        <v>0</v>
      </c>
      <c r="F1800">
        <v>8</v>
      </c>
      <c r="G1800">
        <v>196</v>
      </c>
      <c r="H1800" t="s">
        <v>11</v>
      </c>
      <c r="I1800">
        <v>59462</v>
      </c>
      <c r="J1800">
        <v>0</v>
      </c>
      <c r="K1800">
        <v>1</v>
      </c>
      <c r="L1800">
        <v>0</v>
      </c>
      <c r="M1800">
        <v>1</v>
      </c>
      <c r="N1800">
        <f t="shared" si="56"/>
        <v>0.3426123948266584</v>
      </c>
      <c r="O1800">
        <f t="shared" si="57"/>
        <v>0.58020929497284435</v>
      </c>
    </row>
    <row r="1801" spans="1:15">
      <c r="A1801">
        <v>10067</v>
      </c>
      <c r="B1801">
        <v>4</v>
      </c>
      <c r="C1801">
        <v>0</v>
      </c>
      <c r="D1801">
        <v>4</v>
      </c>
      <c r="E1801">
        <v>0</v>
      </c>
      <c r="F1801">
        <v>0</v>
      </c>
      <c r="G1801">
        <v>5</v>
      </c>
      <c r="H1801" t="s">
        <v>11</v>
      </c>
      <c r="I1801">
        <v>25176</v>
      </c>
      <c r="J1801">
        <v>1</v>
      </c>
      <c r="K1801">
        <v>1</v>
      </c>
      <c r="L1801">
        <v>0</v>
      </c>
      <c r="M1801">
        <v>1</v>
      </c>
      <c r="N1801">
        <f t="shared" si="56"/>
        <v>-1.2437222144067088</v>
      </c>
      <c r="O1801">
        <f t="shared" si="57"/>
        <v>-0.22013359884499342</v>
      </c>
    </row>
    <row r="1802" spans="1:15">
      <c r="A1802">
        <v>10069</v>
      </c>
      <c r="B1802">
        <v>2</v>
      </c>
      <c r="C1802">
        <v>7</v>
      </c>
      <c r="D1802">
        <v>5</v>
      </c>
      <c r="E1802">
        <v>2</v>
      </c>
      <c r="F1802">
        <v>15</v>
      </c>
      <c r="G1802">
        <v>27</v>
      </c>
      <c r="H1802" t="s">
        <v>11</v>
      </c>
      <c r="I1802">
        <v>13724</v>
      </c>
      <c r="J1802">
        <v>1</v>
      </c>
      <c r="K1802">
        <v>0</v>
      </c>
      <c r="L1802">
        <v>0</v>
      </c>
      <c r="M1802">
        <v>1</v>
      </c>
      <c r="N1802">
        <f t="shared" si="56"/>
        <v>-1.773579997319283</v>
      </c>
      <c r="O1802">
        <f t="shared" si="57"/>
        <v>-0.40036511292942684</v>
      </c>
    </row>
    <row r="1803" spans="1:15">
      <c r="A1803">
        <v>10084</v>
      </c>
      <c r="B1803">
        <v>3</v>
      </c>
      <c r="C1803">
        <v>2</v>
      </c>
      <c r="D1803">
        <v>8</v>
      </c>
      <c r="E1803">
        <v>20</v>
      </c>
      <c r="F1803">
        <v>0</v>
      </c>
      <c r="G1803">
        <v>17</v>
      </c>
      <c r="H1803" t="s">
        <v>11</v>
      </c>
      <c r="I1803">
        <v>24434</v>
      </c>
      <c r="J1803">
        <v>2</v>
      </c>
      <c r="K1803">
        <v>0</v>
      </c>
      <c r="L1803">
        <v>0</v>
      </c>
      <c r="M1803">
        <v>1</v>
      </c>
      <c r="N1803">
        <f t="shared" si="56"/>
        <v>-1.2780528531528779</v>
      </c>
      <c r="O1803">
        <f t="shared" si="57"/>
        <v>-0.19329055860165184</v>
      </c>
    </row>
    <row r="1804" spans="1:15">
      <c r="A1804">
        <v>10089</v>
      </c>
      <c r="B1804">
        <v>168</v>
      </c>
      <c r="C1804">
        <v>148</v>
      </c>
      <c r="D1804">
        <v>444</v>
      </c>
      <c r="E1804">
        <v>32</v>
      </c>
      <c r="F1804">
        <v>172</v>
      </c>
      <c r="G1804">
        <v>148</v>
      </c>
      <c r="H1804" t="s">
        <v>12</v>
      </c>
      <c r="I1804">
        <v>102692</v>
      </c>
      <c r="J1804">
        <v>0</v>
      </c>
      <c r="K1804">
        <v>0</v>
      </c>
      <c r="L1804">
        <v>1</v>
      </c>
      <c r="M1804">
        <v>0</v>
      </c>
      <c r="N1804">
        <f t="shared" si="56"/>
        <v>2.3427653773022596</v>
      </c>
      <c r="O1804">
        <f t="shared" si="57"/>
        <v>0.76163664705070944</v>
      </c>
    </row>
    <row r="1805" spans="1:15">
      <c r="A1805">
        <v>10091</v>
      </c>
      <c r="B1805">
        <v>520</v>
      </c>
      <c r="C1805">
        <v>20</v>
      </c>
      <c r="D1805">
        <v>367</v>
      </c>
      <c r="E1805">
        <v>39</v>
      </c>
      <c r="F1805">
        <v>81</v>
      </c>
      <c r="G1805">
        <v>40</v>
      </c>
      <c r="H1805" t="s">
        <v>12</v>
      </c>
      <c r="I1805">
        <v>60230</v>
      </c>
      <c r="J1805">
        <v>0</v>
      </c>
      <c r="K1805">
        <v>1</v>
      </c>
      <c r="L1805">
        <v>1</v>
      </c>
      <c r="M1805">
        <v>0</v>
      </c>
      <c r="N1805">
        <f t="shared" si="56"/>
        <v>0.37814599396015969</v>
      </c>
      <c r="O1805">
        <f t="shared" si="57"/>
        <v>0.21391529443825993</v>
      </c>
    </row>
    <row r="1806" spans="1:15">
      <c r="A1806">
        <v>10092</v>
      </c>
      <c r="B1806">
        <v>1073</v>
      </c>
      <c r="C1806">
        <v>0</v>
      </c>
      <c r="D1806">
        <v>250</v>
      </c>
      <c r="E1806">
        <v>153</v>
      </c>
      <c r="F1806">
        <v>14</v>
      </c>
      <c r="G1806">
        <v>14</v>
      </c>
      <c r="H1806" t="s">
        <v>12</v>
      </c>
      <c r="I1806">
        <v>70044</v>
      </c>
      <c r="J1806">
        <v>0</v>
      </c>
      <c r="K1806">
        <v>1</v>
      </c>
      <c r="L1806">
        <v>1</v>
      </c>
      <c r="M1806">
        <v>0</v>
      </c>
      <c r="N1806">
        <f t="shared" si="56"/>
        <v>0.83221727247081312</v>
      </c>
      <c r="O1806">
        <f t="shared" si="57"/>
        <v>0.41999567376198416</v>
      </c>
    </row>
    <row r="1807" spans="1:15">
      <c r="A1807">
        <v>10095</v>
      </c>
      <c r="B1807">
        <v>1001</v>
      </c>
      <c r="C1807">
        <v>12</v>
      </c>
      <c r="D1807">
        <v>240</v>
      </c>
      <c r="E1807">
        <v>16</v>
      </c>
      <c r="F1807">
        <v>12</v>
      </c>
      <c r="G1807">
        <v>12</v>
      </c>
      <c r="H1807" t="s">
        <v>12</v>
      </c>
      <c r="I1807">
        <v>74165</v>
      </c>
      <c r="J1807">
        <v>0</v>
      </c>
      <c r="K1807">
        <v>0</v>
      </c>
      <c r="L1807">
        <v>1</v>
      </c>
      <c r="M1807">
        <v>0</v>
      </c>
      <c r="N1807">
        <f t="shared" si="56"/>
        <v>1.0228864938629472</v>
      </c>
      <c r="O1807">
        <f t="shared" si="57"/>
        <v>0.59215579540582064</v>
      </c>
    </row>
    <row r="1808" spans="1:15">
      <c r="A1808">
        <v>10099</v>
      </c>
      <c r="B1808">
        <v>238</v>
      </c>
      <c r="C1808">
        <v>115</v>
      </c>
      <c r="D1808">
        <v>215</v>
      </c>
      <c r="E1808">
        <v>169</v>
      </c>
      <c r="F1808">
        <v>69</v>
      </c>
      <c r="G1808">
        <v>76</v>
      </c>
      <c r="H1808" t="s">
        <v>11</v>
      </c>
      <c r="I1808">
        <v>55434</v>
      </c>
      <c r="J1808">
        <v>1</v>
      </c>
      <c r="K1808">
        <v>0</v>
      </c>
      <c r="L1808">
        <v>0</v>
      </c>
      <c r="M1808">
        <v>1</v>
      </c>
      <c r="N1808">
        <f t="shared" si="56"/>
        <v>0.15624607020459683</v>
      </c>
      <c r="O1808">
        <f t="shared" si="57"/>
        <v>0.484912419448571</v>
      </c>
    </row>
    <row r="1809" spans="1:15">
      <c r="A1809">
        <v>10102</v>
      </c>
      <c r="B1809">
        <v>395</v>
      </c>
      <c r="C1809">
        <v>183</v>
      </c>
      <c r="D1809">
        <v>565</v>
      </c>
      <c r="E1809">
        <v>166</v>
      </c>
      <c r="F1809">
        <v>141</v>
      </c>
      <c r="G1809">
        <v>28</v>
      </c>
      <c r="H1809" t="s">
        <v>12</v>
      </c>
      <c r="I1809">
        <v>79946</v>
      </c>
      <c r="J1809">
        <v>0</v>
      </c>
      <c r="K1809">
        <v>0</v>
      </c>
      <c r="L1809">
        <v>1</v>
      </c>
      <c r="M1809">
        <v>0</v>
      </c>
      <c r="N1809">
        <f t="shared" si="56"/>
        <v>1.2903601092155137</v>
      </c>
      <c r="O1809">
        <f t="shared" si="57"/>
        <v>0.65456501859025884</v>
      </c>
    </row>
    <row r="1810" spans="1:15">
      <c r="A1810">
        <v>10104</v>
      </c>
      <c r="B1810">
        <v>4</v>
      </c>
      <c r="C1810">
        <v>0</v>
      </c>
      <c r="D1810">
        <v>2</v>
      </c>
      <c r="E1810">
        <v>0</v>
      </c>
      <c r="F1810">
        <v>0</v>
      </c>
      <c r="G1810">
        <v>2</v>
      </c>
      <c r="H1810" t="s">
        <v>11</v>
      </c>
      <c r="I1810">
        <v>33590</v>
      </c>
      <c r="J1810">
        <v>2</v>
      </c>
      <c r="K1810">
        <v>1</v>
      </c>
      <c r="L1810">
        <v>0</v>
      </c>
      <c r="M1810">
        <v>1</v>
      </c>
      <c r="N1810">
        <f t="shared" si="56"/>
        <v>-0.85442572598316702</v>
      </c>
      <c r="O1810">
        <f t="shared" si="57"/>
        <v>-5.6669662251325359E-2</v>
      </c>
    </row>
    <row r="1811" spans="1:15">
      <c r="A1811">
        <v>10127</v>
      </c>
      <c r="B1811">
        <v>301</v>
      </c>
      <c r="C1811">
        <v>11</v>
      </c>
      <c r="D1811">
        <v>61</v>
      </c>
      <c r="E1811">
        <v>4</v>
      </c>
      <c r="F1811">
        <v>7</v>
      </c>
      <c r="G1811">
        <v>11</v>
      </c>
      <c r="H1811" t="s">
        <v>11</v>
      </c>
      <c r="I1811">
        <v>58692</v>
      </c>
      <c r="J1811">
        <v>0</v>
      </c>
      <c r="K1811">
        <v>1</v>
      </c>
      <c r="L1811">
        <v>0</v>
      </c>
      <c r="M1811">
        <v>1</v>
      </c>
      <c r="N1811">
        <f t="shared" si="56"/>
        <v>0.30698626027874693</v>
      </c>
      <c r="O1811">
        <f t="shared" si="57"/>
        <v>0.56301956482494786</v>
      </c>
    </row>
    <row r="1812" spans="1:15">
      <c r="A1812">
        <v>10129</v>
      </c>
      <c r="B1812">
        <v>482</v>
      </c>
      <c r="C1812">
        <v>147</v>
      </c>
      <c r="D1812">
        <v>509</v>
      </c>
      <c r="E1812">
        <v>104</v>
      </c>
      <c r="F1812">
        <v>107</v>
      </c>
      <c r="G1812">
        <v>107</v>
      </c>
      <c r="H1812" t="s">
        <v>11</v>
      </c>
      <c r="I1812">
        <v>82427</v>
      </c>
      <c r="J1812">
        <v>0</v>
      </c>
      <c r="K1812">
        <v>0</v>
      </c>
      <c r="L1812">
        <v>0</v>
      </c>
      <c r="M1812">
        <v>1</v>
      </c>
      <c r="N1812">
        <f t="shared" si="56"/>
        <v>1.4051502907913167</v>
      </c>
      <c r="O1812">
        <f t="shared" si="57"/>
        <v>0.99972479233154743</v>
      </c>
    </row>
    <row r="1813" spans="1:15">
      <c r="A1813">
        <v>10133</v>
      </c>
      <c r="B1813">
        <v>1302</v>
      </c>
      <c r="C1813">
        <v>68</v>
      </c>
      <c r="D1813">
        <v>731</v>
      </c>
      <c r="E1813">
        <v>89</v>
      </c>
      <c r="F1813">
        <v>114</v>
      </c>
      <c r="G1813">
        <v>45</v>
      </c>
      <c r="H1813" t="s">
        <v>12</v>
      </c>
      <c r="I1813">
        <v>93790</v>
      </c>
      <c r="J1813">
        <v>0</v>
      </c>
      <c r="K1813">
        <v>0</v>
      </c>
      <c r="L1813">
        <v>1</v>
      </c>
      <c r="M1813">
        <v>0</v>
      </c>
      <c r="N1813">
        <f t="shared" si="56"/>
        <v>1.9308902477626388</v>
      </c>
      <c r="O1813">
        <f t="shared" si="57"/>
        <v>0.7353535973337445</v>
      </c>
    </row>
    <row r="1814" spans="1:15">
      <c r="A1814">
        <v>10140</v>
      </c>
      <c r="B1814">
        <v>1308</v>
      </c>
      <c r="C1814">
        <v>0</v>
      </c>
      <c r="D1814">
        <v>396</v>
      </c>
      <c r="E1814">
        <v>23</v>
      </c>
      <c r="F1814">
        <v>0</v>
      </c>
      <c r="G1814">
        <v>0</v>
      </c>
      <c r="H1814" t="s">
        <v>11</v>
      </c>
      <c r="I1814">
        <v>70123</v>
      </c>
      <c r="J1814">
        <v>0</v>
      </c>
      <c r="K1814">
        <v>0</v>
      </c>
      <c r="L1814">
        <v>0</v>
      </c>
      <c r="M1814">
        <v>1</v>
      </c>
      <c r="N1814">
        <f t="shared" si="56"/>
        <v>0.83587242134001449</v>
      </c>
      <c r="O1814">
        <f t="shared" si="57"/>
        <v>0.96119096898093193</v>
      </c>
    </row>
    <row r="1815" spans="1:15">
      <c r="A1815">
        <v>10141</v>
      </c>
      <c r="B1815">
        <v>7</v>
      </c>
      <c r="C1815">
        <v>1</v>
      </c>
      <c r="D1815">
        <v>6</v>
      </c>
      <c r="E1815">
        <v>0</v>
      </c>
      <c r="F1815">
        <v>3</v>
      </c>
      <c r="G1815">
        <v>3</v>
      </c>
      <c r="H1815" t="s">
        <v>12</v>
      </c>
      <c r="I1815">
        <v>39228</v>
      </c>
      <c r="J1815">
        <v>0</v>
      </c>
      <c r="K1815">
        <v>0</v>
      </c>
      <c r="L1815">
        <v>1</v>
      </c>
      <c r="M1815">
        <v>0</v>
      </c>
      <c r="N1815">
        <f t="shared" si="56"/>
        <v>-0.59356839276092699</v>
      </c>
      <c r="O1815">
        <f t="shared" si="57"/>
        <v>-0.42269132003868898</v>
      </c>
    </row>
    <row r="1816" spans="1:15">
      <c r="A1816">
        <v>10142</v>
      </c>
      <c r="B1816">
        <v>372</v>
      </c>
      <c r="C1816">
        <v>18</v>
      </c>
      <c r="D1816">
        <v>126</v>
      </c>
      <c r="E1816">
        <v>47</v>
      </c>
      <c r="F1816">
        <v>48</v>
      </c>
      <c r="G1816">
        <v>78</v>
      </c>
      <c r="H1816" t="s">
        <v>12</v>
      </c>
      <c r="I1816">
        <v>66476</v>
      </c>
      <c r="J1816">
        <v>0</v>
      </c>
      <c r="K1816">
        <v>1</v>
      </c>
      <c r="L1816">
        <v>1</v>
      </c>
      <c r="M1816">
        <v>0</v>
      </c>
      <c r="N1816">
        <f t="shared" si="56"/>
        <v>0.66713409316308836</v>
      </c>
      <c r="O1816">
        <f t="shared" si="57"/>
        <v>0.3533137372664838</v>
      </c>
    </row>
    <row r="1817" spans="1:15">
      <c r="A1817">
        <v>10146</v>
      </c>
      <c r="B1817">
        <v>25</v>
      </c>
      <c r="C1817">
        <v>1</v>
      </c>
      <c r="D1817">
        <v>13</v>
      </c>
      <c r="E1817">
        <v>0</v>
      </c>
      <c r="F1817">
        <v>0</v>
      </c>
      <c r="G1817">
        <v>3</v>
      </c>
      <c r="H1817" t="s">
        <v>11</v>
      </c>
      <c r="I1817">
        <v>38887</v>
      </c>
      <c r="J1817">
        <v>1</v>
      </c>
      <c r="K1817">
        <v>0</v>
      </c>
      <c r="L1817">
        <v>0</v>
      </c>
      <c r="M1817">
        <v>1</v>
      </c>
      <c r="N1817">
        <f t="shared" si="56"/>
        <v>-0.60934568091785912</v>
      </c>
      <c r="O1817">
        <f t="shared" si="57"/>
        <v>3.6327734447956714E-2</v>
      </c>
    </row>
    <row r="1818" spans="1:15">
      <c r="A1818">
        <v>10150</v>
      </c>
      <c r="B1818">
        <v>464</v>
      </c>
      <c r="C1818">
        <v>28</v>
      </c>
      <c r="D1818">
        <v>873</v>
      </c>
      <c r="E1818">
        <v>29</v>
      </c>
      <c r="F1818">
        <v>18</v>
      </c>
      <c r="G1818">
        <v>37</v>
      </c>
      <c r="H1818" t="s">
        <v>12</v>
      </c>
      <c r="I1818">
        <v>86429</v>
      </c>
      <c r="J1818">
        <v>0</v>
      </c>
      <c r="K1818">
        <v>0</v>
      </c>
      <c r="L1818">
        <v>1</v>
      </c>
      <c r="M1818">
        <v>0</v>
      </c>
      <c r="N1818">
        <f t="shared" si="56"/>
        <v>1.5903136550260462</v>
      </c>
      <c r="O1818">
        <f t="shared" si="57"/>
        <v>0.70104162979651596</v>
      </c>
    </row>
    <row r="1819" spans="1:15">
      <c r="A1819">
        <v>10151</v>
      </c>
      <c r="B1819">
        <v>317</v>
      </c>
      <c r="C1819">
        <v>46</v>
      </c>
      <c r="D1819">
        <v>247</v>
      </c>
      <c r="E1819">
        <v>151</v>
      </c>
      <c r="F1819">
        <v>46</v>
      </c>
      <c r="G1819">
        <v>139</v>
      </c>
      <c r="H1819" t="s">
        <v>12</v>
      </c>
      <c r="I1819">
        <v>62204</v>
      </c>
      <c r="J1819">
        <v>0</v>
      </c>
      <c r="K1819">
        <v>2</v>
      </c>
      <c r="L1819">
        <v>1</v>
      </c>
      <c r="M1819">
        <v>0</v>
      </c>
      <c r="N1819">
        <f t="shared" si="56"/>
        <v>0.46947844798298727</v>
      </c>
      <c r="O1819">
        <f t="shared" si="57"/>
        <v>0.17015950102605107</v>
      </c>
    </row>
    <row r="1820" spans="1:15">
      <c r="A1820">
        <v>10156</v>
      </c>
      <c r="B1820">
        <v>215</v>
      </c>
      <c r="C1820">
        <v>63</v>
      </c>
      <c r="D1820">
        <v>507</v>
      </c>
      <c r="E1820">
        <v>231</v>
      </c>
      <c r="F1820">
        <v>31</v>
      </c>
      <c r="G1820">
        <v>190</v>
      </c>
      <c r="H1820" t="s">
        <v>12</v>
      </c>
      <c r="I1820">
        <v>84196</v>
      </c>
      <c r="J1820">
        <v>0</v>
      </c>
      <c r="K1820">
        <v>1</v>
      </c>
      <c r="L1820">
        <v>1</v>
      </c>
      <c r="M1820">
        <v>0</v>
      </c>
      <c r="N1820">
        <f t="shared" si="56"/>
        <v>1.4869978648371029</v>
      </c>
      <c r="O1820">
        <f t="shared" si="57"/>
        <v>0.60007037597618207</v>
      </c>
    </row>
    <row r="1821" spans="1:15">
      <c r="A1821">
        <v>10157</v>
      </c>
      <c r="B1821">
        <v>89</v>
      </c>
      <c r="C1821">
        <v>15</v>
      </c>
      <c r="D1821">
        <v>89</v>
      </c>
      <c r="E1821">
        <v>34</v>
      </c>
      <c r="F1821">
        <v>42</v>
      </c>
      <c r="G1821">
        <v>5</v>
      </c>
      <c r="H1821" t="s">
        <v>12</v>
      </c>
      <c r="I1821">
        <v>59686</v>
      </c>
      <c r="J1821">
        <v>0</v>
      </c>
      <c r="K1821">
        <v>1</v>
      </c>
      <c r="L1821">
        <v>1</v>
      </c>
      <c r="M1821">
        <v>0</v>
      </c>
      <c r="N1821">
        <f t="shared" si="56"/>
        <v>0.35297636124059628</v>
      </c>
      <c r="O1821">
        <f t="shared" si="57"/>
        <v>0.20053984232822289</v>
      </c>
    </row>
    <row r="1822" spans="1:15">
      <c r="A1822">
        <v>10159</v>
      </c>
      <c r="B1822">
        <v>440</v>
      </c>
      <c r="C1822">
        <v>81</v>
      </c>
      <c r="D1822">
        <v>368</v>
      </c>
      <c r="E1822">
        <v>0</v>
      </c>
      <c r="F1822">
        <v>122</v>
      </c>
      <c r="G1822">
        <v>174</v>
      </c>
      <c r="H1822" t="s">
        <v>12</v>
      </c>
      <c r="I1822">
        <v>58710</v>
      </c>
      <c r="J1822">
        <v>0</v>
      </c>
      <c r="K1822">
        <v>1</v>
      </c>
      <c r="L1822">
        <v>1</v>
      </c>
      <c r="M1822">
        <v>0</v>
      </c>
      <c r="N1822">
        <f t="shared" si="56"/>
        <v>0.30781907900843836</v>
      </c>
      <c r="O1822">
        <f t="shared" si="57"/>
        <v>0.17612540997926865</v>
      </c>
    </row>
    <row r="1823" spans="1:15">
      <c r="A1823">
        <v>10163</v>
      </c>
      <c r="B1823">
        <v>712</v>
      </c>
      <c r="C1823">
        <v>50</v>
      </c>
      <c r="D1823">
        <v>420</v>
      </c>
      <c r="E1823">
        <v>65</v>
      </c>
      <c r="F1823">
        <v>38</v>
      </c>
      <c r="G1823">
        <v>38</v>
      </c>
      <c r="H1823" t="s">
        <v>12</v>
      </c>
      <c r="I1823">
        <v>82733</v>
      </c>
      <c r="J1823">
        <v>0</v>
      </c>
      <c r="K1823">
        <v>0</v>
      </c>
      <c r="L1823">
        <v>1</v>
      </c>
      <c r="M1823">
        <v>0</v>
      </c>
      <c r="N1823">
        <f t="shared" si="56"/>
        <v>1.4193082091960711</v>
      </c>
      <c r="O1823">
        <f t="shared" si="57"/>
        <v>0.67696551485682299</v>
      </c>
    </row>
    <row r="1824" spans="1:15">
      <c r="A1824">
        <v>10164</v>
      </c>
      <c r="B1824">
        <v>1017</v>
      </c>
      <c r="C1824">
        <v>33</v>
      </c>
      <c r="D1824">
        <v>417</v>
      </c>
      <c r="E1824">
        <v>108</v>
      </c>
      <c r="F1824">
        <v>100</v>
      </c>
      <c r="G1824">
        <v>16</v>
      </c>
      <c r="H1824" t="s">
        <v>12</v>
      </c>
      <c r="I1824">
        <v>94472</v>
      </c>
      <c r="J1824">
        <v>0</v>
      </c>
      <c r="K1824">
        <v>1</v>
      </c>
      <c r="L1824">
        <v>1</v>
      </c>
      <c r="M1824">
        <v>0</v>
      </c>
      <c r="N1824">
        <f t="shared" si="56"/>
        <v>1.9624448240765033</v>
      </c>
      <c r="O1824">
        <f t="shared" si="57"/>
        <v>0.67184364945763575</v>
      </c>
    </row>
    <row r="1825" spans="1:15">
      <c r="A1825">
        <v>10175</v>
      </c>
      <c r="B1825">
        <v>18</v>
      </c>
      <c r="C1825">
        <v>0</v>
      </c>
      <c r="D1825">
        <v>2</v>
      </c>
      <c r="E1825">
        <v>0</v>
      </c>
      <c r="F1825">
        <v>0</v>
      </c>
      <c r="G1825">
        <v>2</v>
      </c>
      <c r="H1825" t="s">
        <v>12</v>
      </c>
      <c r="I1825">
        <v>32173</v>
      </c>
      <c r="J1825">
        <v>0</v>
      </c>
      <c r="K1825">
        <v>1</v>
      </c>
      <c r="L1825">
        <v>1</v>
      </c>
      <c r="M1825">
        <v>0</v>
      </c>
      <c r="N1825">
        <f t="shared" si="56"/>
        <v>-0.91998706709276512</v>
      </c>
      <c r="O1825">
        <f t="shared" si="57"/>
        <v>-0.4515734733848748</v>
      </c>
    </row>
    <row r="1826" spans="1:15">
      <c r="A1826">
        <v>10176</v>
      </c>
      <c r="B1826">
        <v>159</v>
      </c>
      <c r="C1826">
        <v>0</v>
      </c>
      <c r="D1826">
        <v>120</v>
      </c>
      <c r="E1826">
        <v>0</v>
      </c>
      <c r="F1826">
        <v>0</v>
      </c>
      <c r="G1826">
        <v>137</v>
      </c>
      <c r="H1826" t="s">
        <v>12</v>
      </c>
      <c r="I1826">
        <v>57107</v>
      </c>
      <c r="J1826">
        <v>0</v>
      </c>
      <c r="K1826">
        <v>1</v>
      </c>
      <c r="L1826">
        <v>1</v>
      </c>
      <c r="M1826">
        <v>0</v>
      </c>
      <c r="N1826">
        <f t="shared" si="56"/>
        <v>0.23365194435869538</v>
      </c>
      <c r="O1826">
        <f t="shared" si="57"/>
        <v>0.1349892931016331</v>
      </c>
    </row>
    <row r="1827" spans="1:15">
      <c r="A1827">
        <v>10196</v>
      </c>
      <c r="B1827">
        <v>212</v>
      </c>
      <c r="C1827">
        <v>123</v>
      </c>
      <c r="D1827">
        <v>177</v>
      </c>
      <c r="E1827">
        <v>15</v>
      </c>
      <c r="F1827">
        <v>64</v>
      </c>
      <c r="G1827">
        <v>23</v>
      </c>
      <c r="H1827" t="s">
        <v>11</v>
      </c>
      <c r="I1827">
        <v>71427</v>
      </c>
      <c r="J1827">
        <v>2</v>
      </c>
      <c r="K1827">
        <v>0</v>
      </c>
      <c r="L1827">
        <v>0</v>
      </c>
      <c r="M1827">
        <v>1</v>
      </c>
      <c r="N1827">
        <f t="shared" si="56"/>
        <v>0.89620551153543859</v>
      </c>
      <c r="O1827">
        <f t="shared" si="57"/>
        <v>0.54077537895814598</v>
      </c>
    </row>
    <row r="1828" spans="1:15">
      <c r="A1828">
        <v>10203</v>
      </c>
      <c r="B1828">
        <v>11</v>
      </c>
      <c r="C1828">
        <v>7</v>
      </c>
      <c r="D1828">
        <v>9</v>
      </c>
      <c r="E1828">
        <v>3</v>
      </c>
      <c r="F1828">
        <v>1</v>
      </c>
      <c r="G1828">
        <v>11</v>
      </c>
      <c r="H1828" t="s">
        <v>12</v>
      </c>
      <c r="I1828">
        <v>26095</v>
      </c>
      <c r="J1828">
        <v>1</v>
      </c>
      <c r="K1828">
        <v>0</v>
      </c>
      <c r="L1828">
        <v>1</v>
      </c>
      <c r="M1828">
        <v>0</v>
      </c>
      <c r="N1828">
        <f t="shared" si="56"/>
        <v>-1.2012021914852404</v>
      </c>
      <c r="O1828">
        <f t="shared" si="57"/>
        <v>-0.53610221331842045</v>
      </c>
    </row>
    <row r="1829" spans="1:15">
      <c r="A1829">
        <v>10219</v>
      </c>
      <c r="B1829">
        <v>6</v>
      </c>
      <c r="C1829">
        <v>2</v>
      </c>
      <c r="D1829">
        <v>15</v>
      </c>
      <c r="E1829">
        <v>6</v>
      </c>
      <c r="F1829">
        <v>6</v>
      </c>
      <c r="G1829">
        <v>3</v>
      </c>
      <c r="H1829" t="s">
        <v>11</v>
      </c>
      <c r="I1829">
        <v>31590</v>
      </c>
      <c r="J1829">
        <v>1</v>
      </c>
      <c r="K1829">
        <v>0</v>
      </c>
      <c r="L1829">
        <v>0</v>
      </c>
      <c r="M1829">
        <v>1</v>
      </c>
      <c r="N1829">
        <f t="shared" si="56"/>
        <v>-0.94696114039332668</v>
      </c>
      <c r="O1829">
        <f t="shared" si="57"/>
        <v>-0.13140263919158895</v>
      </c>
    </row>
    <row r="1830" spans="1:15">
      <c r="A1830">
        <v>10232</v>
      </c>
      <c r="B1830">
        <v>174</v>
      </c>
      <c r="C1830">
        <v>18</v>
      </c>
      <c r="D1830">
        <v>81</v>
      </c>
      <c r="E1830">
        <v>28</v>
      </c>
      <c r="F1830">
        <v>6</v>
      </c>
      <c r="G1830">
        <v>24</v>
      </c>
      <c r="H1830" t="s">
        <v>12</v>
      </c>
      <c r="I1830">
        <v>48799</v>
      </c>
      <c r="J1830">
        <v>0</v>
      </c>
      <c r="K1830">
        <v>1</v>
      </c>
      <c r="L1830">
        <v>1</v>
      </c>
      <c r="M1830">
        <v>0</v>
      </c>
      <c r="N1830">
        <f t="shared" si="56"/>
        <v>-0.15074016710110788</v>
      </c>
      <c r="O1830">
        <f t="shared" si="57"/>
        <v>-8.7771532108387021E-2</v>
      </c>
    </row>
    <row r="1831" spans="1:15">
      <c r="A1831">
        <v>10236</v>
      </c>
      <c r="B1831">
        <v>16</v>
      </c>
      <c r="C1831">
        <v>3</v>
      </c>
      <c r="D1831">
        <v>25</v>
      </c>
      <c r="E1831">
        <v>6</v>
      </c>
      <c r="F1831">
        <v>1</v>
      </c>
      <c r="G1831">
        <v>13</v>
      </c>
      <c r="H1831" t="s">
        <v>12</v>
      </c>
      <c r="I1831">
        <v>31160</v>
      </c>
      <c r="J1831">
        <v>1</v>
      </c>
      <c r="K1831">
        <v>0</v>
      </c>
      <c r="L1831">
        <v>1</v>
      </c>
      <c r="M1831">
        <v>0</v>
      </c>
      <c r="N1831">
        <f t="shared" si="56"/>
        <v>-0.96685625449151102</v>
      </c>
      <c r="O1831">
        <f t="shared" si="57"/>
        <v>-0.46737415267336452</v>
      </c>
    </row>
    <row r="1832" spans="1:15">
      <c r="A1832">
        <v>10240</v>
      </c>
      <c r="B1832">
        <v>997</v>
      </c>
      <c r="C1832">
        <v>26</v>
      </c>
      <c r="D1832">
        <v>269</v>
      </c>
      <c r="E1832">
        <v>34</v>
      </c>
      <c r="F1832">
        <v>13</v>
      </c>
      <c r="G1832">
        <v>42</v>
      </c>
      <c r="H1832" t="s">
        <v>11</v>
      </c>
      <c r="I1832">
        <v>69372</v>
      </c>
      <c r="J1832">
        <v>0</v>
      </c>
      <c r="K1832">
        <v>0</v>
      </c>
      <c r="L1832">
        <v>0</v>
      </c>
      <c r="M1832">
        <v>1</v>
      </c>
      <c r="N1832">
        <f t="shared" si="56"/>
        <v>0.80112537322899946</v>
      </c>
      <c r="O1832">
        <f t="shared" si="57"/>
        <v>0.95524267974314037</v>
      </c>
    </row>
    <row r="1833" spans="1:15">
      <c r="A1833">
        <v>10241</v>
      </c>
      <c r="B1833">
        <v>0</v>
      </c>
      <c r="C1833">
        <v>0</v>
      </c>
      <c r="D1833">
        <v>0</v>
      </c>
      <c r="E1833">
        <v>6</v>
      </c>
      <c r="F1833">
        <v>2</v>
      </c>
      <c r="G1833">
        <v>6</v>
      </c>
      <c r="H1833" t="s">
        <v>12</v>
      </c>
      <c r="I1833">
        <v>11448</v>
      </c>
      <c r="J1833">
        <v>0</v>
      </c>
      <c r="K1833">
        <v>0</v>
      </c>
      <c r="L1833">
        <v>1</v>
      </c>
      <c r="M1833">
        <v>0</v>
      </c>
      <c r="N1833">
        <f t="shared" si="56"/>
        <v>-1.8788852989180447</v>
      </c>
      <c r="O1833">
        <f t="shared" si="57"/>
        <v>-0.73102790104136428</v>
      </c>
    </row>
    <row r="1834" spans="1:15">
      <c r="A1834">
        <v>10242</v>
      </c>
      <c r="B1834">
        <v>56</v>
      </c>
      <c r="C1834">
        <v>0</v>
      </c>
      <c r="D1834">
        <v>11</v>
      </c>
      <c r="E1834">
        <v>0</v>
      </c>
      <c r="F1834">
        <v>0</v>
      </c>
      <c r="G1834">
        <v>8</v>
      </c>
      <c r="H1834" t="s">
        <v>11</v>
      </c>
      <c r="I1834">
        <v>47472</v>
      </c>
      <c r="J1834">
        <v>1</v>
      </c>
      <c r="K1834">
        <v>1</v>
      </c>
      <c r="L1834">
        <v>0</v>
      </c>
      <c r="M1834">
        <v>1</v>
      </c>
      <c r="N1834">
        <f t="shared" si="56"/>
        <v>-0.2121374145622488</v>
      </c>
      <c r="O1834">
        <f t="shared" si="57"/>
        <v>0.22056070064010455</v>
      </c>
    </row>
    <row r="1835" spans="1:15">
      <c r="A1835">
        <v>10245</v>
      </c>
      <c r="B1835">
        <v>160</v>
      </c>
      <c r="C1835">
        <v>80</v>
      </c>
      <c r="D1835">
        <v>369</v>
      </c>
      <c r="E1835">
        <v>67</v>
      </c>
      <c r="F1835">
        <v>39</v>
      </c>
      <c r="G1835">
        <v>41</v>
      </c>
      <c r="H1835" t="s">
        <v>12</v>
      </c>
      <c r="I1835">
        <v>80910</v>
      </c>
      <c r="J1835">
        <v>0</v>
      </c>
      <c r="K1835">
        <v>0</v>
      </c>
      <c r="L1835">
        <v>1</v>
      </c>
      <c r="M1835">
        <v>0</v>
      </c>
      <c r="N1835">
        <f t="shared" si="56"/>
        <v>1.3349621789612105</v>
      </c>
      <c r="O1835">
        <f t="shared" si="57"/>
        <v>0.66278637063151025</v>
      </c>
    </row>
    <row r="1836" spans="1:15">
      <c r="A1836">
        <v>10250</v>
      </c>
      <c r="B1836">
        <v>1</v>
      </c>
      <c r="C1836">
        <v>5</v>
      </c>
      <c r="D1836">
        <v>3</v>
      </c>
      <c r="E1836">
        <v>7</v>
      </c>
      <c r="F1836">
        <v>4</v>
      </c>
      <c r="G1836">
        <v>8</v>
      </c>
      <c r="H1836" t="s">
        <v>11</v>
      </c>
      <c r="I1836">
        <v>28389</v>
      </c>
      <c r="J1836">
        <v>0</v>
      </c>
      <c r="K1836">
        <v>0</v>
      </c>
      <c r="L1836">
        <v>0</v>
      </c>
      <c r="M1836">
        <v>1</v>
      </c>
      <c r="N1836">
        <f t="shared" si="56"/>
        <v>-1.0950640711567872</v>
      </c>
      <c r="O1836">
        <f t="shared" si="57"/>
        <v>-0.23351399919486007</v>
      </c>
    </row>
    <row r="1837" spans="1:15">
      <c r="A1837">
        <v>10262</v>
      </c>
      <c r="B1837">
        <v>8</v>
      </c>
      <c r="C1837">
        <v>2</v>
      </c>
      <c r="D1837">
        <v>15</v>
      </c>
      <c r="E1837">
        <v>0</v>
      </c>
      <c r="F1837">
        <v>10</v>
      </c>
      <c r="G1837">
        <v>18</v>
      </c>
      <c r="H1837" t="s">
        <v>11</v>
      </c>
      <c r="I1837">
        <v>15072</v>
      </c>
      <c r="J1837">
        <v>2</v>
      </c>
      <c r="K1837">
        <v>0</v>
      </c>
      <c r="L1837">
        <v>0</v>
      </c>
      <c r="M1837">
        <v>1</v>
      </c>
      <c r="N1837">
        <f t="shared" si="56"/>
        <v>-1.7112111280068354</v>
      </c>
      <c r="O1837">
        <f t="shared" si="57"/>
        <v>-0.3041980912225411</v>
      </c>
    </row>
    <row r="1838" spans="1:15">
      <c r="A1838">
        <v>10270</v>
      </c>
      <c r="B1838">
        <v>11</v>
      </c>
      <c r="C1838">
        <v>5</v>
      </c>
      <c r="D1838">
        <v>22</v>
      </c>
      <c r="E1838">
        <v>12</v>
      </c>
      <c r="F1838">
        <v>5</v>
      </c>
      <c r="G1838">
        <v>11</v>
      </c>
      <c r="H1838" t="s">
        <v>11</v>
      </c>
      <c r="I1838">
        <v>35523</v>
      </c>
      <c r="J1838">
        <v>1</v>
      </c>
      <c r="K1838">
        <v>0</v>
      </c>
      <c r="L1838">
        <v>0</v>
      </c>
      <c r="M1838">
        <v>1</v>
      </c>
      <c r="N1838">
        <f t="shared" si="56"/>
        <v>-0.76499024795574766</v>
      </c>
      <c r="O1838">
        <f t="shared" si="57"/>
        <v>-4.5371554395662893E-2</v>
      </c>
    </row>
    <row r="1839" spans="1:15">
      <c r="A1839">
        <v>10277</v>
      </c>
      <c r="B1839">
        <v>36</v>
      </c>
      <c r="C1839">
        <v>0</v>
      </c>
      <c r="D1839">
        <v>2</v>
      </c>
      <c r="E1839">
        <v>0</v>
      </c>
      <c r="F1839">
        <v>0</v>
      </c>
      <c r="G1839">
        <v>4</v>
      </c>
      <c r="H1839" t="s">
        <v>12</v>
      </c>
      <c r="I1839">
        <v>30081</v>
      </c>
      <c r="J1839">
        <v>0</v>
      </c>
      <c r="K1839">
        <v>1</v>
      </c>
      <c r="L1839">
        <v>1</v>
      </c>
      <c r="M1839">
        <v>0</v>
      </c>
      <c r="N1839">
        <f t="shared" si="56"/>
        <v>-1.0167791105657922</v>
      </c>
      <c r="O1839">
        <f t="shared" si="57"/>
        <v>-0.48341836595630411</v>
      </c>
    </row>
    <row r="1840" spans="1:15">
      <c r="A1840">
        <v>10281</v>
      </c>
      <c r="B1840">
        <v>180</v>
      </c>
      <c r="C1840">
        <v>60</v>
      </c>
      <c r="D1840">
        <v>241</v>
      </c>
      <c r="E1840">
        <v>13</v>
      </c>
      <c r="F1840">
        <v>54</v>
      </c>
      <c r="G1840">
        <v>54</v>
      </c>
      <c r="H1840" t="s">
        <v>12</v>
      </c>
      <c r="I1840">
        <v>64713</v>
      </c>
      <c r="J1840">
        <v>1</v>
      </c>
      <c r="K1840">
        <v>0</v>
      </c>
      <c r="L1840">
        <v>1</v>
      </c>
      <c r="M1840">
        <v>0</v>
      </c>
      <c r="N1840">
        <f t="shared" si="56"/>
        <v>0.58556412536053259</v>
      </c>
      <c r="O1840">
        <f t="shared" si="57"/>
        <v>0.31680482987601222</v>
      </c>
    </row>
    <row r="1841" spans="1:15">
      <c r="A1841">
        <v>10286</v>
      </c>
      <c r="B1841">
        <v>318</v>
      </c>
      <c r="C1841">
        <v>8</v>
      </c>
      <c r="D1841">
        <v>407</v>
      </c>
      <c r="E1841">
        <v>150</v>
      </c>
      <c r="F1841">
        <v>35</v>
      </c>
      <c r="G1841">
        <v>8</v>
      </c>
      <c r="H1841" t="s">
        <v>11</v>
      </c>
      <c r="I1841">
        <v>83715</v>
      </c>
      <c r="J1841">
        <v>0</v>
      </c>
      <c r="K1841">
        <v>0</v>
      </c>
      <c r="L1841">
        <v>0</v>
      </c>
      <c r="M1841">
        <v>1</v>
      </c>
      <c r="N1841">
        <f t="shared" si="56"/>
        <v>1.4647430976714595</v>
      </c>
      <c r="O1841">
        <f t="shared" si="57"/>
        <v>0.9999920893620371</v>
      </c>
    </row>
    <row r="1842" spans="1:15">
      <c r="A1842">
        <v>10299</v>
      </c>
      <c r="B1842">
        <v>389</v>
      </c>
      <c r="C1842">
        <v>91</v>
      </c>
      <c r="D1842">
        <v>248</v>
      </c>
      <c r="E1842">
        <v>64</v>
      </c>
      <c r="F1842">
        <v>49</v>
      </c>
      <c r="G1842">
        <v>41</v>
      </c>
      <c r="H1842" t="s">
        <v>12</v>
      </c>
      <c r="I1842">
        <v>48240</v>
      </c>
      <c r="J1842">
        <v>0</v>
      </c>
      <c r="K1842">
        <v>0</v>
      </c>
      <c r="L1842">
        <v>1</v>
      </c>
      <c r="M1842">
        <v>0</v>
      </c>
      <c r="N1842">
        <f t="shared" si="56"/>
        <v>-0.17660381542874751</v>
      </c>
      <c r="O1842">
        <f t="shared" si="57"/>
        <v>-0.14402033469120257</v>
      </c>
    </row>
    <row r="1843" spans="1:15">
      <c r="A1843">
        <v>10307</v>
      </c>
      <c r="B1843">
        <v>369</v>
      </c>
      <c r="C1843">
        <v>9</v>
      </c>
      <c r="D1843">
        <v>87</v>
      </c>
      <c r="E1843">
        <v>12</v>
      </c>
      <c r="F1843">
        <v>14</v>
      </c>
      <c r="G1843">
        <v>34</v>
      </c>
      <c r="H1843" t="s">
        <v>11</v>
      </c>
      <c r="I1843">
        <v>50387</v>
      </c>
      <c r="J1843">
        <v>0</v>
      </c>
      <c r="K1843">
        <v>2</v>
      </c>
      <c r="L1843">
        <v>0</v>
      </c>
      <c r="M1843">
        <v>1</v>
      </c>
      <c r="N1843">
        <f t="shared" si="56"/>
        <v>-7.7267048059441096E-2</v>
      </c>
      <c r="O1843">
        <f t="shared" si="57"/>
        <v>0.22193848160635563</v>
      </c>
    </row>
    <row r="1844" spans="1:15">
      <c r="A1844">
        <v>10311</v>
      </c>
      <c r="B1844">
        <v>16</v>
      </c>
      <c r="C1844">
        <v>4</v>
      </c>
      <c r="D1844">
        <v>12</v>
      </c>
      <c r="E1844">
        <v>2</v>
      </c>
      <c r="F1844">
        <v>4</v>
      </c>
      <c r="G1844">
        <v>321</v>
      </c>
      <c r="H1844" t="s">
        <v>11</v>
      </c>
      <c r="I1844">
        <v>4428</v>
      </c>
      <c r="J1844">
        <v>0</v>
      </c>
      <c r="K1844">
        <v>1</v>
      </c>
      <c r="L1844">
        <v>0</v>
      </c>
      <c r="M1844">
        <v>1</v>
      </c>
      <c r="N1844">
        <f t="shared" si="56"/>
        <v>-2.2036846034977051</v>
      </c>
      <c r="O1844">
        <f t="shared" si="57"/>
        <v>-0.48286829821621907</v>
      </c>
    </row>
    <row r="1845" spans="1:15">
      <c r="A1845">
        <v>10313</v>
      </c>
      <c r="B1845">
        <v>159</v>
      </c>
      <c r="C1845">
        <v>4</v>
      </c>
      <c r="D1845">
        <v>45</v>
      </c>
      <c r="E1845">
        <v>6</v>
      </c>
      <c r="F1845">
        <v>2</v>
      </c>
      <c r="G1845">
        <v>38</v>
      </c>
      <c r="H1845" t="s">
        <v>11</v>
      </c>
      <c r="I1845">
        <v>48178</v>
      </c>
      <c r="J1845">
        <v>1</v>
      </c>
      <c r="K1845">
        <v>1</v>
      </c>
      <c r="L1845">
        <v>0</v>
      </c>
      <c r="M1845">
        <v>1</v>
      </c>
      <c r="N1845">
        <f t="shared" si="56"/>
        <v>-0.17947241327546246</v>
      </c>
      <c r="O1845">
        <f t="shared" si="57"/>
        <v>0.23655989836739463</v>
      </c>
    </row>
    <row r="1846" spans="1:15">
      <c r="A1846">
        <v>10314</v>
      </c>
      <c r="B1846">
        <v>847</v>
      </c>
      <c r="C1846">
        <v>66</v>
      </c>
      <c r="D1846">
        <v>119</v>
      </c>
      <c r="E1846">
        <v>86</v>
      </c>
      <c r="F1846">
        <v>89</v>
      </c>
      <c r="G1846">
        <v>111</v>
      </c>
      <c r="H1846" t="s">
        <v>11</v>
      </c>
      <c r="I1846">
        <v>83837</v>
      </c>
      <c r="J1846">
        <v>0</v>
      </c>
      <c r="K1846">
        <v>0</v>
      </c>
      <c r="L1846">
        <v>0</v>
      </c>
      <c r="M1846">
        <v>1</v>
      </c>
      <c r="N1846">
        <f t="shared" si="56"/>
        <v>1.4703877579504794</v>
      </c>
      <c r="O1846">
        <f t="shared" si="57"/>
        <v>0.99999760683021732</v>
      </c>
    </row>
    <row r="1847" spans="1:15">
      <c r="A1847">
        <v>10319</v>
      </c>
      <c r="B1847">
        <v>1090</v>
      </c>
      <c r="C1847">
        <v>12</v>
      </c>
      <c r="D1847">
        <v>96</v>
      </c>
      <c r="E1847">
        <v>16</v>
      </c>
      <c r="F1847">
        <v>12</v>
      </c>
      <c r="G1847">
        <v>60</v>
      </c>
      <c r="H1847" t="s">
        <v>11</v>
      </c>
      <c r="I1847">
        <v>66303</v>
      </c>
      <c r="J1847">
        <v>0</v>
      </c>
      <c r="K1847">
        <v>1</v>
      </c>
      <c r="L1847">
        <v>0</v>
      </c>
      <c r="M1847">
        <v>1</v>
      </c>
      <c r="N1847">
        <f t="shared" si="56"/>
        <v>0.65912977981660947</v>
      </c>
      <c r="O1847">
        <f t="shared" si="57"/>
        <v>0.70910027922775032</v>
      </c>
    </row>
    <row r="1848" spans="1:15">
      <c r="A1848">
        <v>10323</v>
      </c>
      <c r="B1848">
        <v>205</v>
      </c>
      <c r="C1848">
        <v>7</v>
      </c>
      <c r="D1848">
        <v>41</v>
      </c>
      <c r="E1848">
        <v>3</v>
      </c>
      <c r="F1848">
        <v>2</v>
      </c>
      <c r="G1848">
        <v>46</v>
      </c>
      <c r="H1848" t="s">
        <v>11</v>
      </c>
      <c r="I1848">
        <v>49413</v>
      </c>
      <c r="J1848">
        <v>0</v>
      </c>
      <c r="K1848">
        <v>1</v>
      </c>
      <c r="L1848">
        <v>0</v>
      </c>
      <c r="M1848">
        <v>1</v>
      </c>
      <c r="N1848">
        <f t="shared" si="56"/>
        <v>-0.12233179487718886</v>
      </c>
      <c r="O1848">
        <f t="shared" si="57"/>
        <v>0.32352833697284961</v>
      </c>
    </row>
    <row r="1849" spans="1:15">
      <c r="A1849">
        <v>10341</v>
      </c>
      <c r="B1849">
        <v>68</v>
      </c>
      <c r="C1849">
        <v>28</v>
      </c>
      <c r="D1849">
        <v>39</v>
      </c>
      <c r="E1849">
        <v>16</v>
      </c>
      <c r="F1849">
        <v>30</v>
      </c>
      <c r="G1849">
        <v>41</v>
      </c>
      <c r="H1849" t="s">
        <v>11</v>
      </c>
      <c r="I1849">
        <v>51315</v>
      </c>
      <c r="J1849">
        <v>0</v>
      </c>
      <c r="K1849">
        <v>0</v>
      </c>
      <c r="L1849">
        <v>0</v>
      </c>
      <c r="M1849">
        <v>1</v>
      </c>
      <c r="N1849">
        <f t="shared" si="56"/>
        <v>-3.4330615773127009E-2</v>
      </c>
      <c r="O1849">
        <f t="shared" si="57"/>
        <v>0.5318089092684859</v>
      </c>
    </row>
    <row r="1850" spans="1:15">
      <c r="A1850">
        <v>10343</v>
      </c>
      <c r="B1850">
        <v>605</v>
      </c>
      <c r="C1850">
        <v>91</v>
      </c>
      <c r="D1850">
        <v>399</v>
      </c>
      <c r="E1850">
        <v>0</v>
      </c>
      <c r="F1850">
        <v>45</v>
      </c>
      <c r="G1850">
        <v>205</v>
      </c>
      <c r="H1850" t="s">
        <v>12</v>
      </c>
      <c r="I1850">
        <v>61618</v>
      </c>
      <c r="J1850">
        <v>0</v>
      </c>
      <c r="K1850">
        <v>0</v>
      </c>
      <c r="L1850">
        <v>1</v>
      </c>
      <c r="M1850">
        <v>0</v>
      </c>
      <c r="N1850">
        <f t="shared" si="56"/>
        <v>0.44236557156081047</v>
      </c>
      <c r="O1850">
        <f t="shared" si="57"/>
        <v>0.33501585538641682</v>
      </c>
    </row>
    <row r="1851" spans="1:15">
      <c r="A1851">
        <v>10350</v>
      </c>
      <c r="B1851">
        <v>33</v>
      </c>
      <c r="C1851">
        <v>0</v>
      </c>
      <c r="D1851">
        <v>5</v>
      </c>
      <c r="E1851">
        <v>0</v>
      </c>
      <c r="F1851">
        <v>0</v>
      </c>
      <c r="G1851">
        <v>0</v>
      </c>
      <c r="H1851" t="s">
        <v>11</v>
      </c>
      <c r="I1851">
        <v>54432</v>
      </c>
      <c r="J1851">
        <v>2</v>
      </c>
      <c r="K1851">
        <v>1</v>
      </c>
      <c r="L1851">
        <v>0</v>
      </c>
      <c r="M1851">
        <v>1</v>
      </c>
      <c r="N1851">
        <f t="shared" si="56"/>
        <v>0.10988582758510683</v>
      </c>
      <c r="O1851">
        <f t="shared" si="57"/>
        <v>0.26572717318578115</v>
      </c>
    </row>
    <row r="1852" spans="1:15">
      <c r="A1852">
        <v>10352</v>
      </c>
      <c r="B1852">
        <v>50</v>
      </c>
      <c r="C1852">
        <v>4</v>
      </c>
      <c r="D1852">
        <v>28</v>
      </c>
      <c r="E1852">
        <v>6</v>
      </c>
      <c r="F1852">
        <v>3</v>
      </c>
      <c r="G1852">
        <v>26</v>
      </c>
      <c r="H1852" t="s">
        <v>12</v>
      </c>
      <c r="I1852">
        <v>34213</v>
      </c>
      <c r="J1852">
        <v>1</v>
      </c>
      <c r="K1852">
        <v>1</v>
      </c>
      <c r="L1852">
        <v>1</v>
      </c>
      <c r="M1852">
        <v>0</v>
      </c>
      <c r="N1852">
        <f t="shared" si="56"/>
        <v>-0.82560094439440224</v>
      </c>
      <c r="O1852">
        <f t="shared" si="57"/>
        <v>-0.35632289864844474</v>
      </c>
    </row>
    <row r="1853" spans="1:15">
      <c r="A1853">
        <v>10356</v>
      </c>
      <c r="B1853">
        <v>29</v>
      </c>
      <c r="C1853">
        <v>0</v>
      </c>
      <c r="D1853">
        <v>2</v>
      </c>
      <c r="E1853">
        <v>0</v>
      </c>
      <c r="F1853">
        <v>0</v>
      </c>
      <c r="G1853">
        <v>1</v>
      </c>
      <c r="H1853" t="s">
        <v>12</v>
      </c>
      <c r="I1853">
        <v>41437</v>
      </c>
      <c r="J1853">
        <v>1</v>
      </c>
      <c r="K1853">
        <v>1</v>
      </c>
      <c r="L1853">
        <v>1</v>
      </c>
      <c r="M1853">
        <v>0</v>
      </c>
      <c r="N1853">
        <f t="shared" si="56"/>
        <v>-0.49136302754490557</v>
      </c>
      <c r="O1853">
        <f t="shared" si="57"/>
        <v>-0.2260093939700224</v>
      </c>
    </row>
    <row r="1854" spans="1:15">
      <c r="A1854">
        <v>10364</v>
      </c>
      <c r="B1854">
        <v>0</v>
      </c>
      <c r="C1854">
        <v>0</v>
      </c>
      <c r="D1854">
        <v>1</v>
      </c>
      <c r="E1854">
        <v>2</v>
      </c>
      <c r="F1854">
        <v>12</v>
      </c>
      <c r="G1854">
        <v>5</v>
      </c>
      <c r="H1854" t="s">
        <v>12</v>
      </c>
      <c r="I1854">
        <v>23295</v>
      </c>
      <c r="J1854">
        <v>0</v>
      </c>
      <c r="K1854">
        <v>0</v>
      </c>
      <c r="L1854">
        <v>1</v>
      </c>
      <c r="M1854">
        <v>0</v>
      </c>
      <c r="N1854">
        <f t="shared" si="56"/>
        <v>-1.3307517716594639</v>
      </c>
      <c r="O1854">
        <f t="shared" si="57"/>
        <v>-0.66203272116621026</v>
      </c>
    </row>
    <row r="1855" spans="1:15">
      <c r="A1855">
        <v>10377</v>
      </c>
      <c r="B1855">
        <v>170</v>
      </c>
      <c r="C1855">
        <v>6</v>
      </c>
      <c r="D1855">
        <v>97</v>
      </c>
      <c r="E1855">
        <v>24</v>
      </c>
      <c r="F1855">
        <v>12</v>
      </c>
      <c r="G1855">
        <v>88</v>
      </c>
      <c r="H1855" t="s">
        <v>11</v>
      </c>
      <c r="I1855">
        <v>46692</v>
      </c>
      <c r="J1855">
        <v>0</v>
      </c>
      <c r="K1855">
        <v>1</v>
      </c>
      <c r="L1855">
        <v>0</v>
      </c>
      <c r="M1855">
        <v>1</v>
      </c>
      <c r="N1855">
        <f t="shared" si="56"/>
        <v>-0.24822622618221107</v>
      </c>
      <c r="O1855">
        <f t="shared" si="57"/>
        <v>0.24723708245873943</v>
      </c>
    </row>
    <row r="1856" spans="1:15">
      <c r="A1856">
        <v>10379</v>
      </c>
      <c r="B1856">
        <v>327</v>
      </c>
      <c r="C1856">
        <v>9</v>
      </c>
      <c r="D1856">
        <v>122</v>
      </c>
      <c r="E1856">
        <v>19</v>
      </c>
      <c r="F1856">
        <v>14</v>
      </c>
      <c r="G1856">
        <v>83</v>
      </c>
      <c r="H1856" t="s">
        <v>12</v>
      </c>
      <c r="I1856">
        <v>59247</v>
      </c>
      <c r="J1856">
        <v>0</v>
      </c>
      <c r="K1856">
        <v>2</v>
      </c>
      <c r="L1856">
        <v>1</v>
      </c>
      <c r="M1856">
        <v>0</v>
      </c>
      <c r="N1856">
        <f t="shared" si="56"/>
        <v>0.33266483777756622</v>
      </c>
      <c r="O1856">
        <f t="shared" si="57"/>
        <v>0.12185995236236981</v>
      </c>
    </row>
    <row r="1857" spans="1:15">
      <c r="A1857">
        <v>10380</v>
      </c>
      <c r="B1857">
        <v>40</v>
      </c>
      <c r="C1857">
        <v>1</v>
      </c>
      <c r="D1857">
        <v>40</v>
      </c>
      <c r="E1857">
        <v>4</v>
      </c>
      <c r="F1857">
        <v>3</v>
      </c>
      <c r="G1857">
        <v>18</v>
      </c>
      <c r="H1857" t="s">
        <v>11</v>
      </c>
      <c r="I1857">
        <v>37787</v>
      </c>
      <c r="J1857">
        <v>1</v>
      </c>
      <c r="K1857">
        <v>0</v>
      </c>
      <c r="L1857">
        <v>0</v>
      </c>
      <c r="M1857">
        <v>1</v>
      </c>
      <c r="N1857">
        <f t="shared" si="56"/>
        <v>-0.660240158843447</v>
      </c>
      <c r="O1857">
        <f t="shared" si="57"/>
        <v>8.8384241750123979E-3</v>
      </c>
    </row>
    <row r="1858" spans="1:15">
      <c r="A1858">
        <v>10381</v>
      </c>
      <c r="B1858">
        <v>14</v>
      </c>
      <c r="C1858">
        <v>0</v>
      </c>
      <c r="D1858">
        <v>3</v>
      </c>
      <c r="E1858">
        <v>0</v>
      </c>
      <c r="F1858">
        <v>0</v>
      </c>
      <c r="G1858">
        <v>4</v>
      </c>
      <c r="H1858" t="s">
        <v>12</v>
      </c>
      <c r="I1858">
        <v>47691</v>
      </c>
      <c r="J1858">
        <v>0</v>
      </c>
      <c r="K1858">
        <v>1</v>
      </c>
      <c r="L1858">
        <v>1</v>
      </c>
      <c r="M1858">
        <v>0</v>
      </c>
      <c r="N1858">
        <f t="shared" si="56"/>
        <v>-0.20200478668433633</v>
      </c>
      <c r="O1858">
        <f t="shared" si="57"/>
        <v>-0.11709912679370515</v>
      </c>
    </row>
    <row r="1859" spans="1:15">
      <c r="A1859">
        <v>10383</v>
      </c>
      <c r="B1859">
        <v>295</v>
      </c>
      <c r="C1859">
        <v>35</v>
      </c>
      <c r="D1859">
        <v>482</v>
      </c>
      <c r="E1859">
        <v>121</v>
      </c>
      <c r="F1859">
        <v>120</v>
      </c>
      <c r="G1859">
        <v>40</v>
      </c>
      <c r="H1859" t="s">
        <v>12</v>
      </c>
      <c r="I1859">
        <v>70287</v>
      </c>
      <c r="J1859">
        <v>0</v>
      </c>
      <c r="K1859">
        <v>0</v>
      </c>
      <c r="L1859">
        <v>1</v>
      </c>
      <c r="M1859">
        <v>0</v>
      </c>
      <c r="N1859">
        <f t="shared" ref="N1859:N1922" si="58">STANDARDIZE(I1859,$Q$1,$R$1)</f>
        <v>0.8434603253216475</v>
      </c>
      <c r="O1859">
        <f t="shared" ref="O1859:O1922" si="59">SUMPRODUCT(J1859:N1859,$Q$4:$U$4) / SQRT(SUMSQ(J1859:N1859) * SUMSQ($Q$4:$U$4))</f>
        <v>0.53392288097611251</v>
      </c>
    </row>
    <row r="1860" spans="1:15">
      <c r="A1860">
        <v>10390</v>
      </c>
      <c r="B1860">
        <v>6</v>
      </c>
      <c r="C1860">
        <v>7</v>
      </c>
      <c r="D1860">
        <v>4</v>
      </c>
      <c r="E1860">
        <v>3</v>
      </c>
      <c r="F1860">
        <v>4</v>
      </c>
      <c r="G1860">
        <v>6</v>
      </c>
      <c r="H1860" t="s">
        <v>11</v>
      </c>
      <c r="I1860">
        <v>26887</v>
      </c>
      <c r="J1860">
        <v>0</v>
      </c>
      <c r="K1860">
        <v>1</v>
      </c>
      <c r="L1860">
        <v>0</v>
      </c>
      <c r="M1860">
        <v>1</v>
      </c>
      <c r="N1860">
        <f t="shared" si="58"/>
        <v>-1.1645581673788172</v>
      </c>
      <c r="O1860">
        <f t="shared" si="59"/>
        <v>-0.22043811096259275</v>
      </c>
    </row>
    <row r="1861" spans="1:15">
      <c r="A1861">
        <v>10394</v>
      </c>
      <c r="B1861">
        <v>675</v>
      </c>
      <c r="C1861">
        <v>144</v>
      </c>
      <c r="D1861">
        <v>133</v>
      </c>
      <c r="E1861">
        <v>94</v>
      </c>
      <c r="F1861">
        <v>192</v>
      </c>
      <c r="G1861">
        <v>241</v>
      </c>
      <c r="H1861" t="s">
        <v>11</v>
      </c>
      <c r="I1861">
        <v>90000</v>
      </c>
      <c r="J1861">
        <v>0</v>
      </c>
      <c r="K1861">
        <v>0</v>
      </c>
      <c r="L1861">
        <v>0</v>
      </c>
      <c r="M1861">
        <v>1</v>
      </c>
      <c r="N1861">
        <f t="shared" si="58"/>
        <v>1.7555356374553863</v>
      </c>
      <c r="O1861">
        <f t="shared" si="59"/>
        <v>0.9970165025504345</v>
      </c>
    </row>
    <row r="1862" spans="1:15">
      <c r="A1862">
        <v>10395</v>
      </c>
      <c r="B1862">
        <v>1</v>
      </c>
      <c r="C1862">
        <v>45</v>
      </c>
      <c r="D1862">
        <v>3</v>
      </c>
      <c r="E1862">
        <v>4</v>
      </c>
      <c r="F1862">
        <v>6</v>
      </c>
      <c r="G1862">
        <v>42</v>
      </c>
      <c r="H1862" t="s">
        <v>12</v>
      </c>
      <c r="I1862">
        <v>8940</v>
      </c>
      <c r="J1862">
        <v>1</v>
      </c>
      <c r="K1862">
        <v>0</v>
      </c>
      <c r="L1862">
        <v>1</v>
      </c>
      <c r="M1862">
        <v>0</v>
      </c>
      <c r="N1862">
        <f t="shared" si="58"/>
        <v>-1.9949247085883848</v>
      </c>
      <c r="O1862">
        <f t="shared" si="59"/>
        <v>-0.67558308677623891</v>
      </c>
    </row>
    <row r="1863" spans="1:15">
      <c r="A1863">
        <v>10398</v>
      </c>
      <c r="B1863">
        <v>1</v>
      </c>
      <c r="C1863">
        <v>6</v>
      </c>
      <c r="D1863">
        <v>2</v>
      </c>
      <c r="E1863">
        <v>8</v>
      </c>
      <c r="F1863">
        <v>2</v>
      </c>
      <c r="G1863">
        <v>12</v>
      </c>
      <c r="H1863" t="s">
        <v>12</v>
      </c>
      <c r="I1863">
        <v>24336</v>
      </c>
      <c r="J1863">
        <v>1</v>
      </c>
      <c r="K1863">
        <v>0</v>
      </c>
      <c r="L1863">
        <v>1</v>
      </c>
      <c r="M1863">
        <v>0</v>
      </c>
      <c r="N1863">
        <f t="shared" si="58"/>
        <v>-1.2825870884589758</v>
      </c>
      <c r="O1863">
        <f t="shared" si="59"/>
        <v>-0.55632577519832871</v>
      </c>
    </row>
    <row r="1864" spans="1:15">
      <c r="A1864">
        <v>10401</v>
      </c>
      <c r="B1864">
        <v>1</v>
      </c>
      <c r="C1864">
        <v>0</v>
      </c>
      <c r="D1864">
        <v>5</v>
      </c>
      <c r="E1864">
        <v>0</v>
      </c>
      <c r="F1864">
        <v>3</v>
      </c>
      <c r="G1864">
        <v>9</v>
      </c>
      <c r="H1864" t="s">
        <v>11</v>
      </c>
      <c r="I1864">
        <v>26326</v>
      </c>
      <c r="J1864">
        <v>0</v>
      </c>
      <c r="K1864">
        <v>0</v>
      </c>
      <c r="L1864">
        <v>0</v>
      </c>
      <c r="M1864">
        <v>1</v>
      </c>
      <c r="N1864">
        <f t="shared" si="58"/>
        <v>-1.1905143511208669</v>
      </c>
      <c r="O1864">
        <f t="shared" si="59"/>
        <v>-0.2735674355209361</v>
      </c>
    </row>
    <row r="1865" spans="1:15">
      <c r="A1865">
        <v>10402</v>
      </c>
      <c r="B1865">
        <v>25</v>
      </c>
      <c r="C1865">
        <v>1</v>
      </c>
      <c r="D1865">
        <v>9</v>
      </c>
      <c r="E1865">
        <v>2</v>
      </c>
      <c r="F1865">
        <v>1</v>
      </c>
      <c r="G1865">
        <v>1</v>
      </c>
      <c r="H1865" t="s">
        <v>11</v>
      </c>
      <c r="I1865">
        <v>35441</v>
      </c>
      <c r="J1865">
        <v>1</v>
      </c>
      <c r="K1865">
        <v>1</v>
      </c>
      <c r="L1865">
        <v>0</v>
      </c>
      <c r="M1865">
        <v>1</v>
      </c>
      <c r="N1865">
        <f t="shared" si="58"/>
        <v>-0.76878419994656422</v>
      </c>
      <c r="O1865">
        <f t="shared" si="59"/>
        <v>-4.0154541307408947E-2</v>
      </c>
    </row>
    <row r="1866" spans="1:15">
      <c r="A1866">
        <v>10403</v>
      </c>
      <c r="B1866">
        <v>2</v>
      </c>
      <c r="C1866">
        <v>13</v>
      </c>
      <c r="D1866">
        <v>6</v>
      </c>
      <c r="E1866">
        <v>7</v>
      </c>
      <c r="F1866">
        <v>5</v>
      </c>
      <c r="G1866">
        <v>11</v>
      </c>
      <c r="H1866" t="s">
        <v>11</v>
      </c>
      <c r="I1866">
        <v>16531</v>
      </c>
      <c r="J1866">
        <v>1</v>
      </c>
      <c r="K1866">
        <v>0</v>
      </c>
      <c r="L1866">
        <v>0</v>
      </c>
      <c r="M1866">
        <v>1</v>
      </c>
      <c r="N1866">
        <f t="shared" si="58"/>
        <v>-1.6437065431946238</v>
      </c>
      <c r="O1866">
        <f t="shared" si="59"/>
        <v>-0.36923484430464459</v>
      </c>
    </row>
    <row r="1867" spans="1:15">
      <c r="A1867">
        <v>10413</v>
      </c>
      <c r="B1867">
        <v>274</v>
      </c>
      <c r="C1867">
        <v>83</v>
      </c>
      <c r="D1867">
        <v>216</v>
      </c>
      <c r="E1867">
        <v>151</v>
      </c>
      <c r="F1867">
        <v>141</v>
      </c>
      <c r="G1867">
        <v>224</v>
      </c>
      <c r="H1867" t="s">
        <v>11</v>
      </c>
      <c r="I1867">
        <v>72570</v>
      </c>
      <c r="J1867">
        <v>0</v>
      </c>
      <c r="K1867">
        <v>0</v>
      </c>
      <c r="L1867">
        <v>0</v>
      </c>
      <c r="M1867">
        <v>1</v>
      </c>
      <c r="N1867">
        <f t="shared" si="58"/>
        <v>0.94908950087084476</v>
      </c>
      <c r="O1867">
        <f t="shared" si="59"/>
        <v>0.97666384704606424</v>
      </c>
    </row>
    <row r="1868" spans="1:15">
      <c r="A1868">
        <v>10420</v>
      </c>
      <c r="B1868">
        <v>95</v>
      </c>
      <c r="C1868">
        <v>14</v>
      </c>
      <c r="D1868">
        <v>64</v>
      </c>
      <c r="E1868">
        <v>2</v>
      </c>
      <c r="F1868">
        <v>9</v>
      </c>
      <c r="G1868">
        <v>38</v>
      </c>
      <c r="H1868" t="s">
        <v>12</v>
      </c>
      <c r="I1868">
        <v>46390</v>
      </c>
      <c r="J1868">
        <v>0</v>
      </c>
      <c r="K1868">
        <v>1</v>
      </c>
      <c r="L1868">
        <v>1</v>
      </c>
      <c r="M1868">
        <v>0</v>
      </c>
      <c r="N1868">
        <f t="shared" si="58"/>
        <v>-0.26219907375814516</v>
      </c>
      <c r="O1868">
        <f t="shared" si="59"/>
        <v>-0.1509628793124666</v>
      </c>
    </row>
    <row r="1869" spans="1:15">
      <c r="A1869">
        <v>10424</v>
      </c>
      <c r="B1869">
        <v>265</v>
      </c>
      <c r="C1869">
        <v>138</v>
      </c>
      <c r="D1869">
        <v>553</v>
      </c>
      <c r="E1869">
        <v>224</v>
      </c>
      <c r="F1869">
        <v>23</v>
      </c>
      <c r="G1869">
        <v>92</v>
      </c>
      <c r="H1869" t="s">
        <v>12</v>
      </c>
      <c r="I1869">
        <v>75922</v>
      </c>
      <c r="J1869">
        <v>0</v>
      </c>
      <c r="K1869">
        <v>0</v>
      </c>
      <c r="L1869">
        <v>1</v>
      </c>
      <c r="M1869">
        <v>0</v>
      </c>
      <c r="N1869">
        <f t="shared" si="58"/>
        <v>1.1041788554222725</v>
      </c>
      <c r="O1869">
        <f t="shared" si="59"/>
        <v>0.61380862078247744</v>
      </c>
    </row>
    <row r="1870" spans="1:15">
      <c r="A1870">
        <v>10430</v>
      </c>
      <c r="B1870">
        <v>1126</v>
      </c>
      <c r="C1870">
        <v>28</v>
      </c>
      <c r="D1870">
        <v>211</v>
      </c>
      <c r="E1870">
        <v>37</v>
      </c>
      <c r="F1870">
        <v>28</v>
      </c>
      <c r="G1870">
        <v>42</v>
      </c>
      <c r="H1870" t="s">
        <v>12</v>
      </c>
      <c r="I1870">
        <v>89694</v>
      </c>
      <c r="J1870">
        <v>1</v>
      </c>
      <c r="K1870">
        <v>1</v>
      </c>
      <c r="L1870">
        <v>1</v>
      </c>
      <c r="M1870">
        <v>0</v>
      </c>
      <c r="N1870">
        <f t="shared" si="58"/>
        <v>1.7413777190506319</v>
      </c>
      <c r="O1870">
        <f t="shared" si="59"/>
        <v>0.58713895954968787</v>
      </c>
    </row>
    <row r="1871" spans="1:15">
      <c r="A1871">
        <v>10432</v>
      </c>
      <c r="B1871">
        <v>2</v>
      </c>
      <c r="C1871">
        <v>0</v>
      </c>
      <c r="D1871">
        <v>9</v>
      </c>
      <c r="E1871">
        <v>3</v>
      </c>
      <c r="F1871">
        <v>6</v>
      </c>
      <c r="G1871">
        <v>2</v>
      </c>
      <c r="H1871" t="s">
        <v>12</v>
      </c>
      <c r="I1871">
        <v>19346</v>
      </c>
      <c r="J1871">
        <v>1</v>
      </c>
      <c r="K1871">
        <v>0</v>
      </c>
      <c r="L1871">
        <v>1</v>
      </c>
      <c r="M1871">
        <v>0</v>
      </c>
      <c r="N1871">
        <f t="shared" si="58"/>
        <v>-1.5134629474123242</v>
      </c>
      <c r="O1871">
        <f t="shared" si="59"/>
        <v>-0.60507212032818014</v>
      </c>
    </row>
    <row r="1872" spans="1:15">
      <c r="A1872">
        <v>10446</v>
      </c>
      <c r="B1872">
        <v>184</v>
      </c>
      <c r="C1872">
        <v>23</v>
      </c>
      <c r="D1872">
        <v>446</v>
      </c>
      <c r="E1872">
        <v>30</v>
      </c>
      <c r="F1872">
        <v>23</v>
      </c>
      <c r="G1872">
        <v>23</v>
      </c>
      <c r="H1872" t="s">
        <v>11</v>
      </c>
      <c r="I1872">
        <v>82017</v>
      </c>
      <c r="J1872">
        <v>0</v>
      </c>
      <c r="K1872">
        <v>0</v>
      </c>
      <c r="L1872">
        <v>0</v>
      </c>
      <c r="M1872">
        <v>1</v>
      </c>
      <c r="N1872">
        <f t="shared" si="58"/>
        <v>1.3861805308372339</v>
      </c>
      <c r="O1872">
        <f t="shared" si="59"/>
        <v>0.99955312918802064</v>
      </c>
    </row>
    <row r="1873" spans="1:15">
      <c r="A1873">
        <v>10448</v>
      </c>
      <c r="B1873">
        <v>172</v>
      </c>
      <c r="C1873">
        <v>41</v>
      </c>
      <c r="D1873">
        <v>86</v>
      </c>
      <c r="E1873">
        <v>45</v>
      </c>
      <c r="F1873">
        <v>6</v>
      </c>
      <c r="G1873">
        <v>27</v>
      </c>
      <c r="H1873" t="s">
        <v>12</v>
      </c>
      <c r="I1873">
        <v>46998</v>
      </c>
      <c r="J1873">
        <v>0</v>
      </c>
      <c r="K1873">
        <v>1</v>
      </c>
      <c r="L1873">
        <v>1</v>
      </c>
      <c r="M1873">
        <v>0</v>
      </c>
      <c r="N1873">
        <f t="shared" si="58"/>
        <v>-0.23406830777745666</v>
      </c>
      <c r="O1873">
        <f t="shared" si="59"/>
        <v>-0.13522343318559324</v>
      </c>
    </row>
    <row r="1874" spans="1:15">
      <c r="A1874">
        <v>10466</v>
      </c>
      <c r="B1874">
        <v>24</v>
      </c>
      <c r="C1874">
        <v>2</v>
      </c>
      <c r="D1874">
        <v>20</v>
      </c>
      <c r="E1874">
        <v>2</v>
      </c>
      <c r="F1874">
        <v>2</v>
      </c>
      <c r="G1874">
        <v>10</v>
      </c>
      <c r="H1874" t="s">
        <v>11</v>
      </c>
      <c r="I1874">
        <v>44393</v>
      </c>
      <c r="J1874">
        <v>1</v>
      </c>
      <c r="K1874">
        <v>1</v>
      </c>
      <c r="L1874">
        <v>0</v>
      </c>
      <c r="M1874">
        <v>1</v>
      </c>
      <c r="N1874">
        <f t="shared" si="58"/>
        <v>-0.35459568504668959</v>
      </c>
      <c r="O1874">
        <f t="shared" si="59"/>
        <v>0.15096619140524781</v>
      </c>
    </row>
    <row r="1875" spans="1:15">
      <c r="A1875">
        <v>10469</v>
      </c>
      <c r="B1875">
        <v>519</v>
      </c>
      <c r="C1875">
        <v>71</v>
      </c>
      <c r="D1875">
        <v>860</v>
      </c>
      <c r="E1875">
        <v>93</v>
      </c>
      <c r="F1875">
        <v>27</v>
      </c>
      <c r="G1875">
        <v>53</v>
      </c>
      <c r="H1875" t="s">
        <v>11</v>
      </c>
      <c r="I1875">
        <v>88325</v>
      </c>
      <c r="J1875">
        <v>0</v>
      </c>
      <c r="K1875">
        <v>0</v>
      </c>
      <c r="L1875">
        <v>0</v>
      </c>
      <c r="M1875">
        <v>1</v>
      </c>
      <c r="N1875">
        <f t="shared" si="58"/>
        <v>1.6780372278868776</v>
      </c>
      <c r="O1875">
        <f t="shared" si="59"/>
        <v>0.99833998908001576</v>
      </c>
    </row>
    <row r="1876" spans="1:15">
      <c r="A1876">
        <v>10470</v>
      </c>
      <c r="B1876">
        <v>40</v>
      </c>
      <c r="C1876">
        <v>2</v>
      </c>
      <c r="D1876">
        <v>23</v>
      </c>
      <c r="E1876">
        <v>0</v>
      </c>
      <c r="F1876">
        <v>4</v>
      </c>
      <c r="G1876">
        <v>23</v>
      </c>
      <c r="H1876" t="s">
        <v>11</v>
      </c>
      <c r="I1876">
        <v>40662</v>
      </c>
      <c r="J1876">
        <v>1</v>
      </c>
      <c r="K1876">
        <v>0</v>
      </c>
      <c r="L1876">
        <v>0</v>
      </c>
      <c r="M1876">
        <v>1</v>
      </c>
      <c r="N1876">
        <f t="shared" si="58"/>
        <v>-0.5272205006288424</v>
      </c>
      <c r="O1876">
        <f t="shared" si="59"/>
        <v>8.2125036162667198E-2</v>
      </c>
    </row>
    <row r="1877" spans="1:15">
      <c r="A1877">
        <v>10473</v>
      </c>
      <c r="B1877">
        <v>158</v>
      </c>
      <c r="C1877">
        <v>19</v>
      </c>
      <c r="D1877">
        <v>288</v>
      </c>
      <c r="E1877">
        <v>25</v>
      </c>
      <c r="F1877">
        <v>0</v>
      </c>
      <c r="G1877">
        <v>38</v>
      </c>
      <c r="H1877" t="s">
        <v>12</v>
      </c>
      <c r="I1877">
        <v>78028</v>
      </c>
      <c r="J1877">
        <v>0</v>
      </c>
      <c r="K1877">
        <v>1</v>
      </c>
      <c r="L1877">
        <v>1</v>
      </c>
      <c r="M1877">
        <v>0</v>
      </c>
      <c r="N1877">
        <f t="shared" si="58"/>
        <v>1.2016186467961705</v>
      </c>
      <c r="O1877">
        <f t="shared" si="59"/>
        <v>0.53621016079668571</v>
      </c>
    </row>
    <row r="1878" spans="1:15">
      <c r="A1878">
        <v>10476</v>
      </c>
      <c r="B1878">
        <v>134</v>
      </c>
      <c r="C1878">
        <v>11</v>
      </c>
      <c r="D1878">
        <v>59</v>
      </c>
      <c r="E1878">
        <v>15</v>
      </c>
      <c r="F1878">
        <v>2</v>
      </c>
      <c r="G1878">
        <v>30</v>
      </c>
      <c r="H1878" t="s">
        <v>11</v>
      </c>
      <c r="I1878">
        <v>67267</v>
      </c>
      <c r="J1878">
        <v>0</v>
      </c>
      <c r="K1878">
        <v>1</v>
      </c>
      <c r="L1878">
        <v>0</v>
      </c>
      <c r="M1878">
        <v>1</v>
      </c>
      <c r="N1878">
        <f t="shared" si="58"/>
        <v>0.7037318495623065</v>
      </c>
      <c r="O1878">
        <f t="shared" si="59"/>
        <v>0.72379238575443616</v>
      </c>
    </row>
    <row r="1879" spans="1:15">
      <c r="A1879">
        <v>10477</v>
      </c>
      <c r="B1879">
        <v>71</v>
      </c>
      <c r="C1879">
        <v>0</v>
      </c>
      <c r="D1879">
        <v>18</v>
      </c>
      <c r="E1879">
        <v>0</v>
      </c>
      <c r="F1879">
        <v>0</v>
      </c>
      <c r="G1879">
        <v>13</v>
      </c>
      <c r="H1879" t="s">
        <v>11</v>
      </c>
      <c r="I1879">
        <v>39435</v>
      </c>
      <c r="J1879">
        <v>1</v>
      </c>
      <c r="K1879">
        <v>0</v>
      </c>
      <c r="L1879">
        <v>0</v>
      </c>
      <c r="M1879">
        <v>1</v>
      </c>
      <c r="N1879">
        <f t="shared" si="58"/>
        <v>-0.58399097736947536</v>
      </c>
      <c r="O1879">
        <f t="shared" si="59"/>
        <v>5.0284656409352042E-2</v>
      </c>
    </row>
    <row r="1880" spans="1:15">
      <c r="A1880">
        <v>10478</v>
      </c>
      <c r="B1880">
        <v>483</v>
      </c>
      <c r="C1880">
        <v>0</v>
      </c>
      <c r="D1880">
        <v>108</v>
      </c>
      <c r="E1880">
        <v>0</v>
      </c>
      <c r="F1880">
        <v>6</v>
      </c>
      <c r="G1880">
        <v>36</v>
      </c>
      <c r="H1880" t="s">
        <v>11</v>
      </c>
      <c r="I1880">
        <v>55517</v>
      </c>
      <c r="J1880">
        <v>1</v>
      </c>
      <c r="K1880">
        <v>1</v>
      </c>
      <c r="L1880">
        <v>0</v>
      </c>
      <c r="M1880">
        <v>1</v>
      </c>
      <c r="N1880">
        <f t="shared" si="58"/>
        <v>0.16008628990261844</v>
      </c>
      <c r="O1880">
        <f t="shared" si="59"/>
        <v>0.3984761287694652</v>
      </c>
    </row>
    <row r="1881" spans="1:15">
      <c r="A1881">
        <v>10479</v>
      </c>
      <c r="B1881">
        <v>749</v>
      </c>
      <c r="C1881">
        <v>40</v>
      </c>
      <c r="D1881">
        <v>294</v>
      </c>
      <c r="E1881">
        <v>121</v>
      </c>
      <c r="F1881">
        <v>160</v>
      </c>
      <c r="G1881">
        <v>147</v>
      </c>
      <c r="H1881" t="s">
        <v>11</v>
      </c>
      <c r="I1881">
        <v>76618</v>
      </c>
      <c r="J1881">
        <v>0</v>
      </c>
      <c r="K1881">
        <v>0</v>
      </c>
      <c r="L1881">
        <v>0</v>
      </c>
      <c r="M1881">
        <v>1</v>
      </c>
      <c r="N1881">
        <f t="shared" si="58"/>
        <v>1.136381179637008</v>
      </c>
      <c r="O1881">
        <f t="shared" si="59"/>
        <v>0.99199756013958107</v>
      </c>
    </row>
    <row r="1882" spans="1:15">
      <c r="A1882">
        <v>10486</v>
      </c>
      <c r="B1882">
        <v>476</v>
      </c>
      <c r="C1882">
        <v>75</v>
      </c>
      <c r="D1882">
        <v>162</v>
      </c>
      <c r="E1882">
        <v>29</v>
      </c>
      <c r="F1882">
        <v>151</v>
      </c>
      <c r="G1882">
        <v>97</v>
      </c>
      <c r="H1882" t="s">
        <v>11</v>
      </c>
      <c r="I1882">
        <v>77142</v>
      </c>
      <c r="J1882">
        <v>0</v>
      </c>
      <c r="K1882">
        <v>0</v>
      </c>
      <c r="L1882">
        <v>0</v>
      </c>
      <c r="M1882">
        <v>1</v>
      </c>
      <c r="N1882">
        <f t="shared" si="58"/>
        <v>1.1606254582124698</v>
      </c>
      <c r="O1882">
        <f t="shared" si="59"/>
        <v>0.99326329586466955</v>
      </c>
    </row>
    <row r="1883" spans="1:15">
      <c r="A1883">
        <v>10489</v>
      </c>
      <c r="B1883">
        <v>693</v>
      </c>
      <c r="C1883">
        <v>21</v>
      </c>
      <c r="D1883">
        <v>925</v>
      </c>
      <c r="E1883">
        <v>31</v>
      </c>
      <c r="F1883">
        <v>24</v>
      </c>
      <c r="G1883">
        <v>84</v>
      </c>
      <c r="H1883" t="s">
        <v>11</v>
      </c>
      <c r="I1883">
        <v>92955</v>
      </c>
      <c r="J1883">
        <v>0</v>
      </c>
      <c r="K1883">
        <v>0</v>
      </c>
      <c r="L1883">
        <v>0</v>
      </c>
      <c r="M1883">
        <v>1</v>
      </c>
      <c r="N1883">
        <f t="shared" si="58"/>
        <v>1.8922567122463971</v>
      </c>
      <c r="O1883">
        <f t="shared" si="59"/>
        <v>0.9940774149912357</v>
      </c>
    </row>
    <row r="1884" spans="1:15">
      <c r="A1884">
        <v>10490</v>
      </c>
      <c r="B1884">
        <v>100</v>
      </c>
      <c r="C1884">
        <v>64</v>
      </c>
      <c r="D1884">
        <v>79</v>
      </c>
      <c r="E1884">
        <v>65</v>
      </c>
      <c r="F1884">
        <v>0</v>
      </c>
      <c r="G1884">
        <v>109</v>
      </c>
      <c r="H1884" t="s">
        <v>11</v>
      </c>
      <c r="I1884">
        <v>51039</v>
      </c>
      <c r="J1884">
        <v>1</v>
      </c>
      <c r="K1884">
        <v>1</v>
      </c>
      <c r="L1884">
        <v>0</v>
      </c>
      <c r="M1884">
        <v>1</v>
      </c>
      <c r="N1884">
        <f t="shared" si="58"/>
        <v>-4.7100502961729046E-2</v>
      </c>
      <c r="O1884">
        <f t="shared" si="59"/>
        <v>0.30100415483314524</v>
      </c>
    </row>
    <row r="1885" spans="1:15">
      <c r="A1885">
        <v>10492</v>
      </c>
      <c r="B1885">
        <v>2</v>
      </c>
      <c r="C1885">
        <v>0</v>
      </c>
      <c r="D1885">
        <v>5</v>
      </c>
      <c r="E1885">
        <v>2</v>
      </c>
      <c r="F1885">
        <v>0</v>
      </c>
      <c r="G1885">
        <v>1</v>
      </c>
      <c r="H1885" t="s">
        <v>11</v>
      </c>
      <c r="I1885">
        <v>38285</v>
      </c>
      <c r="J1885">
        <v>2</v>
      </c>
      <c r="K1885">
        <v>1</v>
      </c>
      <c r="L1885">
        <v>0</v>
      </c>
      <c r="M1885">
        <v>1</v>
      </c>
      <c r="N1885">
        <f t="shared" si="58"/>
        <v>-0.63719884065531718</v>
      </c>
      <c r="O1885">
        <f t="shared" si="59"/>
        <v>1.2989057436025901E-2</v>
      </c>
    </row>
    <row r="1886" spans="1:15">
      <c r="A1886">
        <v>10500</v>
      </c>
      <c r="B1886">
        <v>19</v>
      </c>
      <c r="C1886">
        <v>1</v>
      </c>
      <c r="D1886">
        <v>20</v>
      </c>
      <c r="E1886">
        <v>16</v>
      </c>
      <c r="F1886">
        <v>14</v>
      </c>
      <c r="G1886">
        <v>28</v>
      </c>
      <c r="H1886" t="s">
        <v>11</v>
      </c>
      <c r="I1886">
        <v>31761</v>
      </c>
      <c r="J1886">
        <v>1</v>
      </c>
      <c r="K1886">
        <v>0</v>
      </c>
      <c r="L1886">
        <v>0</v>
      </c>
      <c r="M1886">
        <v>1</v>
      </c>
      <c r="N1886">
        <f t="shared" si="58"/>
        <v>-0.93904936246125803</v>
      </c>
      <c r="O1886">
        <f t="shared" si="59"/>
        <v>-0.12788286759923739</v>
      </c>
    </row>
    <row r="1887" spans="1:15">
      <c r="A1887">
        <v>10505</v>
      </c>
      <c r="B1887">
        <v>741</v>
      </c>
      <c r="C1887">
        <v>19</v>
      </c>
      <c r="D1887">
        <v>154</v>
      </c>
      <c r="E1887">
        <v>50</v>
      </c>
      <c r="F1887">
        <v>9</v>
      </c>
      <c r="G1887">
        <v>28</v>
      </c>
      <c r="H1887" t="s">
        <v>11</v>
      </c>
      <c r="I1887">
        <v>73113</v>
      </c>
      <c r="J1887">
        <v>0</v>
      </c>
      <c r="K1887">
        <v>0</v>
      </c>
      <c r="L1887">
        <v>0</v>
      </c>
      <c r="M1887">
        <v>1</v>
      </c>
      <c r="N1887">
        <f t="shared" si="58"/>
        <v>0.97421286588320311</v>
      </c>
      <c r="O1887">
        <f t="shared" si="59"/>
        <v>0.979384000236171</v>
      </c>
    </row>
    <row r="1888" spans="1:15">
      <c r="A1888">
        <v>10507</v>
      </c>
      <c r="B1888">
        <v>691</v>
      </c>
      <c r="C1888">
        <v>7</v>
      </c>
      <c r="D1888">
        <v>69</v>
      </c>
      <c r="E1888">
        <v>0</v>
      </c>
      <c r="F1888">
        <v>7</v>
      </c>
      <c r="G1888">
        <v>23</v>
      </c>
      <c r="H1888" t="s">
        <v>12</v>
      </c>
      <c r="I1888">
        <v>59601</v>
      </c>
      <c r="J1888">
        <v>0</v>
      </c>
      <c r="K1888">
        <v>1</v>
      </c>
      <c r="L1888">
        <v>1</v>
      </c>
      <c r="M1888">
        <v>0</v>
      </c>
      <c r="N1888">
        <f t="shared" si="58"/>
        <v>0.34904360612816449</v>
      </c>
      <c r="O1888">
        <f t="shared" si="59"/>
        <v>0.19843446154834077</v>
      </c>
    </row>
    <row r="1889" spans="1:15">
      <c r="A1889">
        <v>10509</v>
      </c>
      <c r="B1889">
        <v>51</v>
      </c>
      <c r="C1889">
        <v>0</v>
      </c>
      <c r="D1889">
        <v>16</v>
      </c>
      <c r="E1889">
        <v>0</v>
      </c>
      <c r="F1889">
        <v>0</v>
      </c>
      <c r="G1889">
        <v>4</v>
      </c>
      <c r="H1889" t="s">
        <v>12</v>
      </c>
      <c r="I1889">
        <v>36927</v>
      </c>
      <c r="J1889">
        <v>1</v>
      </c>
      <c r="K1889">
        <v>1</v>
      </c>
      <c r="L1889">
        <v>1</v>
      </c>
      <c r="M1889">
        <v>0</v>
      </c>
      <c r="N1889">
        <f t="shared" si="58"/>
        <v>-0.70003038703981568</v>
      </c>
      <c r="O1889">
        <f t="shared" si="59"/>
        <v>-0.31030900735581224</v>
      </c>
    </row>
    <row r="1890" spans="1:15">
      <c r="A1890">
        <v>10513</v>
      </c>
      <c r="B1890">
        <v>438</v>
      </c>
      <c r="C1890">
        <v>169</v>
      </c>
      <c r="D1890">
        <v>565</v>
      </c>
      <c r="E1890">
        <v>91</v>
      </c>
      <c r="F1890">
        <v>169</v>
      </c>
      <c r="G1890">
        <v>70</v>
      </c>
      <c r="H1890" t="s">
        <v>11</v>
      </c>
      <c r="I1890">
        <v>63207</v>
      </c>
      <c r="J1890">
        <v>0</v>
      </c>
      <c r="K1890">
        <v>0</v>
      </c>
      <c r="L1890">
        <v>0</v>
      </c>
      <c r="M1890">
        <v>1</v>
      </c>
      <c r="N1890">
        <f t="shared" si="58"/>
        <v>0.5158849583096824</v>
      </c>
      <c r="O1890">
        <f t="shared" si="59"/>
        <v>0.87783683297174897</v>
      </c>
    </row>
    <row r="1891" spans="1:15">
      <c r="A1891">
        <v>10524</v>
      </c>
      <c r="B1891">
        <v>386</v>
      </c>
      <c r="C1891">
        <v>23</v>
      </c>
      <c r="D1891">
        <v>95</v>
      </c>
      <c r="E1891">
        <v>54</v>
      </c>
      <c r="F1891">
        <v>41</v>
      </c>
      <c r="G1891">
        <v>196</v>
      </c>
      <c r="H1891" t="s">
        <v>12</v>
      </c>
      <c r="I1891">
        <v>49476</v>
      </c>
      <c r="J1891">
        <v>0</v>
      </c>
      <c r="K1891">
        <v>1</v>
      </c>
      <c r="L1891">
        <v>1</v>
      </c>
      <c r="M1891">
        <v>0</v>
      </c>
      <c r="N1891">
        <f t="shared" si="58"/>
        <v>-0.11941692932326882</v>
      </c>
      <c r="O1891">
        <f t="shared" si="59"/>
        <v>-6.9678844826704472E-2</v>
      </c>
    </row>
    <row r="1892" spans="1:15">
      <c r="A1892">
        <v>10525</v>
      </c>
      <c r="B1892">
        <v>10</v>
      </c>
      <c r="C1892">
        <v>0</v>
      </c>
      <c r="D1892">
        <v>8</v>
      </c>
      <c r="E1892">
        <v>0</v>
      </c>
      <c r="F1892">
        <v>0</v>
      </c>
      <c r="G1892">
        <v>9</v>
      </c>
      <c r="H1892" t="s">
        <v>12</v>
      </c>
      <c r="I1892">
        <v>26576</v>
      </c>
      <c r="J1892">
        <v>1</v>
      </c>
      <c r="K1892">
        <v>0</v>
      </c>
      <c r="L1892">
        <v>1</v>
      </c>
      <c r="M1892">
        <v>0</v>
      </c>
      <c r="N1892">
        <f t="shared" si="58"/>
        <v>-1.178947424319597</v>
      </c>
      <c r="O1892">
        <f t="shared" si="59"/>
        <v>-0.5302647451097815</v>
      </c>
    </row>
    <row r="1893" spans="1:15">
      <c r="A1893">
        <v>10530</v>
      </c>
      <c r="B1893">
        <v>431</v>
      </c>
      <c r="C1893">
        <v>82</v>
      </c>
      <c r="D1893">
        <v>441</v>
      </c>
      <c r="E1893">
        <v>80</v>
      </c>
      <c r="F1893">
        <v>20</v>
      </c>
      <c r="G1893">
        <v>102</v>
      </c>
      <c r="H1893" t="s">
        <v>12</v>
      </c>
      <c r="I1893">
        <v>67786</v>
      </c>
      <c r="J1893">
        <v>0</v>
      </c>
      <c r="K1893">
        <v>0</v>
      </c>
      <c r="L1893">
        <v>1</v>
      </c>
      <c r="M1893">
        <v>0</v>
      </c>
      <c r="N1893">
        <f t="shared" si="58"/>
        <v>0.72774478960174294</v>
      </c>
      <c r="O1893">
        <f t="shared" si="59"/>
        <v>0.48728298387926233</v>
      </c>
    </row>
    <row r="1894" spans="1:15">
      <c r="A1894">
        <v>10542</v>
      </c>
      <c r="B1894">
        <v>29</v>
      </c>
      <c r="C1894">
        <v>4</v>
      </c>
      <c r="D1894">
        <v>34</v>
      </c>
      <c r="E1894">
        <v>2</v>
      </c>
      <c r="F1894">
        <v>4</v>
      </c>
      <c r="G1894">
        <v>4</v>
      </c>
      <c r="H1894" t="s">
        <v>11</v>
      </c>
      <c r="I1894">
        <v>36778</v>
      </c>
      <c r="J1894">
        <v>1</v>
      </c>
      <c r="K1894">
        <v>1</v>
      </c>
      <c r="L1894">
        <v>0</v>
      </c>
      <c r="M1894">
        <v>1</v>
      </c>
      <c r="N1894">
        <f t="shared" si="58"/>
        <v>-0.70692427541337255</v>
      </c>
      <c r="O1894">
        <f t="shared" si="59"/>
        <v>-1.3291663626696383E-2</v>
      </c>
    </row>
    <row r="1895" spans="1:15">
      <c r="A1895">
        <v>10548</v>
      </c>
      <c r="B1895">
        <v>283</v>
      </c>
      <c r="C1895">
        <v>17</v>
      </c>
      <c r="D1895">
        <v>372</v>
      </c>
      <c r="E1895">
        <v>138</v>
      </c>
      <c r="F1895">
        <v>106</v>
      </c>
      <c r="G1895">
        <v>44</v>
      </c>
      <c r="H1895" t="s">
        <v>12</v>
      </c>
      <c r="I1895">
        <v>71163</v>
      </c>
      <c r="J1895">
        <v>0</v>
      </c>
      <c r="K1895">
        <v>0</v>
      </c>
      <c r="L1895">
        <v>1</v>
      </c>
      <c r="M1895">
        <v>0</v>
      </c>
      <c r="N1895">
        <f t="shared" si="58"/>
        <v>0.88399083683329749</v>
      </c>
      <c r="O1895">
        <f t="shared" si="59"/>
        <v>0.54847272834094918</v>
      </c>
    </row>
    <row r="1896" spans="1:15">
      <c r="A1896">
        <v>10552</v>
      </c>
      <c r="B1896">
        <v>70</v>
      </c>
      <c r="C1896">
        <v>54</v>
      </c>
      <c r="D1896">
        <v>109</v>
      </c>
      <c r="E1896">
        <v>80</v>
      </c>
      <c r="F1896">
        <v>9</v>
      </c>
      <c r="G1896">
        <v>45</v>
      </c>
      <c r="H1896" t="s">
        <v>11</v>
      </c>
      <c r="I1896">
        <v>54210</v>
      </c>
      <c r="J1896">
        <v>0</v>
      </c>
      <c r="K1896">
        <v>1</v>
      </c>
      <c r="L1896">
        <v>0</v>
      </c>
      <c r="M1896">
        <v>1</v>
      </c>
      <c r="N1896">
        <f t="shared" si="58"/>
        <v>9.9614396585579107E-2</v>
      </c>
      <c r="O1896">
        <f t="shared" si="59"/>
        <v>0.45357740610764041</v>
      </c>
    </row>
    <row r="1897" spans="1:15">
      <c r="A1897">
        <v>10556</v>
      </c>
      <c r="B1897">
        <v>173</v>
      </c>
      <c r="C1897">
        <v>13</v>
      </c>
      <c r="D1897">
        <v>131</v>
      </c>
      <c r="E1897">
        <v>32</v>
      </c>
      <c r="F1897">
        <v>3</v>
      </c>
      <c r="G1897">
        <v>6</v>
      </c>
      <c r="H1897" t="s">
        <v>11</v>
      </c>
      <c r="I1897">
        <v>54984</v>
      </c>
      <c r="J1897">
        <v>0</v>
      </c>
      <c r="K1897">
        <v>1</v>
      </c>
      <c r="L1897">
        <v>0</v>
      </c>
      <c r="M1897">
        <v>1</v>
      </c>
      <c r="N1897">
        <f t="shared" si="58"/>
        <v>0.1354256019623109</v>
      </c>
      <c r="O1897">
        <f t="shared" si="59"/>
        <v>0.47350507263956571</v>
      </c>
    </row>
    <row r="1898" spans="1:15">
      <c r="A1898">
        <v>10560</v>
      </c>
      <c r="B1898">
        <v>16</v>
      </c>
      <c r="C1898">
        <v>1</v>
      </c>
      <c r="D1898">
        <v>2</v>
      </c>
      <c r="E1898">
        <v>0</v>
      </c>
      <c r="F1898">
        <v>0</v>
      </c>
      <c r="G1898">
        <v>1</v>
      </c>
      <c r="H1898" t="s">
        <v>12</v>
      </c>
      <c r="I1898">
        <v>36802</v>
      </c>
      <c r="J1898">
        <v>1</v>
      </c>
      <c r="K1898">
        <v>0</v>
      </c>
      <c r="L1898">
        <v>1</v>
      </c>
      <c r="M1898">
        <v>0</v>
      </c>
      <c r="N1898">
        <f t="shared" si="58"/>
        <v>-0.70581385044045064</v>
      </c>
      <c r="O1898">
        <f t="shared" si="59"/>
        <v>-0.36980412808518937</v>
      </c>
    </row>
    <row r="1899" spans="1:15">
      <c r="A1899">
        <v>10573</v>
      </c>
      <c r="B1899">
        <v>125</v>
      </c>
      <c r="C1899">
        <v>16</v>
      </c>
      <c r="D1899">
        <v>98</v>
      </c>
      <c r="E1899">
        <v>134</v>
      </c>
      <c r="F1899">
        <v>21</v>
      </c>
      <c r="G1899">
        <v>27</v>
      </c>
      <c r="H1899" t="s">
        <v>12</v>
      </c>
      <c r="I1899">
        <v>62551</v>
      </c>
      <c r="J1899">
        <v>0</v>
      </c>
      <c r="K1899">
        <v>0</v>
      </c>
      <c r="L1899">
        <v>1</v>
      </c>
      <c r="M1899">
        <v>0</v>
      </c>
      <c r="N1899">
        <f t="shared" si="58"/>
        <v>0.48553334238314999</v>
      </c>
      <c r="O1899">
        <f t="shared" si="59"/>
        <v>0.36169948905615973</v>
      </c>
    </row>
    <row r="1900" spans="1:15">
      <c r="A1900">
        <v>10581</v>
      </c>
      <c r="B1900">
        <v>281</v>
      </c>
      <c r="C1900">
        <v>7</v>
      </c>
      <c r="D1900">
        <v>84</v>
      </c>
      <c r="E1900">
        <v>15</v>
      </c>
      <c r="F1900">
        <v>0</v>
      </c>
      <c r="G1900">
        <v>119</v>
      </c>
      <c r="H1900" t="s">
        <v>11</v>
      </c>
      <c r="I1900">
        <v>41124</v>
      </c>
      <c r="J1900">
        <v>1</v>
      </c>
      <c r="K1900">
        <v>0</v>
      </c>
      <c r="L1900">
        <v>0</v>
      </c>
      <c r="M1900">
        <v>1</v>
      </c>
      <c r="N1900">
        <f t="shared" si="58"/>
        <v>-0.50584481990009555</v>
      </c>
      <c r="O1900">
        <f t="shared" si="59"/>
        <v>9.431169941534899E-2</v>
      </c>
    </row>
    <row r="1901" spans="1:15">
      <c r="A1901">
        <v>10582</v>
      </c>
      <c r="B1901">
        <v>180</v>
      </c>
      <c r="C1901">
        <v>32</v>
      </c>
      <c r="D1901">
        <v>348</v>
      </c>
      <c r="E1901">
        <v>76</v>
      </c>
      <c r="F1901">
        <v>32</v>
      </c>
      <c r="G1901">
        <v>90</v>
      </c>
      <c r="H1901" t="s">
        <v>11</v>
      </c>
      <c r="I1901">
        <v>72063</v>
      </c>
      <c r="J1901">
        <v>0</v>
      </c>
      <c r="K1901">
        <v>1</v>
      </c>
      <c r="L1901">
        <v>0</v>
      </c>
      <c r="M1901">
        <v>1</v>
      </c>
      <c r="N1901">
        <f t="shared" si="58"/>
        <v>0.92563177331786928</v>
      </c>
      <c r="O1901">
        <f t="shared" si="59"/>
        <v>0.78516227379760251</v>
      </c>
    </row>
    <row r="1902" spans="1:15">
      <c r="A1902">
        <v>10584</v>
      </c>
      <c r="B1902">
        <v>225</v>
      </c>
      <c r="C1902">
        <v>162</v>
      </c>
      <c r="D1902">
        <v>387</v>
      </c>
      <c r="E1902">
        <v>106</v>
      </c>
      <c r="F1902">
        <v>36</v>
      </c>
      <c r="G1902">
        <v>29</v>
      </c>
      <c r="H1902" t="s">
        <v>11</v>
      </c>
      <c r="I1902">
        <v>65665</v>
      </c>
      <c r="J1902">
        <v>0</v>
      </c>
      <c r="K1902">
        <v>1</v>
      </c>
      <c r="L1902">
        <v>0</v>
      </c>
      <c r="M1902">
        <v>1</v>
      </c>
      <c r="N1902">
        <f t="shared" si="58"/>
        <v>0.62961098261976856</v>
      </c>
      <c r="O1902">
        <f t="shared" si="59"/>
        <v>0.69891541575018523</v>
      </c>
    </row>
    <row r="1903" spans="1:15">
      <c r="A1903">
        <v>10590</v>
      </c>
      <c r="B1903">
        <v>794</v>
      </c>
      <c r="C1903">
        <v>73</v>
      </c>
      <c r="D1903">
        <v>573</v>
      </c>
      <c r="E1903">
        <v>0</v>
      </c>
      <c r="F1903">
        <v>29</v>
      </c>
      <c r="G1903">
        <v>14</v>
      </c>
      <c r="H1903" t="s">
        <v>11</v>
      </c>
      <c r="I1903">
        <v>76542</v>
      </c>
      <c r="J1903">
        <v>0</v>
      </c>
      <c r="K1903">
        <v>0</v>
      </c>
      <c r="L1903">
        <v>0</v>
      </c>
      <c r="M1903">
        <v>1</v>
      </c>
      <c r="N1903">
        <f t="shared" si="58"/>
        <v>1.1328648338894218</v>
      </c>
      <c r="O1903">
        <f t="shared" si="59"/>
        <v>0.99180229448358315</v>
      </c>
    </row>
    <row r="1904" spans="1:15">
      <c r="A1904">
        <v>10591</v>
      </c>
      <c r="B1904">
        <v>63</v>
      </c>
      <c r="C1904">
        <v>10</v>
      </c>
      <c r="D1904">
        <v>83</v>
      </c>
      <c r="E1904">
        <v>7</v>
      </c>
      <c r="F1904">
        <v>19</v>
      </c>
      <c r="G1904">
        <v>19</v>
      </c>
      <c r="H1904" t="s">
        <v>12</v>
      </c>
      <c r="I1904">
        <v>43638</v>
      </c>
      <c r="J1904">
        <v>0</v>
      </c>
      <c r="K1904">
        <v>1</v>
      </c>
      <c r="L1904">
        <v>1</v>
      </c>
      <c r="M1904">
        <v>0</v>
      </c>
      <c r="N1904">
        <f t="shared" si="58"/>
        <v>-0.38952780398652487</v>
      </c>
      <c r="O1904">
        <f t="shared" si="59"/>
        <v>-0.21990607769516465</v>
      </c>
    </row>
    <row r="1905" spans="1:15">
      <c r="A1905">
        <v>10595</v>
      </c>
      <c r="B1905">
        <v>2</v>
      </c>
      <c r="C1905">
        <v>6</v>
      </c>
      <c r="D1905">
        <v>28</v>
      </c>
      <c r="E1905">
        <v>13</v>
      </c>
      <c r="F1905">
        <v>4</v>
      </c>
      <c r="G1905">
        <v>16</v>
      </c>
      <c r="H1905" t="s">
        <v>11</v>
      </c>
      <c r="I1905">
        <v>30093</v>
      </c>
      <c r="J1905">
        <v>0</v>
      </c>
      <c r="K1905">
        <v>0</v>
      </c>
      <c r="L1905">
        <v>0</v>
      </c>
      <c r="M1905">
        <v>1</v>
      </c>
      <c r="N1905">
        <f t="shared" si="58"/>
        <v>-1.0162238980793312</v>
      </c>
      <c r="O1905">
        <f t="shared" si="59"/>
        <v>-0.19709350207923468</v>
      </c>
    </row>
    <row r="1906" spans="1:15">
      <c r="A1906">
        <v>10598</v>
      </c>
      <c r="B1906">
        <v>12</v>
      </c>
      <c r="C1906">
        <v>1</v>
      </c>
      <c r="D1906">
        <v>16</v>
      </c>
      <c r="E1906">
        <v>4</v>
      </c>
      <c r="F1906">
        <v>1</v>
      </c>
      <c r="G1906">
        <v>3</v>
      </c>
      <c r="H1906" t="s">
        <v>11</v>
      </c>
      <c r="I1906">
        <v>27943</v>
      </c>
      <c r="J1906">
        <v>1</v>
      </c>
      <c r="K1906">
        <v>1</v>
      </c>
      <c r="L1906">
        <v>0</v>
      </c>
      <c r="M1906">
        <v>1</v>
      </c>
      <c r="N1906">
        <f t="shared" si="58"/>
        <v>-1.1156994685702528</v>
      </c>
      <c r="O1906">
        <f t="shared" si="59"/>
        <v>-0.17637347266897135</v>
      </c>
    </row>
    <row r="1907" spans="1:15">
      <c r="A1907">
        <v>10609</v>
      </c>
      <c r="B1907">
        <v>71</v>
      </c>
      <c r="C1907">
        <v>0</v>
      </c>
      <c r="D1907">
        <v>13</v>
      </c>
      <c r="E1907">
        <v>3</v>
      </c>
      <c r="F1907">
        <v>1</v>
      </c>
      <c r="G1907">
        <v>0</v>
      </c>
      <c r="H1907" t="s">
        <v>11</v>
      </c>
      <c r="I1907">
        <v>42769</v>
      </c>
      <c r="J1907">
        <v>0</v>
      </c>
      <c r="K1907">
        <v>1</v>
      </c>
      <c r="L1907">
        <v>0</v>
      </c>
      <c r="M1907">
        <v>1</v>
      </c>
      <c r="N1907">
        <f t="shared" si="58"/>
        <v>-0.42973444154773927</v>
      </c>
      <c r="O1907">
        <f t="shared" si="59"/>
        <v>0.13847897163585124</v>
      </c>
    </row>
    <row r="1908" spans="1:15">
      <c r="A1908">
        <v>10613</v>
      </c>
      <c r="B1908">
        <v>26</v>
      </c>
      <c r="C1908">
        <v>1</v>
      </c>
      <c r="D1908">
        <v>16</v>
      </c>
      <c r="E1908">
        <v>2</v>
      </c>
      <c r="F1908">
        <v>2</v>
      </c>
      <c r="G1908">
        <v>15</v>
      </c>
      <c r="H1908" t="s">
        <v>11</v>
      </c>
      <c r="I1908">
        <v>37334</v>
      </c>
      <c r="J1908">
        <v>1</v>
      </c>
      <c r="K1908">
        <v>1</v>
      </c>
      <c r="L1908">
        <v>0</v>
      </c>
      <c r="M1908">
        <v>1</v>
      </c>
      <c r="N1908">
        <f t="shared" si="58"/>
        <v>-0.68119943020734819</v>
      </c>
      <c r="O1908">
        <f t="shared" si="59"/>
        <v>-1.9139736367915672E-3</v>
      </c>
    </row>
    <row r="1909" spans="1:15">
      <c r="A1909">
        <v>10619</v>
      </c>
      <c r="B1909">
        <v>770</v>
      </c>
      <c r="C1909">
        <v>29</v>
      </c>
      <c r="D1909">
        <v>890</v>
      </c>
      <c r="E1909">
        <v>250</v>
      </c>
      <c r="F1909">
        <v>27</v>
      </c>
      <c r="G1909">
        <v>24</v>
      </c>
      <c r="H1909" t="s">
        <v>12</v>
      </c>
      <c r="I1909">
        <v>95529</v>
      </c>
      <c r="J1909">
        <v>0</v>
      </c>
      <c r="K1909">
        <v>0</v>
      </c>
      <c r="L1909">
        <v>1</v>
      </c>
      <c r="M1909">
        <v>0</v>
      </c>
      <c r="N1909">
        <f t="shared" si="58"/>
        <v>2.0113497905922726</v>
      </c>
      <c r="O1909">
        <f t="shared" si="59"/>
        <v>0.74152730124527877</v>
      </c>
    </row>
    <row r="1910" spans="1:15">
      <c r="A1910">
        <v>10623</v>
      </c>
      <c r="B1910">
        <v>28</v>
      </c>
      <c r="C1910">
        <v>0</v>
      </c>
      <c r="D1910">
        <v>4</v>
      </c>
      <c r="E1910">
        <v>0</v>
      </c>
      <c r="F1910">
        <v>0</v>
      </c>
      <c r="G1910">
        <v>0</v>
      </c>
      <c r="H1910" t="s">
        <v>11</v>
      </c>
      <c r="I1910">
        <v>48330</v>
      </c>
      <c r="J1910">
        <v>0</v>
      </c>
      <c r="K1910">
        <v>1</v>
      </c>
      <c r="L1910">
        <v>0</v>
      </c>
      <c r="M1910">
        <v>1</v>
      </c>
      <c r="N1910">
        <f t="shared" si="58"/>
        <v>-0.17243972178029029</v>
      </c>
      <c r="O1910">
        <f t="shared" si="59"/>
        <v>0.29322311515199101</v>
      </c>
    </row>
    <row r="1911" spans="1:15">
      <c r="A1911">
        <v>10634</v>
      </c>
      <c r="B1911">
        <v>90</v>
      </c>
      <c r="C1911">
        <v>67</v>
      </c>
      <c r="D1911">
        <v>165</v>
      </c>
      <c r="E1911">
        <v>30</v>
      </c>
      <c r="F1911">
        <v>43</v>
      </c>
      <c r="G1911">
        <v>11</v>
      </c>
      <c r="H1911" t="s">
        <v>11</v>
      </c>
      <c r="I1911">
        <v>59412</v>
      </c>
      <c r="J1911">
        <v>0</v>
      </c>
      <c r="K1911">
        <v>0</v>
      </c>
      <c r="L1911">
        <v>0</v>
      </c>
      <c r="M1911">
        <v>1</v>
      </c>
      <c r="N1911">
        <f t="shared" si="58"/>
        <v>0.3402990094664044</v>
      </c>
      <c r="O1911">
        <f t="shared" si="59"/>
        <v>0.79745097224775607</v>
      </c>
    </row>
    <row r="1912" spans="1:15">
      <c r="A1912">
        <v>10637</v>
      </c>
      <c r="B1912">
        <v>24</v>
      </c>
      <c r="C1912">
        <v>0</v>
      </c>
      <c r="D1912">
        <v>27</v>
      </c>
      <c r="E1912">
        <v>8</v>
      </c>
      <c r="F1912">
        <v>30</v>
      </c>
      <c r="G1912">
        <v>10</v>
      </c>
      <c r="H1912" t="s">
        <v>11</v>
      </c>
      <c r="I1912">
        <v>40800</v>
      </c>
      <c r="J1912">
        <v>1</v>
      </c>
      <c r="K1912">
        <v>2</v>
      </c>
      <c r="L1912">
        <v>0</v>
      </c>
      <c r="M1912">
        <v>1</v>
      </c>
      <c r="N1912">
        <f t="shared" si="58"/>
        <v>-0.52083555703454143</v>
      </c>
      <c r="O1912">
        <f t="shared" si="59"/>
        <v>5.160751270761977E-2</v>
      </c>
    </row>
    <row r="1913" spans="1:15">
      <c r="A1913">
        <v>10640</v>
      </c>
      <c r="B1913">
        <v>87</v>
      </c>
      <c r="C1913">
        <v>5</v>
      </c>
      <c r="D1913">
        <v>71</v>
      </c>
      <c r="E1913">
        <v>7</v>
      </c>
      <c r="F1913">
        <v>12</v>
      </c>
      <c r="G1913">
        <v>29</v>
      </c>
      <c r="H1913" t="s">
        <v>11</v>
      </c>
      <c r="I1913">
        <v>44392</v>
      </c>
      <c r="J1913">
        <v>1</v>
      </c>
      <c r="K1913">
        <v>1</v>
      </c>
      <c r="L1913">
        <v>0</v>
      </c>
      <c r="M1913">
        <v>1</v>
      </c>
      <c r="N1913">
        <f t="shared" si="58"/>
        <v>-0.35464195275389471</v>
      </c>
      <c r="O1913">
        <f t="shared" si="59"/>
        <v>0.1509437273067521</v>
      </c>
    </row>
    <row r="1914" spans="1:15">
      <c r="A1914">
        <v>10641</v>
      </c>
      <c r="B1914">
        <v>6</v>
      </c>
      <c r="C1914">
        <v>5</v>
      </c>
      <c r="D1914">
        <v>4</v>
      </c>
      <c r="E1914">
        <v>13</v>
      </c>
      <c r="F1914">
        <v>4</v>
      </c>
      <c r="G1914">
        <v>25</v>
      </c>
      <c r="H1914" t="s">
        <v>12</v>
      </c>
      <c r="I1914">
        <v>7500</v>
      </c>
      <c r="J1914">
        <v>1</v>
      </c>
      <c r="K1914">
        <v>1</v>
      </c>
      <c r="L1914">
        <v>1</v>
      </c>
      <c r="M1914">
        <v>0</v>
      </c>
      <c r="N1914">
        <f t="shared" si="58"/>
        <v>-2.0615502069636999</v>
      </c>
      <c r="O1914">
        <f t="shared" si="59"/>
        <v>-0.63404208398992123</v>
      </c>
    </row>
    <row r="1915" spans="1:15">
      <c r="A1915">
        <v>10652</v>
      </c>
      <c r="B1915">
        <v>240</v>
      </c>
      <c r="C1915">
        <v>67</v>
      </c>
      <c r="D1915">
        <v>500</v>
      </c>
      <c r="E1915">
        <v>199</v>
      </c>
      <c r="F1915">
        <v>0</v>
      </c>
      <c r="G1915">
        <v>163</v>
      </c>
      <c r="H1915" t="s">
        <v>11</v>
      </c>
      <c r="I1915">
        <v>65487</v>
      </c>
      <c r="J1915">
        <v>0</v>
      </c>
      <c r="K1915">
        <v>0</v>
      </c>
      <c r="L1915">
        <v>0</v>
      </c>
      <c r="M1915">
        <v>1</v>
      </c>
      <c r="N1915">
        <f t="shared" si="58"/>
        <v>0.62137533073726436</v>
      </c>
      <c r="O1915">
        <f t="shared" si="59"/>
        <v>0.91318861868356405</v>
      </c>
    </row>
    <row r="1916" spans="1:15">
      <c r="A1916">
        <v>10659</v>
      </c>
      <c r="B1916">
        <v>2</v>
      </c>
      <c r="C1916">
        <v>8</v>
      </c>
      <c r="D1916">
        <v>11</v>
      </c>
      <c r="E1916">
        <v>3</v>
      </c>
      <c r="F1916">
        <v>8</v>
      </c>
      <c r="G1916">
        <v>21</v>
      </c>
      <c r="H1916" t="s">
        <v>11</v>
      </c>
      <c r="I1916">
        <v>7500</v>
      </c>
      <c r="J1916">
        <v>1</v>
      </c>
      <c r="K1916">
        <v>0</v>
      </c>
      <c r="L1916">
        <v>0</v>
      </c>
      <c r="M1916">
        <v>1</v>
      </c>
      <c r="N1916">
        <f t="shared" si="58"/>
        <v>-2.0615502069636999</v>
      </c>
      <c r="O1916">
        <f t="shared" si="59"/>
        <v>-0.45866329104289905</v>
      </c>
    </row>
    <row r="1917" spans="1:15">
      <c r="A1917">
        <v>10660</v>
      </c>
      <c r="B1917">
        <v>349</v>
      </c>
      <c r="C1917">
        <v>7</v>
      </c>
      <c r="D1917">
        <v>35</v>
      </c>
      <c r="E1917">
        <v>0</v>
      </c>
      <c r="F1917">
        <v>0</v>
      </c>
      <c r="G1917">
        <v>47</v>
      </c>
      <c r="H1917" t="s">
        <v>11</v>
      </c>
      <c r="I1917">
        <v>66726</v>
      </c>
      <c r="J1917">
        <v>1</v>
      </c>
      <c r="K1917">
        <v>1</v>
      </c>
      <c r="L1917">
        <v>0</v>
      </c>
      <c r="M1917">
        <v>1</v>
      </c>
      <c r="N1917">
        <f t="shared" si="58"/>
        <v>0.67870101996435828</v>
      </c>
      <c r="O1917">
        <f t="shared" si="59"/>
        <v>0.603456718037789</v>
      </c>
    </row>
    <row r="1918" spans="1:15">
      <c r="A1918">
        <v>10664</v>
      </c>
      <c r="B1918">
        <v>400</v>
      </c>
      <c r="C1918">
        <v>4</v>
      </c>
      <c r="D1918">
        <v>35</v>
      </c>
      <c r="E1918">
        <v>6</v>
      </c>
      <c r="F1918">
        <v>0</v>
      </c>
      <c r="G1918">
        <v>22</v>
      </c>
      <c r="H1918" t="s">
        <v>12</v>
      </c>
      <c r="I1918">
        <v>51529</v>
      </c>
      <c r="J1918">
        <v>0</v>
      </c>
      <c r="K1918">
        <v>1</v>
      </c>
      <c r="L1918">
        <v>1</v>
      </c>
      <c r="M1918">
        <v>0</v>
      </c>
      <c r="N1918">
        <f t="shared" si="58"/>
        <v>-2.4429326431239927E-2</v>
      </c>
      <c r="O1918">
        <f t="shared" si="59"/>
        <v>-1.4302915037730632E-2</v>
      </c>
    </row>
    <row r="1919" spans="1:15">
      <c r="A1919">
        <v>10669</v>
      </c>
      <c r="B1919">
        <v>277</v>
      </c>
      <c r="C1919">
        <v>21</v>
      </c>
      <c r="D1919">
        <v>64</v>
      </c>
      <c r="E1919">
        <v>62</v>
      </c>
      <c r="F1919">
        <v>21</v>
      </c>
      <c r="G1919">
        <v>25</v>
      </c>
      <c r="H1919" t="s">
        <v>11</v>
      </c>
      <c r="I1919">
        <v>54386</v>
      </c>
      <c r="J1919">
        <v>0</v>
      </c>
      <c r="K1919">
        <v>1</v>
      </c>
      <c r="L1919">
        <v>0</v>
      </c>
      <c r="M1919">
        <v>1</v>
      </c>
      <c r="N1919">
        <f t="shared" si="58"/>
        <v>0.10775751305367315</v>
      </c>
      <c r="O1919">
        <f t="shared" si="59"/>
        <v>0.45814155959368641</v>
      </c>
    </row>
    <row r="1920" spans="1:15">
      <c r="A1920">
        <v>10673</v>
      </c>
      <c r="B1920">
        <v>760</v>
      </c>
      <c r="C1920">
        <v>80</v>
      </c>
      <c r="D1920">
        <v>466</v>
      </c>
      <c r="E1920">
        <v>17</v>
      </c>
      <c r="F1920">
        <v>13</v>
      </c>
      <c r="G1920">
        <v>80</v>
      </c>
      <c r="H1920" t="s">
        <v>11</v>
      </c>
      <c r="I1920">
        <v>68397</v>
      </c>
      <c r="J1920">
        <v>0</v>
      </c>
      <c r="K1920">
        <v>1</v>
      </c>
      <c r="L1920">
        <v>0</v>
      </c>
      <c r="M1920">
        <v>1</v>
      </c>
      <c r="N1920">
        <f t="shared" si="58"/>
        <v>0.75601435870404665</v>
      </c>
      <c r="O1920">
        <f t="shared" si="59"/>
        <v>0.73997028031302958</v>
      </c>
    </row>
    <row r="1921" spans="1:15">
      <c r="A1921">
        <v>10675</v>
      </c>
      <c r="B1921">
        <v>909</v>
      </c>
      <c r="C1921">
        <v>11</v>
      </c>
      <c r="D1921">
        <v>218</v>
      </c>
      <c r="E1921">
        <v>0</v>
      </c>
      <c r="F1921">
        <v>0</v>
      </c>
      <c r="G1921">
        <v>23</v>
      </c>
      <c r="H1921" t="s">
        <v>11</v>
      </c>
      <c r="I1921">
        <v>66334</v>
      </c>
      <c r="J1921">
        <v>0</v>
      </c>
      <c r="K1921">
        <v>1</v>
      </c>
      <c r="L1921">
        <v>0</v>
      </c>
      <c r="M1921">
        <v>1</v>
      </c>
      <c r="N1921">
        <f t="shared" si="58"/>
        <v>0.66056407873996703</v>
      </c>
      <c r="O1921">
        <f t="shared" si="59"/>
        <v>0.70958573230228594</v>
      </c>
    </row>
    <row r="1922" spans="1:15">
      <c r="A1922">
        <v>10676</v>
      </c>
      <c r="B1922">
        <v>145</v>
      </c>
      <c r="C1922">
        <v>193</v>
      </c>
      <c r="D1922">
        <v>459</v>
      </c>
      <c r="E1922">
        <v>205</v>
      </c>
      <c r="F1922">
        <v>26</v>
      </c>
      <c r="G1922">
        <v>145</v>
      </c>
      <c r="H1922" t="s">
        <v>11</v>
      </c>
      <c r="I1922">
        <v>63211</v>
      </c>
      <c r="J1922">
        <v>0</v>
      </c>
      <c r="K1922">
        <v>0</v>
      </c>
      <c r="L1922">
        <v>0</v>
      </c>
      <c r="M1922">
        <v>1</v>
      </c>
      <c r="N1922">
        <f t="shared" si="58"/>
        <v>0.51607002913850264</v>
      </c>
      <c r="O1922">
        <f t="shared" si="59"/>
        <v>0.87790682769698358</v>
      </c>
    </row>
    <row r="1923" spans="1:15">
      <c r="A1923">
        <v>10678</v>
      </c>
      <c r="B1923">
        <v>653</v>
      </c>
      <c r="C1923">
        <v>17</v>
      </c>
      <c r="D1923">
        <v>170</v>
      </c>
      <c r="E1923">
        <v>34</v>
      </c>
      <c r="F1923">
        <v>26</v>
      </c>
      <c r="G1923">
        <v>17</v>
      </c>
      <c r="H1923" t="s">
        <v>11</v>
      </c>
      <c r="I1923">
        <v>71232</v>
      </c>
      <c r="J1923">
        <v>0</v>
      </c>
      <c r="K1923">
        <v>1</v>
      </c>
      <c r="L1923">
        <v>0</v>
      </c>
      <c r="M1923">
        <v>1</v>
      </c>
      <c r="N1923">
        <f t="shared" ref="N1923:N1986" si="60">STANDARDIZE(I1923,$Q$1,$R$1)</f>
        <v>0.88718330863044803</v>
      </c>
      <c r="O1923">
        <f t="shared" ref="O1923:O1986" si="61">SUMPRODUCT(J1923:N1923,$Q$4:$U$4) / SQRT(SUMSQ(J1923:N1923) * SUMSQ($Q$4:$U$4))</f>
        <v>0.77584737011947413</v>
      </c>
    </row>
    <row r="1924" spans="1:15">
      <c r="A1924">
        <v>10680</v>
      </c>
      <c r="B1924">
        <v>45</v>
      </c>
      <c r="C1924">
        <v>0</v>
      </c>
      <c r="D1924">
        <v>16</v>
      </c>
      <c r="E1924">
        <v>2</v>
      </c>
      <c r="F1924">
        <v>1</v>
      </c>
      <c r="G1924">
        <v>6</v>
      </c>
      <c r="H1924" t="s">
        <v>11</v>
      </c>
      <c r="I1924">
        <v>33235</v>
      </c>
      <c r="J1924">
        <v>1</v>
      </c>
      <c r="K1924">
        <v>0</v>
      </c>
      <c r="L1924">
        <v>0</v>
      </c>
      <c r="M1924">
        <v>1</v>
      </c>
      <c r="N1924">
        <f t="shared" si="60"/>
        <v>-0.87085076204097034</v>
      </c>
      <c r="O1924">
        <f t="shared" si="61"/>
        <v>-9.6707945925856964E-2</v>
      </c>
    </row>
    <row r="1925" spans="1:15">
      <c r="A1925">
        <v>10686</v>
      </c>
      <c r="B1925">
        <v>15</v>
      </c>
      <c r="C1925">
        <v>0</v>
      </c>
      <c r="D1925">
        <v>4</v>
      </c>
      <c r="E1925">
        <v>0</v>
      </c>
      <c r="F1925">
        <v>0</v>
      </c>
      <c r="G1925">
        <v>2</v>
      </c>
      <c r="H1925" t="s">
        <v>11</v>
      </c>
      <c r="I1925">
        <v>34230</v>
      </c>
      <c r="J1925">
        <v>1</v>
      </c>
      <c r="K1925">
        <v>1</v>
      </c>
      <c r="L1925">
        <v>0</v>
      </c>
      <c r="M1925">
        <v>1</v>
      </c>
      <c r="N1925">
        <f t="shared" si="60"/>
        <v>-0.82481439337191598</v>
      </c>
      <c r="O1925">
        <f t="shared" si="61"/>
        <v>-6.385090494315028E-2</v>
      </c>
    </row>
    <row r="1926" spans="1:15">
      <c r="A1926">
        <v>10691</v>
      </c>
      <c r="B1926">
        <v>11</v>
      </c>
      <c r="C1926">
        <v>0</v>
      </c>
      <c r="D1926">
        <v>10</v>
      </c>
      <c r="E1926">
        <v>0</v>
      </c>
      <c r="F1926">
        <v>2</v>
      </c>
      <c r="G1926">
        <v>20</v>
      </c>
      <c r="H1926" t="s">
        <v>11</v>
      </c>
      <c r="I1926">
        <v>28520</v>
      </c>
      <c r="J1926">
        <v>1</v>
      </c>
      <c r="K1926">
        <v>1</v>
      </c>
      <c r="L1926">
        <v>0</v>
      </c>
      <c r="M1926">
        <v>1</v>
      </c>
      <c r="N1926">
        <f t="shared" si="60"/>
        <v>-1.0890030015129217</v>
      </c>
      <c r="O1926">
        <f t="shared" si="61"/>
        <v>-0.1668034788136063</v>
      </c>
    </row>
    <row r="1927" spans="1:15">
      <c r="A1927">
        <v>10699</v>
      </c>
      <c r="B1927">
        <v>46</v>
      </c>
      <c r="C1927">
        <v>0</v>
      </c>
      <c r="D1927">
        <v>40</v>
      </c>
      <c r="E1927">
        <v>3</v>
      </c>
      <c r="F1927">
        <v>0</v>
      </c>
      <c r="G1927">
        <v>3</v>
      </c>
      <c r="H1927" t="s">
        <v>11</v>
      </c>
      <c r="I1927">
        <v>44322</v>
      </c>
      <c r="J1927">
        <v>1</v>
      </c>
      <c r="K1927">
        <v>0</v>
      </c>
      <c r="L1927">
        <v>0</v>
      </c>
      <c r="M1927">
        <v>1</v>
      </c>
      <c r="N1927">
        <f t="shared" si="60"/>
        <v>-0.35788069225825025</v>
      </c>
      <c r="O1927">
        <f t="shared" si="61"/>
        <v>0.18109771831394014</v>
      </c>
    </row>
    <row r="1928" spans="1:15">
      <c r="A1928">
        <v>10701</v>
      </c>
      <c r="B1928">
        <v>713</v>
      </c>
      <c r="C1928">
        <v>0</v>
      </c>
      <c r="D1928">
        <v>264</v>
      </c>
      <c r="E1928">
        <v>120</v>
      </c>
      <c r="F1928">
        <v>80</v>
      </c>
      <c r="G1928">
        <v>34</v>
      </c>
      <c r="H1928" t="s">
        <v>11</v>
      </c>
      <c r="I1928">
        <v>65308</v>
      </c>
      <c r="J1928">
        <v>0</v>
      </c>
      <c r="K1928">
        <v>0</v>
      </c>
      <c r="L1928">
        <v>0</v>
      </c>
      <c r="M1928">
        <v>1</v>
      </c>
      <c r="N1928">
        <f t="shared" si="60"/>
        <v>0.61309341114755511</v>
      </c>
      <c r="O1928">
        <f t="shared" si="61"/>
        <v>0.9107281532437711</v>
      </c>
    </row>
    <row r="1929" spans="1:15">
      <c r="A1929">
        <v>10702</v>
      </c>
      <c r="B1929">
        <v>185</v>
      </c>
      <c r="C1929">
        <v>8</v>
      </c>
      <c r="D1929">
        <v>133</v>
      </c>
      <c r="E1929">
        <v>56</v>
      </c>
      <c r="F1929">
        <v>56</v>
      </c>
      <c r="G1929">
        <v>12</v>
      </c>
      <c r="H1929" t="s">
        <v>12</v>
      </c>
      <c r="I1929">
        <v>52413</v>
      </c>
      <c r="J1929">
        <v>1</v>
      </c>
      <c r="K1929">
        <v>0</v>
      </c>
      <c r="L1929">
        <v>1</v>
      </c>
      <c r="M1929">
        <v>0</v>
      </c>
      <c r="N1929">
        <f t="shared" si="60"/>
        <v>1.6471326738050643E-2</v>
      </c>
      <c r="O1929">
        <f t="shared" si="61"/>
        <v>9.6444392114471422E-3</v>
      </c>
    </row>
    <row r="1930" spans="1:15">
      <c r="A1930">
        <v>10704</v>
      </c>
      <c r="B1930">
        <v>404</v>
      </c>
      <c r="C1930">
        <v>0</v>
      </c>
      <c r="D1930">
        <v>92</v>
      </c>
      <c r="E1930">
        <v>28</v>
      </c>
      <c r="F1930">
        <v>27</v>
      </c>
      <c r="G1930">
        <v>142</v>
      </c>
      <c r="H1930" t="s">
        <v>12</v>
      </c>
      <c r="I1930">
        <v>54803</v>
      </c>
      <c r="J1930">
        <v>0</v>
      </c>
      <c r="K1930">
        <v>1</v>
      </c>
      <c r="L1930">
        <v>1</v>
      </c>
      <c r="M1930">
        <v>0</v>
      </c>
      <c r="N1930">
        <f t="shared" si="60"/>
        <v>0.12705114695819145</v>
      </c>
      <c r="O1930">
        <f t="shared" si="61"/>
        <v>7.4098750107584044E-2</v>
      </c>
    </row>
    <row r="1931" spans="1:15">
      <c r="A1931">
        <v>10708</v>
      </c>
      <c r="B1931">
        <v>10</v>
      </c>
      <c r="C1931">
        <v>6</v>
      </c>
      <c r="D1931">
        <v>11</v>
      </c>
      <c r="E1931">
        <v>0</v>
      </c>
      <c r="F1931">
        <v>4</v>
      </c>
      <c r="G1931">
        <v>2</v>
      </c>
      <c r="H1931" t="s">
        <v>12</v>
      </c>
      <c r="I1931">
        <v>36975</v>
      </c>
      <c r="J1931">
        <v>1</v>
      </c>
      <c r="K1931">
        <v>0</v>
      </c>
      <c r="L1931">
        <v>1</v>
      </c>
      <c r="M1931">
        <v>0</v>
      </c>
      <c r="N1931">
        <f t="shared" si="60"/>
        <v>-0.69780953709397175</v>
      </c>
      <c r="O1931">
        <f t="shared" si="61"/>
        <v>-0.36643526162178225</v>
      </c>
    </row>
    <row r="1932" spans="1:15">
      <c r="A1932">
        <v>10710</v>
      </c>
      <c r="B1932">
        <v>5</v>
      </c>
      <c r="C1932">
        <v>2</v>
      </c>
      <c r="D1932">
        <v>3</v>
      </c>
      <c r="E1932">
        <v>3</v>
      </c>
      <c r="F1932">
        <v>0</v>
      </c>
      <c r="G1932">
        <v>5</v>
      </c>
      <c r="H1932" t="s">
        <v>11</v>
      </c>
      <c r="I1932">
        <v>7500</v>
      </c>
      <c r="J1932">
        <v>0</v>
      </c>
      <c r="K1932">
        <v>1</v>
      </c>
      <c r="L1932">
        <v>0</v>
      </c>
      <c r="M1932">
        <v>1</v>
      </c>
      <c r="N1932">
        <f t="shared" si="60"/>
        <v>-2.0615502069636999</v>
      </c>
      <c r="O1932">
        <f t="shared" si="61"/>
        <v>-0.45866329104289905</v>
      </c>
    </row>
    <row r="1933" spans="1:15">
      <c r="A1933">
        <v>10711</v>
      </c>
      <c r="B1933">
        <v>217</v>
      </c>
      <c r="C1933">
        <v>77</v>
      </c>
      <c r="D1933">
        <v>373</v>
      </c>
      <c r="E1933">
        <v>111</v>
      </c>
      <c r="F1933">
        <v>23</v>
      </c>
      <c r="G1933">
        <v>93</v>
      </c>
      <c r="H1933" t="s">
        <v>11</v>
      </c>
      <c r="I1933">
        <v>69755</v>
      </c>
      <c r="J1933">
        <v>0</v>
      </c>
      <c r="K1933">
        <v>0</v>
      </c>
      <c r="L1933">
        <v>0</v>
      </c>
      <c r="M1933">
        <v>1</v>
      </c>
      <c r="N1933">
        <f t="shared" si="60"/>
        <v>0.81884590508854505</v>
      </c>
      <c r="O1933">
        <f t="shared" si="61"/>
        <v>0.95835336258483494</v>
      </c>
    </row>
    <row r="1934" spans="1:15">
      <c r="A1934">
        <v>10722</v>
      </c>
      <c r="B1934">
        <v>293</v>
      </c>
      <c r="C1934">
        <v>8</v>
      </c>
      <c r="D1934">
        <v>124</v>
      </c>
      <c r="E1934">
        <v>11</v>
      </c>
      <c r="F1934">
        <v>4</v>
      </c>
      <c r="G1934">
        <v>106</v>
      </c>
      <c r="H1934" t="s">
        <v>11</v>
      </c>
      <c r="I1934">
        <v>55593</v>
      </c>
      <c r="J1934">
        <v>0</v>
      </c>
      <c r="K1934">
        <v>1</v>
      </c>
      <c r="L1934">
        <v>0</v>
      </c>
      <c r="M1934">
        <v>1</v>
      </c>
      <c r="N1934">
        <f t="shared" si="60"/>
        <v>0.1636026356502045</v>
      </c>
      <c r="O1934">
        <f t="shared" si="61"/>
        <v>0.4889100917697633</v>
      </c>
    </row>
    <row r="1935" spans="1:15">
      <c r="A1935">
        <v>10736</v>
      </c>
      <c r="B1935">
        <v>522</v>
      </c>
      <c r="C1935">
        <v>0</v>
      </c>
      <c r="D1935">
        <v>522</v>
      </c>
      <c r="E1935">
        <v>227</v>
      </c>
      <c r="F1935">
        <v>120</v>
      </c>
      <c r="G1935">
        <v>134</v>
      </c>
      <c r="H1935" t="s">
        <v>12</v>
      </c>
      <c r="I1935">
        <v>72258</v>
      </c>
      <c r="J1935">
        <v>0</v>
      </c>
      <c r="K1935">
        <v>1</v>
      </c>
      <c r="L1935">
        <v>1</v>
      </c>
      <c r="M1935">
        <v>0</v>
      </c>
      <c r="N1935">
        <f t="shared" si="60"/>
        <v>0.93465397622285995</v>
      </c>
      <c r="O1935">
        <f t="shared" si="61"/>
        <v>0.45659611178027143</v>
      </c>
    </row>
    <row r="1936" spans="1:15">
      <c r="A1936">
        <v>10738</v>
      </c>
      <c r="B1936">
        <v>40</v>
      </c>
      <c r="C1936">
        <v>0</v>
      </c>
      <c r="D1936">
        <v>19</v>
      </c>
      <c r="E1936">
        <v>2</v>
      </c>
      <c r="F1936">
        <v>1</v>
      </c>
      <c r="G1936">
        <v>3</v>
      </c>
      <c r="H1936" t="s">
        <v>12</v>
      </c>
      <c r="I1936">
        <v>49389</v>
      </c>
      <c r="J1936">
        <v>1</v>
      </c>
      <c r="K1936">
        <v>1</v>
      </c>
      <c r="L1936">
        <v>1</v>
      </c>
      <c r="M1936">
        <v>0</v>
      </c>
      <c r="N1936">
        <f t="shared" si="60"/>
        <v>-0.12344221985011077</v>
      </c>
      <c r="O1936">
        <f t="shared" si="61"/>
        <v>-5.8870235837872702E-2</v>
      </c>
    </row>
    <row r="1937" spans="1:15">
      <c r="A1937">
        <v>10742</v>
      </c>
      <c r="B1937">
        <v>532</v>
      </c>
      <c r="C1937">
        <v>21</v>
      </c>
      <c r="D1937">
        <v>127</v>
      </c>
      <c r="E1937">
        <v>26</v>
      </c>
      <c r="F1937">
        <v>20</v>
      </c>
      <c r="G1937">
        <v>20</v>
      </c>
      <c r="H1937" t="s">
        <v>11</v>
      </c>
      <c r="I1937">
        <v>86580</v>
      </c>
      <c r="J1937">
        <v>0</v>
      </c>
      <c r="K1937">
        <v>0</v>
      </c>
      <c r="L1937">
        <v>0</v>
      </c>
      <c r="M1937">
        <v>1</v>
      </c>
      <c r="N1937">
        <f t="shared" si="60"/>
        <v>1.5973000788140133</v>
      </c>
      <c r="O1937">
        <f t="shared" si="61"/>
        <v>0.99936304962065492</v>
      </c>
    </row>
    <row r="1938" spans="1:15">
      <c r="A1938">
        <v>10749</v>
      </c>
      <c r="B1938">
        <v>73</v>
      </c>
      <c r="C1938">
        <v>18</v>
      </c>
      <c r="D1938">
        <v>66</v>
      </c>
      <c r="E1938">
        <v>7</v>
      </c>
      <c r="F1938">
        <v>12</v>
      </c>
      <c r="G1938">
        <v>2</v>
      </c>
      <c r="H1938" t="s">
        <v>12</v>
      </c>
      <c r="I1938">
        <v>8028</v>
      </c>
      <c r="J1938">
        <v>0</v>
      </c>
      <c r="K1938">
        <v>0</v>
      </c>
      <c r="L1938">
        <v>1</v>
      </c>
      <c r="M1938">
        <v>0</v>
      </c>
      <c r="N1938">
        <f t="shared" si="60"/>
        <v>-2.0371208575594175</v>
      </c>
      <c r="O1938">
        <f t="shared" si="61"/>
        <v>-0.74338171692665878</v>
      </c>
    </row>
    <row r="1939" spans="1:15">
      <c r="A1939">
        <v>10755</v>
      </c>
      <c r="B1939">
        <v>6</v>
      </c>
      <c r="C1939">
        <v>3</v>
      </c>
      <c r="D1939">
        <v>14</v>
      </c>
      <c r="E1939">
        <v>15</v>
      </c>
      <c r="F1939">
        <v>7</v>
      </c>
      <c r="G1939">
        <v>36</v>
      </c>
      <c r="H1939" t="s">
        <v>11</v>
      </c>
      <c r="I1939">
        <v>23718</v>
      </c>
      <c r="J1939">
        <v>1</v>
      </c>
      <c r="K1939">
        <v>0</v>
      </c>
      <c r="L1939">
        <v>0</v>
      </c>
      <c r="M1939">
        <v>1</v>
      </c>
      <c r="N1939">
        <f t="shared" si="60"/>
        <v>-1.3111805315117151</v>
      </c>
      <c r="O1939">
        <f t="shared" si="61"/>
        <v>-0.27236500489539728</v>
      </c>
    </row>
    <row r="1940" spans="1:15">
      <c r="A1940">
        <v>10757</v>
      </c>
      <c r="B1940">
        <v>4</v>
      </c>
      <c r="C1940">
        <v>2</v>
      </c>
      <c r="D1940">
        <v>5</v>
      </c>
      <c r="E1940">
        <v>2</v>
      </c>
      <c r="F1940">
        <v>0</v>
      </c>
      <c r="G1940">
        <v>0</v>
      </c>
      <c r="H1940" t="s">
        <v>12</v>
      </c>
      <c r="I1940">
        <v>28420</v>
      </c>
      <c r="J1940">
        <v>1</v>
      </c>
      <c r="K1940">
        <v>0</v>
      </c>
      <c r="L1940">
        <v>1</v>
      </c>
      <c r="M1940">
        <v>0</v>
      </c>
      <c r="N1940">
        <f t="shared" si="60"/>
        <v>-1.0936297722334298</v>
      </c>
      <c r="O1940">
        <f t="shared" si="61"/>
        <v>-0.50659163888541792</v>
      </c>
    </row>
    <row r="1941" spans="1:15">
      <c r="A1941">
        <v>10767</v>
      </c>
      <c r="B1941">
        <v>760</v>
      </c>
      <c r="C1941">
        <v>40</v>
      </c>
      <c r="D1941">
        <v>480</v>
      </c>
      <c r="E1941">
        <v>0</v>
      </c>
      <c r="F1941">
        <v>40</v>
      </c>
      <c r="G1941">
        <v>26</v>
      </c>
      <c r="H1941" t="s">
        <v>11</v>
      </c>
      <c r="I1941">
        <v>77845</v>
      </c>
      <c r="J1941">
        <v>0</v>
      </c>
      <c r="K1941">
        <v>0</v>
      </c>
      <c r="L1941">
        <v>0</v>
      </c>
      <c r="M1941">
        <v>1</v>
      </c>
      <c r="N1941">
        <f t="shared" si="60"/>
        <v>1.193151656377641</v>
      </c>
      <c r="O1941">
        <f t="shared" si="61"/>
        <v>0.99475125063186698</v>
      </c>
    </row>
    <row r="1942" spans="1:15">
      <c r="A1942">
        <v>10770</v>
      </c>
      <c r="B1942">
        <v>247</v>
      </c>
      <c r="C1942">
        <v>161</v>
      </c>
      <c r="D1942">
        <v>295</v>
      </c>
      <c r="E1942">
        <v>210</v>
      </c>
      <c r="F1942">
        <v>85</v>
      </c>
      <c r="G1942">
        <v>47</v>
      </c>
      <c r="H1942" t="s">
        <v>11</v>
      </c>
      <c r="I1942">
        <v>65492</v>
      </c>
      <c r="J1942">
        <v>0</v>
      </c>
      <c r="K1942">
        <v>0</v>
      </c>
      <c r="L1942">
        <v>0</v>
      </c>
      <c r="M1942">
        <v>1</v>
      </c>
      <c r="N1942">
        <f t="shared" si="60"/>
        <v>0.62160666927328978</v>
      </c>
      <c r="O1942">
        <f t="shared" si="61"/>
        <v>0.91325661605261532</v>
      </c>
    </row>
    <row r="1943" spans="1:15">
      <c r="A1943">
        <v>10779</v>
      </c>
      <c r="B1943">
        <v>15</v>
      </c>
      <c r="C1943">
        <v>5</v>
      </c>
      <c r="D1943">
        <v>14</v>
      </c>
      <c r="E1943">
        <v>0</v>
      </c>
      <c r="F1943">
        <v>4</v>
      </c>
      <c r="G1943">
        <v>11</v>
      </c>
      <c r="H1943" t="s">
        <v>12</v>
      </c>
      <c r="I1943">
        <v>22148</v>
      </c>
      <c r="J1943">
        <v>0</v>
      </c>
      <c r="K1943">
        <v>0</v>
      </c>
      <c r="L1943">
        <v>1</v>
      </c>
      <c r="M1943">
        <v>0</v>
      </c>
      <c r="N1943">
        <f t="shared" si="60"/>
        <v>-1.3838208318236904</v>
      </c>
      <c r="O1943">
        <f t="shared" si="61"/>
        <v>-0.67120689235197017</v>
      </c>
    </row>
    <row r="1944" spans="1:15">
      <c r="A1944">
        <v>10785</v>
      </c>
      <c r="B1944">
        <v>24</v>
      </c>
      <c r="C1944">
        <v>1</v>
      </c>
      <c r="D1944">
        <v>10</v>
      </c>
      <c r="E1944">
        <v>2</v>
      </c>
      <c r="F1944">
        <v>0</v>
      </c>
      <c r="G1944">
        <v>4</v>
      </c>
      <c r="H1944" t="s">
        <v>11</v>
      </c>
      <c r="I1944">
        <v>44078</v>
      </c>
      <c r="J1944">
        <v>1</v>
      </c>
      <c r="K1944">
        <v>1</v>
      </c>
      <c r="L1944">
        <v>0</v>
      </c>
      <c r="M1944">
        <v>1</v>
      </c>
      <c r="N1944">
        <f t="shared" si="60"/>
        <v>-0.36917001281628975</v>
      </c>
      <c r="O1944">
        <f t="shared" si="61"/>
        <v>0.14389698207306331</v>
      </c>
    </row>
    <row r="1945" spans="1:15">
      <c r="A1945">
        <v>10790</v>
      </c>
      <c r="B1945">
        <v>9</v>
      </c>
      <c r="C1945">
        <v>0</v>
      </c>
      <c r="D1945">
        <v>5</v>
      </c>
      <c r="E1945">
        <v>0</v>
      </c>
      <c r="F1945">
        <v>0</v>
      </c>
      <c r="G1945">
        <v>7</v>
      </c>
      <c r="H1945" t="s">
        <v>11</v>
      </c>
      <c r="I1945">
        <v>18169</v>
      </c>
      <c r="J1945">
        <v>1</v>
      </c>
      <c r="K1945">
        <v>0</v>
      </c>
      <c r="L1945">
        <v>0</v>
      </c>
      <c r="M1945">
        <v>1</v>
      </c>
      <c r="N1945">
        <f t="shared" si="60"/>
        <v>-1.567920038792703</v>
      </c>
      <c r="O1945">
        <f t="shared" si="61"/>
        <v>-0.34945655128753883</v>
      </c>
    </row>
    <row r="1946" spans="1:15">
      <c r="A1946">
        <v>10796</v>
      </c>
      <c r="B1946">
        <v>47</v>
      </c>
      <c r="C1946">
        <v>1</v>
      </c>
      <c r="D1946">
        <v>6</v>
      </c>
      <c r="E1946">
        <v>0</v>
      </c>
      <c r="F1946">
        <v>0</v>
      </c>
      <c r="G1946">
        <v>12</v>
      </c>
      <c r="H1946" t="s">
        <v>11</v>
      </c>
      <c r="I1946">
        <v>30477</v>
      </c>
      <c r="J1946">
        <v>1</v>
      </c>
      <c r="K1946">
        <v>0</v>
      </c>
      <c r="L1946">
        <v>0</v>
      </c>
      <c r="M1946">
        <v>1</v>
      </c>
      <c r="N1946">
        <f t="shared" si="60"/>
        <v>-0.99845709851258058</v>
      </c>
      <c r="O1946">
        <f t="shared" si="61"/>
        <v>-0.15382134671968226</v>
      </c>
    </row>
    <row r="1947" spans="1:15">
      <c r="A1947">
        <v>10812</v>
      </c>
      <c r="B1947">
        <v>37</v>
      </c>
      <c r="C1947">
        <v>0</v>
      </c>
      <c r="D1947">
        <v>46</v>
      </c>
      <c r="E1947">
        <v>4</v>
      </c>
      <c r="F1947">
        <v>3</v>
      </c>
      <c r="G1947">
        <v>0</v>
      </c>
      <c r="H1947" t="s">
        <v>11</v>
      </c>
      <c r="I1947">
        <v>46377</v>
      </c>
      <c r="J1947">
        <v>1</v>
      </c>
      <c r="K1947">
        <v>0</v>
      </c>
      <c r="L1947">
        <v>0</v>
      </c>
      <c r="M1947">
        <v>1</v>
      </c>
      <c r="N1947">
        <f t="shared" si="60"/>
        <v>-0.26280055395181123</v>
      </c>
      <c r="O1947">
        <f t="shared" si="61"/>
        <v>0.23840107306491257</v>
      </c>
    </row>
    <row r="1948" spans="1:15">
      <c r="A1948">
        <v>10814</v>
      </c>
      <c r="B1948">
        <v>303</v>
      </c>
      <c r="C1948">
        <v>23</v>
      </c>
      <c r="D1948">
        <v>751</v>
      </c>
      <c r="E1948">
        <v>82</v>
      </c>
      <c r="F1948">
        <v>26</v>
      </c>
      <c r="G1948">
        <v>191</v>
      </c>
      <c r="H1948" t="s">
        <v>11</v>
      </c>
      <c r="I1948">
        <v>70321</v>
      </c>
      <c r="J1948">
        <v>0</v>
      </c>
      <c r="K1948">
        <v>0</v>
      </c>
      <c r="L1948">
        <v>0</v>
      </c>
      <c r="M1948">
        <v>1</v>
      </c>
      <c r="N1948">
        <f t="shared" si="60"/>
        <v>0.84503342736662024</v>
      </c>
      <c r="O1948">
        <f t="shared" si="61"/>
        <v>0.96265826180222402</v>
      </c>
    </row>
    <row r="1949" spans="1:15">
      <c r="A1949">
        <v>10821</v>
      </c>
      <c r="B1949">
        <v>182</v>
      </c>
      <c r="C1949">
        <v>4</v>
      </c>
      <c r="D1949">
        <v>33</v>
      </c>
      <c r="E1949">
        <v>0</v>
      </c>
      <c r="F1949">
        <v>2</v>
      </c>
      <c r="G1949">
        <v>42</v>
      </c>
      <c r="H1949" t="s">
        <v>11</v>
      </c>
      <c r="I1949">
        <v>57113</v>
      </c>
      <c r="J1949">
        <v>1</v>
      </c>
      <c r="K1949">
        <v>1</v>
      </c>
      <c r="L1949">
        <v>0</v>
      </c>
      <c r="M1949">
        <v>1</v>
      </c>
      <c r="N1949">
        <f t="shared" si="60"/>
        <v>0.23392955060192586</v>
      </c>
      <c r="O1949">
        <f t="shared" si="61"/>
        <v>0.43156179295522201</v>
      </c>
    </row>
    <row r="1950" spans="1:15">
      <c r="A1950">
        <v>10827</v>
      </c>
      <c r="B1950">
        <v>88</v>
      </c>
      <c r="C1950">
        <v>3</v>
      </c>
      <c r="D1950">
        <v>21</v>
      </c>
      <c r="E1950">
        <v>4</v>
      </c>
      <c r="F1950">
        <v>1</v>
      </c>
      <c r="G1950">
        <v>29</v>
      </c>
      <c r="H1950" t="s">
        <v>11</v>
      </c>
      <c r="I1950">
        <v>36947</v>
      </c>
      <c r="J1950">
        <v>1</v>
      </c>
      <c r="K1950">
        <v>1</v>
      </c>
      <c r="L1950">
        <v>0</v>
      </c>
      <c r="M1950">
        <v>1</v>
      </c>
      <c r="N1950">
        <f t="shared" si="60"/>
        <v>-0.69910503289571402</v>
      </c>
      <c r="O1950">
        <f t="shared" si="61"/>
        <v>-9.8458384064318161E-3</v>
      </c>
    </row>
    <row r="1951" spans="1:15">
      <c r="A1951">
        <v>10832</v>
      </c>
      <c r="B1951">
        <v>288</v>
      </c>
      <c r="C1951">
        <v>10</v>
      </c>
      <c r="D1951">
        <v>30</v>
      </c>
      <c r="E1951">
        <v>4</v>
      </c>
      <c r="F1951">
        <v>10</v>
      </c>
      <c r="G1951">
        <v>125</v>
      </c>
      <c r="H1951" t="s">
        <v>11</v>
      </c>
      <c r="I1951">
        <v>46610</v>
      </c>
      <c r="J1951">
        <v>0</v>
      </c>
      <c r="K1951">
        <v>0</v>
      </c>
      <c r="L1951">
        <v>0</v>
      </c>
      <c r="M1951">
        <v>1</v>
      </c>
      <c r="N1951">
        <f t="shared" si="60"/>
        <v>-0.25202017817302763</v>
      </c>
      <c r="O1951">
        <f t="shared" si="61"/>
        <v>0.34118117222661626</v>
      </c>
    </row>
    <row r="1952" spans="1:15">
      <c r="A1952">
        <v>10833</v>
      </c>
      <c r="B1952">
        <v>790</v>
      </c>
      <c r="C1952">
        <v>19</v>
      </c>
      <c r="D1952">
        <v>133</v>
      </c>
      <c r="E1952">
        <v>12</v>
      </c>
      <c r="F1952">
        <v>0</v>
      </c>
      <c r="G1952">
        <v>19</v>
      </c>
      <c r="H1952" t="s">
        <v>11</v>
      </c>
      <c r="I1952">
        <v>65106</v>
      </c>
      <c r="J1952">
        <v>0</v>
      </c>
      <c r="K1952">
        <v>1</v>
      </c>
      <c r="L1952">
        <v>0</v>
      </c>
      <c r="M1952">
        <v>1</v>
      </c>
      <c r="N1952">
        <f t="shared" si="60"/>
        <v>0.6037473342921289</v>
      </c>
      <c r="O1952">
        <f t="shared" si="61"/>
        <v>0.68968534129738268</v>
      </c>
    </row>
    <row r="1953" spans="1:15">
      <c r="A1953">
        <v>10837</v>
      </c>
      <c r="B1953">
        <v>2</v>
      </c>
      <c r="C1953">
        <v>1</v>
      </c>
      <c r="D1953">
        <v>18</v>
      </c>
      <c r="E1953">
        <v>20</v>
      </c>
      <c r="F1953">
        <v>11</v>
      </c>
      <c r="G1953">
        <v>16</v>
      </c>
      <c r="H1953" t="s">
        <v>11</v>
      </c>
      <c r="I1953">
        <v>23957</v>
      </c>
      <c r="J1953">
        <v>1</v>
      </c>
      <c r="K1953">
        <v>0</v>
      </c>
      <c r="L1953">
        <v>0</v>
      </c>
      <c r="M1953">
        <v>1</v>
      </c>
      <c r="N1953">
        <f t="shared" si="60"/>
        <v>-1.3001225494897011</v>
      </c>
      <c r="O1953">
        <f t="shared" si="61"/>
        <v>-0.268661611384509</v>
      </c>
    </row>
    <row r="1954" spans="1:15">
      <c r="A1954">
        <v>10839</v>
      </c>
      <c r="B1954">
        <v>6</v>
      </c>
      <c r="C1954">
        <v>5</v>
      </c>
      <c r="D1954">
        <v>5</v>
      </c>
      <c r="E1954">
        <v>8</v>
      </c>
      <c r="F1954">
        <v>0</v>
      </c>
      <c r="G1954">
        <v>5</v>
      </c>
      <c r="H1954" t="s">
        <v>11</v>
      </c>
      <c r="I1954">
        <v>36283</v>
      </c>
      <c r="J1954">
        <v>1</v>
      </c>
      <c r="K1954">
        <v>1</v>
      </c>
      <c r="L1954">
        <v>0</v>
      </c>
      <c r="M1954">
        <v>1</v>
      </c>
      <c r="N1954">
        <f t="shared" si="60"/>
        <v>-0.72982679047988708</v>
      </c>
      <c r="O1954">
        <f t="shared" si="61"/>
        <v>-2.3320422447794961E-2</v>
      </c>
    </row>
    <row r="1955" spans="1:15">
      <c r="A1955">
        <v>10841</v>
      </c>
      <c r="B1955">
        <v>226</v>
      </c>
      <c r="C1955">
        <v>22</v>
      </c>
      <c r="D1955">
        <v>133</v>
      </c>
      <c r="E1955">
        <v>41</v>
      </c>
      <c r="F1955">
        <v>31</v>
      </c>
      <c r="G1955">
        <v>31</v>
      </c>
      <c r="H1955" t="s">
        <v>11</v>
      </c>
      <c r="I1955">
        <v>56559</v>
      </c>
      <c r="J1955">
        <v>0</v>
      </c>
      <c r="K1955">
        <v>1</v>
      </c>
      <c r="L1955">
        <v>0</v>
      </c>
      <c r="M1955">
        <v>1</v>
      </c>
      <c r="N1955">
        <f t="shared" si="60"/>
        <v>0.20829724081031162</v>
      </c>
      <c r="O1955">
        <f t="shared" si="61"/>
        <v>0.51280992935086567</v>
      </c>
    </row>
    <row r="1956" spans="1:15">
      <c r="A1956">
        <v>10846</v>
      </c>
      <c r="B1956">
        <v>327</v>
      </c>
      <c r="C1956">
        <v>9</v>
      </c>
      <c r="D1956">
        <v>125</v>
      </c>
      <c r="E1956">
        <v>25</v>
      </c>
      <c r="F1956">
        <v>4</v>
      </c>
      <c r="G1956">
        <v>139</v>
      </c>
      <c r="H1956" t="s">
        <v>11</v>
      </c>
      <c r="I1956">
        <v>43783</v>
      </c>
      <c r="J1956">
        <v>1</v>
      </c>
      <c r="K1956">
        <v>0</v>
      </c>
      <c r="L1956">
        <v>0</v>
      </c>
      <c r="M1956">
        <v>1</v>
      </c>
      <c r="N1956">
        <f t="shared" si="60"/>
        <v>-0.3828189864417883</v>
      </c>
      <c r="O1956">
        <f t="shared" si="61"/>
        <v>0.16622105340621521</v>
      </c>
    </row>
    <row r="1957" spans="1:15">
      <c r="A1957">
        <v>10854</v>
      </c>
      <c r="B1957">
        <v>29</v>
      </c>
      <c r="C1957">
        <v>0</v>
      </c>
      <c r="D1957">
        <v>14</v>
      </c>
      <c r="E1957">
        <v>0</v>
      </c>
      <c r="F1957">
        <v>0</v>
      </c>
      <c r="G1957">
        <v>2</v>
      </c>
      <c r="H1957" t="s">
        <v>11</v>
      </c>
      <c r="I1957">
        <v>38853</v>
      </c>
      <c r="J1957">
        <v>1</v>
      </c>
      <c r="K1957">
        <v>1</v>
      </c>
      <c r="L1957">
        <v>0</v>
      </c>
      <c r="M1957">
        <v>1</v>
      </c>
      <c r="N1957">
        <f t="shared" si="60"/>
        <v>-0.61091878296283186</v>
      </c>
      <c r="O1957">
        <f t="shared" si="61"/>
        <v>2.9749260757309715E-2</v>
      </c>
    </row>
    <row r="1958" spans="1:15">
      <c r="A1958">
        <v>10855</v>
      </c>
      <c r="B1958">
        <v>234</v>
      </c>
      <c r="C1958">
        <v>14</v>
      </c>
      <c r="D1958">
        <v>77</v>
      </c>
      <c r="E1958">
        <v>19</v>
      </c>
      <c r="F1958">
        <v>10</v>
      </c>
      <c r="G1958">
        <v>42</v>
      </c>
      <c r="H1958" t="s">
        <v>12</v>
      </c>
      <c r="I1958">
        <v>50014</v>
      </c>
      <c r="J1958">
        <v>1</v>
      </c>
      <c r="K1958">
        <v>0</v>
      </c>
      <c r="L1958">
        <v>1</v>
      </c>
      <c r="M1958">
        <v>0</v>
      </c>
      <c r="N1958">
        <f t="shared" si="60"/>
        <v>-9.4524902846935877E-2</v>
      </c>
      <c r="O1958">
        <f t="shared" si="61"/>
        <v>-5.5227597604707412E-2</v>
      </c>
    </row>
    <row r="1959" spans="1:15">
      <c r="A1959">
        <v>10856</v>
      </c>
      <c r="B1959">
        <v>31</v>
      </c>
      <c r="C1959">
        <v>0</v>
      </c>
      <c r="D1959">
        <v>6</v>
      </c>
      <c r="E1959">
        <v>0</v>
      </c>
      <c r="F1959">
        <v>1</v>
      </c>
      <c r="G1959">
        <v>8</v>
      </c>
      <c r="H1959" t="s">
        <v>12</v>
      </c>
      <c r="I1959">
        <v>45889</v>
      </c>
      <c r="J1959">
        <v>0</v>
      </c>
      <c r="K1959">
        <v>1</v>
      </c>
      <c r="L1959">
        <v>1</v>
      </c>
      <c r="M1959">
        <v>0</v>
      </c>
      <c r="N1959">
        <f t="shared" si="60"/>
        <v>-0.28537919506789017</v>
      </c>
      <c r="O1959">
        <f t="shared" si="61"/>
        <v>-0.16380723384625342</v>
      </c>
    </row>
    <row r="1960" spans="1:15">
      <c r="A1960">
        <v>10858</v>
      </c>
      <c r="B1960">
        <v>355</v>
      </c>
      <c r="C1960">
        <v>30</v>
      </c>
      <c r="D1960">
        <v>177</v>
      </c>
      <c r="E1960">
        <v>90</v>
      </c>
      <c r="F1960">
        <v>138</v>
      </c>
      <c r="G1960">
        <v>30</v>
      </c>
      <c r="H1960" t="s">
        <v>11</v>
      </c>
      <c r="I1960">
        <v>76532</v>
      </c>
      <c r="J1960">
        <v>1</v>
      </c>
      <c r="K1960">
        <v>1</v>
      </c>
      <c r="L1960">
        <v>0</v>
      </c>
      <c r="M1960">
        <v>1</v>
      </c>
      <c r="N1960">
        <f t="shared" si="60"/>
        <v>1.132402156817371</v>
      </c>
      <c r="O1960">
        <f t="shared" si="61"/>
        <v>0.72404093306556172</v>
      </c>
    </row>
    <row r="1961" spans="1:15">
      <c r="A1961">
        <v>10862</v>
      </c>
      <c r="B1961">
        <v>179</v>
      </c>
      <c r="C1961">
        <v>8</v>
      </c>
      <c r="D1961">
        <v>83</v>
      </c>
      <c r="E1961">
        <v>19</v>
      </c>
      <c r="F1961">
        <v>11</v>
      </c>
      <c r="G1961">
        <v>26</v>
      </c>
      <c r="H1961" t="s">
        <v>11</v>
      </c>
      <c r="I1961">
        <v>30522</v>
      </c>
      <c r="J1961">
        <v>0</v>
      </c>
      <c r="K1961">
        <v>1</v>
      </c>
      <c r="L1961">
        <v>0</v>
      </c>
      <c r="M1961">
        <v>1</v>
      </c>
      <c r="N1961">
        <f t="shared" si="60"/>
        <v>-0.99637505168835194</v>
      </c>
      <c r="O1961">
        <f t="shared" si="61"/>
        <v>-0.15293138545203042</v>
      </c>
    </row>
    <row r="1962" spans="1:15">
      <c r="A1962">
        <v>10868</v>
      </c>
      <c r="B1962">
        <v>344</v>
      </c>
      <c r="C1962">
        <v>45</v>
      </c>
      <c r="D1962">
        <v>654</v>
      </c>
      <c r="E1962">
        <v>104</v>
      </c>
      <c r="F1962">
        <v>11</v>
      </c>
      <c r="G1962">
        <v>114</v>
      </c>
      <c r="H1962" t="s">
        <v>12</v>
      </c>
      <c r="I1962">
        <v>70792</v>
      </c>
      <c r="J1962">
        <v>0</v>
      </c>
      <c r="K1962">
        <v>0</v>
      </c>
      <c r="L1962">
        <v>1</v>
      </c>
      <c r="M1962">
        <v>0</v>
      </c>
      <c r="N1962">
        <f t="shared" si="60"/>
        <v>0.86682551746021286</v>
      </c>
      <c r="O1962">
        <f t="shared" si="61"/>
        <v>0.54241731122883652</v>
      </c>
    </row>
    <row r="1963" spans="1:15">
      <c r="A1963">
        <v>10870</v>
      </c>
      <c r="B1963">
        <v>709</v>
      </c>
      <c r="C1963">
        <v>43</v>
      </c>
      <c r="D1963">
        <v>182</v>
      </c>
      <c r="E1963">
        <v>42</v>
      </c>
      <c r="F1963">
        <v>118</v>
      </c>
      <c r="G1963">
        <v>247</v>
      </c>
      <c r="H1963" t="s">
        <v>11</v>
      </c>
      <c r="I1963">
        <v>61223</v>
      </c>
      <c r="J1963">
        <v>0</v>
      </c>
      <c r="K1963">
        <v>1</v>
      </c>
      <c r="L1963">
        <v>0</v>
      </c>
      <c r="M1963">
        <v>1</v>
      </c>
      <c r="N1963">
        <f t="shared" si="60"/>
        <v>0.42408982721480398</v>
      </c>
      <c r="O1963">
        <f t="shared" si="61"/>
        <v>0.61753526340152887</v>
      </c>
    </row>
    <row r="1964" spans="1:15">
      <c r="A1964">
        <v>10882</v>
      </c>
      <c r="B1964">
        <v>407</v>
      </c>
      <c r="C1964">
        <v>53</v>
      </c>
      <c r="D1964">
        <v>221</v>
      </c>
      <c r="E1964">
        <v>58</v>
      </c>
      <c r="F1964">
        <v>150</v>
      </c>
      <c r="G1964">
        <v>26</v>
      </c>
      <c r="H1964" t="s">
        <v>11</v>
      </c>
      <c r="I1964">
        <v>53858</v>
      </c>
      <c r="J1964">
        <v>0</v>
      </c>
      <c r="K1964">
        <v>1</v>
      </c>
      <c r="L1964">
        <v>0</v>
      </c>
      <c r="M1964">
        <v>1</v>
      </c>
      <c r="N1964">
        <f t="shared" si="60"/>
        <v>8.3328163649390996E-2</v>
      </c>
      <c r="O1964">
        <f t="shared" si="61"/>
        <v>0.44439376815043302</v>
      </c>
    </row>
    <row r="1965" spans="1:15">
      <c r="A1965">
        <v>10888</v>
      </c>
      <c r="B1965">
        <v>273</v>
      </c>
      <c r="C1965">
        <v>11</v>
      </c>
      <c r="D1965">
        <v>178</v>
      </c>
      <c r="E1965">
        <v>62</v>
      </c>
      <c r="F1965">
        <v>83</v>
      </c>
      <c r="G1965">
        <v>29</v>
      </c>
      <c r="H1965" t="s">
        <v>12</v>
      </c>
      <c r="I1965">
        <v>45938</v>
      </c>
      <c r="J1965">
        <v>0</v>
      </c>
      <c r="K1965">
        <v>0</v>
      </c>
      <c r="L1965">
        <v>1</v>
      </c>
      <c r="M1965">
        <v>0</v>
      </c>
      <c r="N1965">
        <f t="shared" si="60"/>
        <v>-0.28311207741484129</v>
      </c>
      <c r="O1965">
        <f t="shared" si="61"/>
        <v>-0.22558422144274315</v>
      </c>
    </row>
    <row r="1966" spans="1:15">
      <c r="A1966">
        <v>10909</v>
      </c>
      <c r="B1966">
        <v>992</v>
      </c>
      <c r="C1966">
        <v>24</v>
      </c>
      <c r="D1966">
        <v>694</v>
      </c>
      <c r="E1966">
        <v>51</v>
      </c>
      <c r="F1966">
        <v>19</v>
      </c>
      <c r="G1966">
        <v>119</v>
      </c>
      <c r="H1966" t="s">
        <v>11</v>
      </c>
      <c r="I1966">
        <v>92344</v>
      </c>
      <c r="J1966">
        <v>0</v>
      </c>
      <c r="K1966">
        <v>0</v>
      </c>
      <c r="L1966">
        <v>0</v>
      </c>
      <c r="M1966">
        <v>1</v>
      </c>
      <c r="N1966">
        <f t="shared" si="60"/>
        <v>1.8639871431440933</v>
      </c>
      <c r="O1966">
        <f t="shared" si="61"/>
        <v>0.99473663342131557</v>
      </c>
    </row>
    <row r="1967" spans="1:15">
      <c r="A1967">
        <v>10913</v>
      </c>
      <c r="B1967">
        <v>3</v>
      </c>
      <c r="C1967">
        <v>2</v>
      </c>
      <c r="D1967">
        <v>12</v>
      </c>
      <c r="E1967">
        <v>0</v>
      </c>
      <c r="F1967">
        <v>1</v>
      </c>
      <c r="G1967">
        <v>9</v>
      </c>
      <c r="H1967" t="s">
        <v>12</v>
      </c>
      <c r="I1967">
        <v>31385</v>
      </c>
      <c r="J1967">
        <v>1</v>
      </c>
      <c r="K1967">
        <v>0</v>
      </c>
      <c r="L1967">
        <v>1</v>
      </c>
      <c r="M1967">
        <v>0</v>
      </c>
      <c r="N1967">
        <f t="shared" si="60"/>
        <v>-0.95644602037036808</v>
      </c>
      <c r="O1967">
        <f t="shared" si="61"/>
        <v>-0.46392711298540529</v>
      </c>
    </row>
    <row r="1968" spans="1:15">
      <c r="A1968">
        <v>10914</v>
      </c>
      <c r="B1968">
        <v>4</v>
      </c>
      <c r="C1968">
        <v>1</v>
      </c>
      <c r="D1968">
        <v>7</v>
      </c>
      <c r="E1968">
        <v>2</v>
      </c>
      <c r="F1968">
        <v>1</v>
      </c>
      <c r="G1968">
        <v>2</v>
      </c>
      <c r="H1968" t="s">
        <v>12</v>
      </c>
      <c r="I1968">
        <v>24163</v>
      </c>
      <c r="J1968">
        <v>1</v>
      </c>
      <c r="K1968">
        <v>1</v>
      </c>
      <c r="L1968">
        <v>1</v>
      </c>
      <c r="M1968">
        <v>0</v>
      </c>
      <c r="N1968">
        <f t="shared" si="60"/>
        <v>-1.2905914018054545</v>
      </c>
      <c r="O1968">
        <f t="shared" si="61"/>
        <v>-0.49479653379624772</v>
      </c>
    </row>
    <row r="1969" spans="1:15">
      <c r="A1969">
        <v>10925</v>
      </c>
      <c r="B1969">
        <v>255</v>
      </c>
      <c r="C1969">
        <v>31</v>
      </c>
      <c r="D1969">
        <v>446</v>
      </c>
      <c r="E1969">
        <v>40</v>
      </c>
      <c r="F1969">
        <v>56</v>
      </c>
      <c r="G1969">
        <v>175</v>
      </c>
      <c r="H1969" t="s">
        <v>11</v>
      </c>
      <c r="I1969">
        <v>76630</v>
      </c>
      <c r="J1969">
        <v>0</v>
      </c>
      <c r="K1969">
        <v>0</v>
      </c>
      <c r="L1969">
        <v>0</v>
      </c>
      <c r="M1969">
        <v>1</v>
      </c>
      <c r="N1969">
        <f t="shared" si="60"/>
        <v>1.136936392123469</v>
      </c>
      <c r="O1969">
        <f t="shared" si="61"/>
        <v>0.99202811554328252</v>
      </c>
    </row>
    <row r="1970" spans="1:15">
      <c r="A1970">
        <v>10928</v>
      </c>
      <c r="B1970">
        <v>315</v>
      </c>
      <c r="C1970">
        <v>4</v>
      </c>
      <c r="D1970">
        <v>62</v>
      </c>
      <c r="E1970">
        <v>41</v>
      </c>
      <c r="F1970">
        <v>31</v>
      </c>
      <c r="G1970">
        <v>146</v>
      </c>
      <c r="H1970" t="s">
        <v>11</v>
      </c>
      <c r="I1970">
        <v>66886</v>
      </c>
      <c r="J1970">
        <v>0</v>
      </c>
      <c r="K1970">
        <v>1</v>
      </c>
      <c r="L1970">
        <v>0</v>
      </c>
      <c r="M1970">
        <v>1</v>
      </c>
      <c r="N1970">
        <f t="shared" si="60"/>
        <v>0.68610385311717104</v>
      </c>
      <c r="O1970">
        <f t="shared" si="61"/>
        <v>0.71808497282571382</v>
      </c>
    </row>
    <row r="1971" spans="1:15">
      <c r="A1971">
        <v>10936</v>
      </c>
      <c r="B1971">
        <v>597</v>
      </c>
      <c r="C1971">
        <v>166</v>
      </c>
      <c r="D1971">
        <v>597</v>
      </c>
      <c r="E1971">
        <v>172</v>
      </c>
      <c r="F1971">
        <v>166</v>
      </c>
      <c r="G1971">
        <v>249</v>
      </c>
      <c r="H1971" t="s">
        <v>11</v>
      </c>
      <c r="I1971">
        <v>72190</v>
      </c>
      <c r="J1971">
        <v>0</v>
      </c>
      <c r="K1971">
        <v>0</v>
      </c>
      <c r="L1971">
        <v>0</v>
      </c>
      <c r="M1971">
        <v>1</v>
      </c>
      <c r="N1971">
        <f t="shared" si="60"/>
        <v>0.93150777213291447</v>
      </c>
      <c r="O1971">
        <f t="shared" si="61"/>
        <v>0.97461720701424348</v>
      </c>
    </row>
    <row r="1972" spans="1:15">
      <c r="A1972">
        <v>10949</v>
      </c>
      <c r="B1972">
        <v>1092</v>
      </c>
      <c r="C1972">
        <v>37</v>
      </c>
      <c r="D1972">
        <v>592</v>
      </c>
      <c r="E1972">
        <v>145</v>
      </c>
      <c r="F1972">
        <v>37</v>
      </c>
      <c r="G1972">
        <v>55</v>
      </c>
      <c r="H1972" t="s">
        <v>12</v>
      </c>
      <c r="I1972">
        <v>72968</v>
      </c>
      <c r="J1972">
        <v>0</v>
      </c>
      <c r="K1972">
        <v>0</v>
      </c>
      <c r="L1972">
        <v>1</v>
      </c>
      <c r="M1972">
        <v>0</v>
      </c>
      <c r="N1972">
        <f t="shared" si="60"/>
        <v>0.96750404833846659</v>
      </c>
      <c r="O1972">
        <f t="shared" si="61"/>
        <v>0.57581871621274772</v>
      </c>
    </row>
    <row r="1973" spans="1:15">
      <c r="A1973">
        <v>10951</v>
      </c>
      <c r="B1973">
        <v>279</v>
      </c>
      <c r="C1973">
        <v>0</v>
      </c>
      <c r="D1973">
        <v>18</v>
      </c>
      <c r="E1973">
        <v>0</v>
      </c>
      <c r="F1973">
        <v>0</v>
      </c>
      <c r="G1973">
        <v>9</v>
      </c>
      <c r="H1973" t="s">
        <v>11</v>
      </c>
      <c r="I1973">
        <v>45688</v>
      </c>
      <c r="J1973">
        <v>0</v>
      </c>
      <c r="K1973">
        <v>1</v>
      </c>
      <c r="L1973">
        <v>0</v>
      </c>
      <c r="M1973">
        <v>1</v>
      </c>
      <c r="N1973">
        <f t="shared" si="60"/>
        <v>-0.29467900421611121</v>
      </c>
      <c r="O1973">
        <f t="shared" si="61"/>
        <v>0.21910926808331335</v>
      </c>
    </row>
    <row r="1974" spans="1:15">
      <c r="A1974">
        <v>10955</v>
      </c>
      <c r="B1974">
        <v>416</v>
      </c>
      <c r="C1974">
        <v>46</v>
      </c>
      <c r="D1974">
        <v>925</v>
      </c>
      <c r="E1974">
        <v>60</v>
      </c>
      <c r="F1974">
        <v>107</v>
      </c>
      <c r="G1974">
        <v>46</v>
      </c>
      <c r="H1974" t="s">
        <v>12</v>
      </c>
      <c r="I1974">
        <v>85620</v>
      </c>
      <c r="J1974">
        <v>0</v>
      </c>
      <c r="K1974">
        <v>0</v>
      </c>
      <c r="L1974">
        <v>1</v>
      </c>
      <c r="M1974">
        <v>0</v>
      </c>
      <c r="N1974">
        <f t="shared" si="60"/>
        <v>1.5528830798971367</v>
      </c>
      <c r="O1974">
        <f t="shared" si="61"/>
        <v>0.69624544419747192</v>
      </c>
    </row>
    <row r="1975" spans="1:15">
      <c r="A1975">
        <v>10965</v>
      </c>
      <c r="B1975">
        <v>983</v>
      </c>
      <c r="C1975">
        <v>20</v>
      </c>
      <c r="D1975">
        <v>389</v>
      </c>
      <c r="E1975">
        <v>240</v>
      </c>
      <c r="F1975">
        <v>50</v>
      </c>
      <c r="G1975">
        <v>40</v>
      </c>
      <c r="H1975" t="s">
        <v>11</v>
      </c>
      <c r="I1975">
        <v>76005</v>
      </c>
      <c r="J1975">
        <v>0</v>
      </c>
      <c r="K1975">
        <v>0</v>
      </c>
      <c r="L1975">
        <v>0</v>
      </c>
      <c r="M1975">
        <v>1</v>
      </c>
      <c r="N1975">
        <f t="shared" si="60"/>
        <v>1.1080190751202941</v>
      </c>
      <c r="O1975">
        <f t="shared" si="61"/>
        <v>0.99033443350873052</v>
      </c>
    </row>
    <row r="1976" spans="1:15">
      <c r="A1976">
        <v>10967</v>
      </c>
      <c r="B1976">
        <v>33</v>
      </c>
      <c r="C1976">
        <v>6</v>
      </c>
      <c r="D1976">
        <v>40</v>
      </c>
      <c r="E1976">
        <v>3</v>
      </c>
      <c r="F1976">
        <v>7</v>
      </c>
      <c r="G1976">
        <v>10</v>
      </c>
      <c r="H1976" t="s">
        <v>12</v>
      </c>
      <c r="I1976">
        <v>33378</v>
      </c>
      <c r="J1976">
        <v>1</v>
      </c>
      <c r="K1976">
        <v>1</v>
      </c>
      <c r="L1976">
        <v>1</v>
      </c>
      <c r="M1976">
        <v>0</v>
      </c>
      <c r="N1976">
        <f t="shared" si="60"/>
        <v>-0.86423447991064395</v>
      </c>
      <c r="O1976">
        <f t="shared" si="61"/>
        <v>-0.3697330866472095</v>
      </c>
    </row>
    <row r="1977" spans="1:15">
      <c r="A1977">
        <v>10968</v>
      </c>
      <c r="B1977">
        <v>266</v>
      </c>
      <c r="C1977">
        <v>21</v>
      </c>
      <c r="D1977">
        <v>300</v>
      </c>
      <c r="E1977">
        <v>65</v>
      </c>
      <c r="F1977">
        <v>8</v>
      </c>
      <c r="G1977">
        <v>44</v>
      </c>
      <c r="H1977" t="s">
        <v>12</v>
      </c>
      <c r="I1977">
        <v>57731</v>
      </c>
      <c r="J1977">
        <v>0</v>
      </c>
      <c r="K1977">
        <v>1</v>
      </c>
      <c r="L1977">
        <v>1</v>
      </c>
      <c r="M1977">
        <v>0</v>
      </c>
      <c r="N1977">
        <f t="shared" si="60"/>
        <v>0.26252299365466519</v>
      </c>
      <c r="O1977">
        <f t="shared" si="61"/>
        <v>0.15114316955284399</v>
      </c>
    </row>
    <row r="1978" spans="1:15">
      <c r="A1978">
        <v>10971</v>
      </c>
      <c r="B1978">
        <v>173</v>
      </c>
      <c r="C1978">
        <v>8</v>
      </c>
      <c r="D1978">
        <v>107</v>
      </c>
      <c r="E1978">
        <v>7</v>
      </c>
      <c r="F1978">
        <v>2</v>
      </c>
      <c r="G1978">
        <v>176</v>
      </c>
      <c r="H1978" t="s">
        <v>12</v>
      </c>
      <c r="I1978">
        <v>37774</v>
      </c>
      <c r="J1978">
        <v>2</v>
      </c>
      <c r="K1978">
        <v>0</v>
      </c>
      <c r="L1978">
        <v>1</v>
      </c>
      <c r="M1978">
        <v>0</v>
      </c>
      <c r="N1978">
        <f t="shared" si="60"/>
        <v>-0.66084163903711302</v>
      </c>
      <c r="O1978">
        <f t="shared" si="61"/>
        <v>-0.23470486895333045</v>
      </c>
    </row>
    <row r="1979" spans="1:15">
      <c r="A1979">
        <v>10972</v>
      </c>
      <c r="B1979">
        <v>625</v>
      </c>
      <c r="C1979">
        <v>35</v>
      </c>
      <c r="D1979">
        <v>169</v>
      </c>
      <c r="E1979">
        <v>58</v>
      </c>
      <c r="F1979">
        <v>17</v>
      </c>
      <c r="G1979">
        <v>35</v>
      </c>
      <c r="H1979" t="s">
        <v>12</v>
      </c>
      <c r="I1979">
        <v>72298</v>
      </c>
      <c r="J1979">
        <v>0</v>
      </c>
      <c r="K1979">
        <v>0</v>
      </c>
      <c r="L1979">
        <v>1</v>
      </c>
      <c r="M1979">
        <v>0</v>
      </c>
      <c r="N1979">
        <f t="shared" si="60"/>
        <v>0.93650468451106306</v>
      </c>
      <c r="O1979">
        <f t="shared" si="61"/>
        <v>0.56606450323576363</v>
      </c>
    </row>
    <row r="1980" spans="1:15">
      <c r="A1980">
        <v>10983</v>
      </c>
      <c r="B1980">
        <v>304</v>
      </c>
      <c r="C1980">
        <v>98</v>
      </c>
      <c r="D1980">
        <v>230</v>
      </c>
      <c r="E1980">
        <v>150</v>
      </c>
      <c r="F1980">
        <v>74</v>
      </c>
      <c r="G1980">
        <v>74</v>
      </c>
      <c r="H1980" t="s">
        <v>11</v>
      </c>
      <c r="I1980">
        <v>75278</v>
      </c>
      <c r="J1980">
        <v>0</v>
      </c>
      <c r="K1980">
        <v>0</v>
      </c>
      <c r="L1980">
        <v>0</v>
      </c>
      <c r="M1980">
        <v>1</v>
      </c>
      <c r="N1980">
        <f t="shared" si="60"/>
        <v>1.0743824519822009</v>
      </c>
      <c r="O1980">
        <f t="shared" si="61"/>
        <v>0.98808804321596733</v>
      </c>
    </row>
    <row r="1981" spans="1:15">
      <c r="A1981">
        <v>10991</v>
      </c>
      <c r="B1981">
        <v>454</v>
      </c>
      <c r="C1981">
        <v>194</v>
      </c>
      <c r="D1981">
        <v>106</v>
      </c>
      <c r="E1981">
        <v>31</v>
      </c>
      <c r="F1981">
        <v>22</v>
      </c>
      <c r="G1981">
        <v>43</v>
      </c>
      <c r="H1981" t="s">
        <v>11</v>
      </c>
      <c r="I1981">
        <v>89058</v>
      </c>
      <c r="J1981">
        <v>0</v>
      </c>
      <c r="K1981">
        <v>0</v>
      </c>
      <c r="L1981">
        <v>0</v>
      </c>
      <c r="M1981">
        <v>1</v>
      </c>
      <c r="N1981">
        <f t="shared" si="60"/>
        <v>1.7119514572682011</v>
      </c>
      <c r="O1981">
        <f t="shared" si="61"/>
        <v>0.99779735177224693</v>
      </c>
    </row>
    <row r="1982" spans="1:15">
      <c r="A1982">
        <v>10992</v>
      </c>
      <c r="B1982">
        <v>650</v>
      </c>
      <c r="C1982">
        <v>28</v>
      </c>
      <c r="D1982">
        <v>353</v>
      </c>
      <c r="E1982">
        <v>45</v>
      </c>
      <c r="F1982">
        <v>42</v>
      </c>
      <c r="G1982">
        <v>30</v>
      </c>
      <c r="H1982" t="s">
        <v>11</v>
      </c>
      <c r="I1982">
        <v>75702</v>
      </c>
      <c r="J1982">
        <v>1</v>
      </c>
      <c r="K1982">
        <v>1</v>
      </c>
      <c r="L1982">
        <v>0</v>
      </c>
      <c r="M1982">
        <v>1</v>
      </c>
      <c r="N1982">
        <f t="shared" si="60"/>
        <v>1.0939999598371548</v>
      </c>
      <c r="O1982">
        <f t="shared" si="61"/>
        <v>0.71585545956998375</v>
      </c>
    </row>
    <row r="1983" spans="1:15">
      <c r="A1983">
        <v>10995</v>
      </c>
      <c r="B1983">
        <v>16</v>
      </c>
      <c r="C1983">
        <v>5</v>
      </c>
      <c r="D1983">
        <v>30</v>
      </c>
      <c r="E1983">
        <v>8</v>
      </c>
      <c r="F1983">
        <v>7</v>
      </c>
      <c r="G1983">
        <v>26</v>
      </c>
      <c r="H1983" t="s">
        <v>11</v>
      </c>
      <c r="I1983">
        <v>15716</v>
      </c>
      <c r="J1983">
        <v>1</v>
      </c>
      <c r="K1983">
        <v>0</v>
      </c>
      <c r="L1983">
        <v>0</v>
      </c>
      <c r="M1983">
        <v>1</v>
      </c>
      <c r="N1983">
        <f t="shared" si="60"/>
        <v>-1.6814147245667639</v>
      </c>
      <c r="O1983">
        <f t="shared" si="61"/>
        <v>-0.3786208004785237</v>
      </c>
    </row>
    <row r="1984" spans="1:15">
      <c r="A1984">
        <v>11003</v>
      </c>
      <c r="B1984">
        <v>2</v>
      </c>
      <c r="C1984">
        <v>5</v>
      </c>
      <c r="D1984">
        <v>7</v>
      </c>
      <c r="E1984">
        <v>0</v>
      </c>
      <c r="F1984">
        <v>18</v>
      </c>
      <c r="G1984">
        <v>18</v>
      </c>
      <c r="H1984" t="s">
        <v>11</v>
      </c>
      <c r="I1984">
        <v>25130</v>
      </c>
      <c r="J1984">
        <v>1</v>
      </c>
      <c r="K1984">
        <v>0</v>
      </c>
      <c r="L1984">
        <v>0</v>
      </c>
      <c r="M1984">
        <v>1</v>
      </c>
      <c r="N1984">
        <f t="shared" si="60"/>
        <v>-1.2458505289381423</v>
      </c>
      <c r="O1984">
        <f t="shared" si="61"/>
        <v>-0.24999066345969406</v>
      </c>
    </row>
    <row r="1985" spans="1:15">
      <c r="A1985">
        <v>11004</v>
      </c>
      <c r="B1985">
        <v>8</v>
      </c>
      <c r="C1985">
        <v>0</v>
      </c>
      <c r="D1985">
        <v>5</v>
      </c>
      <c r="E1985">
        <v>7</v>
      </c>
      <c r="F1985">
        <v>0</v>
      </c>
      <c r="G1985">
        <v>2</v>
      </c>
      <c r="H1985" t="s">
        <v>12</v>
      </c>
      <c r="I1985">
        <v>60182</v>
      </c>
      <c r="J1985">
        <v>0</v>
      </c>
      <c r="K1985">
        <v>1</v>
      </c>
      <c r="L1985">
        <v>1</v>
      </c>
      <c r="M1985">
        <v>0</v>
      </c>
      <c r="N1985">
        <f t="shared" si="60"/>
        <v>0.37592514401431587</v>
      </c>
      <c r="O1985">
        <f t="shared" si="61"/>
        <v>0.21274211243839986</v>
      </c>
    </row>
    <row r="1986" spans="1:15">
      <c r="A1986">
        <v>11007</v>
      </c>
      <c r="B1986">
        <v>26</v>
      </c>
      <c r="C1986">
        <v>0</v>
      </c>
      <c r="D1986">
        <v>6</v>
      </c>
      <c r="E1986">
        <v>0</v>
      </c>
      <c r="F1986">
        <v>0</v>
      </c>
      <c r="G1986">
        <v>2</v>
      </c>
      <c r="H1986" t="s">
        <v>11</v>
      </c>
      <c r="I1986">
        <v>29187</v>
      </c>
      <c r="J1986">
        <v>1</v>
      </c>
      <c r="K1986">
        <v>0</v>
      </c>
      <c r="L1986">
        <v>0</v>
      </c>
      <c r="M1986">
        <v>1</v>
      </c>
      <c r="N1986">
        <f t="shared" si="60"/>
        <v>-1.0581424408071336</v>
      </c>
      <c r="O1986">
        <f t="shared" si="61"/>
        <v>-0.17874857953674081</v>
      </c>
    </row>
    <row r="1987" spans="1:15">
      <c r="A1987">
        <v>11010</v>
      </c>
      <c r="B1987">
        <v>19</v>
      </c>
      <c r="C1987">
        <v>3</v>
      </c>
      <c r="D1987">
        <v>18</v>
      </c>
      <c r="E1987">
        <v>3</v>
      </c>
      <c r="F1987">
        <v>1</v>
      </c>
      <c r="G1987">
        <v>0</v>
      </c>
      <c r="H1987" t="s">
        <v>12</v>
      </c>
      <c r="I1987">
        <v>16269</v>
      </c>
      <c r="J1987">
        <v>1</v>
      </c>
      <c r="K1987">
        <v>0</v>
      </c>
      <c r="L1987">
        <v>1</v>
      </c>
      <c r="M1987">
        <v>0</v>
      </c>
      <c r="N1987">
        <f t="shared" ref="N1987:N2015" si="62">STANDARDIZE(I1987,$Q$1,$R$1)</f>
        <v>-1.6558286824823547</v>
      </c>
      <c r="O1987">
        <f t="shared" ref="O1987:O2015" si="63">SUMPRODUCT(J1987:N1987,$Q$4:$U$4) / SQRT(SUMSQ(J1987:N1987) * SUMSQ($Q$4:$U$4))</f>
        <v>-0.62970634887762933</v>
      </c>
    </row>
    <row r="1988" spans="1:15">
      <c r="A1988">
        <v>11013</v>
      </c>
      <c r="B1988">
        <v>336</v>
      </c>
      <c r="C1988">
        <v>28</v>
      </c>
      <c r="D1988">
        <v>282</v>
      </c>
      <c r="E1988">
        <v>184</v>
      </c>
      <c r="F1988">
        <v>54</v>
      </c>
      <c r="G1988">
        <v>54</v>
      </c>
      <c r="H1988" t="s">
        <v>11</v>
      </c>
      <c r="I1988">
        <v>67605</v>
      </c>
      <c r="J1988">
        <v>0</v>
      </c>
      <c r="K1988">
        <v>0</v>
      </c>
      <c r="L1988">
        <v>0</v>
      </c>
      <c r="M1988">
        <v>1</v>
      </c>
      <c r="N1988">
        <f t="shared" si="62"/>
        <v>0.71937033459762345</v>
      </c>
      <c r="O1988">
        <f t="shared" si="63"/>
        <v>0.93863820794622277</v>
      </c>
    </row>
    <row r="1989" spans="1:15">
      <c r="A1989">
        <v>11025</v>
      </c>
      <c r="B1989">
        <v>65</v>
      </c>
      <c r="C1989">
        <v>0</v>
      </c>
      <c r="D1989">
        <v>46</v>
      </c>
      <c r="E1989">
        <v>4</v>
      </c>
      <c r="F1989">
        <v>3</v>
      </c>
      <c r="G1989">
        <v>20</v>
      </c>
      <c r="H1989" t="s">
        <v>11</v>
      </c>
      <c r="I1989">
        <v>36443</v>
      </c>
      <c r="J1989">
        <v>1</v>
      </c>
      <c r="K1989">
        <v>1</v>
      </c>
      <c r="L1989">
        <v>0</v>
      </c>
      <c r="M1989">
        <v>1</v>
      </c>
      <c r="N1989">
        <f t="shared" si="62"/>
        <v>-0.72242395732707432</v>
      </c>
      <c r="O1989">
        <f t="shared" si="63"/>
        <v>-2.0089339326912373E-2</v>
      </c>
    </row>
    <row r="1990" spans="1:15">
      <c r="A1990">
        <v>11030</v>
      </c>
      <c r="B1990">
        <v>9</v>
      </c>
      <c r="C1990">
        <v>0</v>
      </c>
      <c r="D1990">
        <v>3</v>
      </c>
      <c r="E1990">
        <v>0</v>
      </c>
      <c r="F1990">
        <v>0</v>
      </c>
      <c r="G1990">
        <v>4</v>
      </c>
      <c r="H1990" t="s">
        <v>11</v>
      </c>
      <c r="I1990">
        <v>33181</v>
      </c>
      <c r="J1990">
        <v>1</v>
      </c>
      <c r="K1990">
        <v>0</v>
      </c>
      <c r="L1990">
        <v>0</v>
      </c>
      <c r="M1990">
        <v>1</v>
      </c>
      <c r="N1990">
        <f t="shared" si="62"/>
        <v>-0.87334921823004463</v>
      </c>
      <c r="O1990">
        <f t="shared" si="63"/>
        <v>-9.7876430596539651E-2</v>
      </c>
    </row>
    <row r="1991" spans="1:15">
      <c r="A1991">
        <v>11031</v>
      </c>
      <c r="B1991">
        <v>26</v>
      </c>
      <c r="C1991">
        <v>1</v>
      </c>
      <c r="D1991">
        <v>10</v>
      </c>
      <c r="E1991">
        <v>2</v>
      </c>
      <c r="F1991">
        <v>0</v>
      </c>
      <c r="G1991">
        <v>1</v>
      </c>
      <c r="H1991" t="s">
        <v>11</v>
      </c>
      <c r="I1991">
        <v>48699</v>
      </c>
      <c r="J1991">
        <v>1</v>
      </c>
      <c r="K1991">
        <v>1</v>
      </c>
      <c r="L1991">
        <v>0</v>
      </c>
      <c r="M1991">
        <v>1</v>
      </c>
      <c r="N1991">
        <f t="shared" si="62"/>
        <v>-0.15536693782161584</v>
      </c>
      <c r="O1991">
        <f t="shared" si="63"/>
        <v>0.2483544745026631</v>
      </c>
    </row>
    <row r="1992" spans="1:15">
      <c r="A1992">
        <v>11039</v>
      </c>
      <c r="B1992">
        <v>82</v>
      </c>
      <c r="C1992">
        <v>33</v>
      </c>
      <c r="D1992">
        <v>54</v>
      </c>
      <c r="E1992">
        <v>71</v>
      </c>
      <c r="F1992">
        <v>30</v>
      </c>
      <c r="G1992">
        <v>41</v>
      </c>
      <c r="H1992" t="s">
        <v>11</v>
      </c>
      <c r="I1992">
        <v>51948</v>
      </c>
      <c r="J1992">
        <v>0</v>
      </c>
      <c r="K1992">
        <v>1</v>
      </c>
      <c r="L1992">
        <v>0</v>
      </c>
      <c r="M1992">
        <v>1</v>
      </c>
      <c r="N1992">
        <f t="shared" si="62"/>
        <v>-5.0431571123114782E-3</v>
      </c>
      <c r="O1992">
        <f t="shared" si="63"/>
        <v>0.3934145403886144</v>
      </c>
    </row>
    <row r="1993" spans="1:15">
      <c r="A1993">
        <v>11051</v>
      </c>
      <c r="B1993">
        <v>492</v>
      </c>
      <c r="C1993">
        <v>19</v>
      </c>
      <c r="D1993">
        <v>110</v>
      </c>
      <c r="E1993">
        <v>16</v>
      </c>
      <c r="F1993">
        <v>12</v>
      </c>
      <c r="G1993">
        <v>12</v>
      </c>
      <c r="H1993" t="s">
        <v>11</v>
      </c>
      <c r="I1993">
        <v>77376</v>
      </c>
      <c r="J1993">
        <v>1</v>
      </c>
      <c r="K1993">
        <v>1</v>
      </c>
      <c r="L1993">
        <v>0</v>
      </c>
      <c r="M1993">
        <v>1</v>
      </c>
      <c r="N1993">
        <f t="shared" si="62"/>
        <v>1.1714521016984585</v>
      </c>
      <c r="O1993">
        <f t="shared" si="63"/>
        <v>0.73201850310494332</v>
      </c>
    </row>
    <row r="1994" spans="1:15">
      <c r="A1994">
        <v>11056</v>
      </c>
      <c r="B1994">
        <v>546</v>
      </c>
      <c r="C1994">
        <v>91</v>
      </c>
      <c r="D1994">
        <v>410</v>
      </c>
      <c r="E1994">
        <v>119</v>
      </c>
      <c r="F1994">
        <v>0</v>
      </c>
      <c r="G1994">
        <v>22</v>
      </c>
      <c r="H1994" t="s">
        <v>11</v>
      </c>
      <c r="I1994">
        <v>72099</v>
      </c>
      <c r="J1994">
        <v>0</v>
      </c>
      <c r="K1994">
        <v>0</v>
      </c>
      <c r="L1994">
        <v>0</v>
      </c>
      <c r="M1994">
        <v>1</v>
      </c>
      <c r="N1994">
        <f t="shared" si="62"/>
        <v>0.92729741077725225</v>
      </c>
      <c r="O1994">
        <f t="shared" si="63"/>
        <v>0.97410897274795183</v>
      </c>
    </row>
    <row r="1995" spans="1:15">
      <c r="A1995">
        <v>11071</v>
      </c>
      <c r="B1995">
        <v>450</v>
      </c>
      <c r="C1995">
        <v>133</v>
      </c>
      <c r="D1995">
        <v>951</v>
      </c>
      <c r="E1995">
        <v>173</v>
      </c>
      <c r="F1995">
        <v>0</v>
      </c>
      <c r="G1995">
        <v>216</v>
      </c>
      <c r="H1995" t="s">
        <v>12</v>
      </c>
      <c r="I1995">
        <v>79607</v>
      </c>
      <c r="J1995">
        <v>0</v>
      </c>
      <c r="K1995">
        <v>0</v>
      </c>
      <c r="L1995">
        <v>1</v>
      </c>
      <c r="M1995">
        <v>0</v>
      </c>
      <c r="N1995">
        <f t="shared" si="62"/>
        <v>1.2746753564729916</v>
      </c>
      <c r="O1995">
        <f t="shared" si="63"/>
        <v>0.65154521162940993</v>
      </c>
    </row>
    <row r="1996" spans="1:15">
      <c r="A1996">
        <v>11074</v>
      </c>
      <c r="B1996">
        <v>494</v>
      </c>
      <c r="C1996">
        <v>92</v>
      </c>
      <c r="D1996">
        <v>391</v>
      </c>
      <c r="E1996">
        <v>194</v>
      </c>
      <c r="F1996">
        <v>11</v>
      </c>
      <c r="G1996">
        <v>241</v>
      </c>
      <c r="H1996" t="s">
        <v>12</v>
      </c>
      <c r="I1996">
        <v>85072</v>
      </c>
      <c r="J1996">
        <v>0</v>
      </c>
      <c r="K1996">
        <v>0</v>
      </c>
      <c r="L1996">
        <v>1</v>
      </c>
      <c r="M1996">
        <v>0</v>
      </c>
      <c r="N1996">
        <f t="shared" si="62"/>
        <v>1.5275283763487528</v>
      </c>
      <c r="O1996">
        <f t="shared" si="63"/>
        <v>0.69285465379670796</v>
      </c>
    </row>
    <row r="1997" spans="1:15">
      <c r="A1997">
        <v>11075</v>
      </c>
      <c r="B1997">
        <v>183</v>
      </c>
      <c r="C1997">
        <v>2</v>
      </c>
      <c r="D1997">
        <v>64</v>
      </c>
      <c r="E1997">
        <v>7</v>
      </c>
      <c r="F1997">
        <v>2</v>
      </c>
      <c r="G1997">
        <v>12</v>
      </c>
      <c r="H1997" t="s">
        <v>11</v>
      </c>
      <c r="I1997">
        <v>51267</v>
      </c>
      <c r="J1997">
        <v>1</v>
      </c>
      <c r="K1997">
        <v>1</v>
      </c>
      <c r="L1997">
        <v>0</v>
      </c>
      <c r="M1997">
        <v>1</v>
      </c>
      <c r="N1997">
        <f t="shared" si="62"/>
        <v>-3.6551465718970846E-2</v>
      </c>
      <c r="O1997">
        <f t="shared" si="63"/>
        <v>0.30609093050308461</v>
      </c>
    </row>
    <row r="1998" spans="1:15">
      <c r="A1998">
        <v>11086</v>
      </c>
      <c r="B1998">
        <v>1</v>
      </c>
      <c r="C1998">
        <v>6</v>
      </c>
      <c r="D1998">
        <v>2</v>
      </c>
      <c r="E1998">
        <v>3</v>
      </c>
      <c r="F1998">
        <v>6</v>
      </c>
      <c r="G1998">
        <v>3</v>
      </c>
      <c r="H1998" t="s">
        <v>12</v>
      </c>
      <c r="I1998">
        <v>25707</v>
      </c>
      <c r="J1998">
        <v>1</v>
      </c>
      <c r="K1998">
        <v>0</v>
      </c>
      <c r="L1998">
        <v>1</v>
      </c>
      <c r="M1998">
        <v>0</v>
      </c>
      <c r="N1998">
        <f t="shared" si="62"/>
        <v>-1.2191540618808114</v>
      </c>
      <c r="O1998">
        <f t="shared" si="63"/>
        <v>-0.54071296228196331</v>
      </c>
    </row>
    <row r="1999" spans="1:15">
      <c r="A1999">
        <v>11088</v>
      </c>
      <c r="B1999">
        <v>1396</v>
      </c>
      <c r="C1999">
        <v>0</v>
      </c>
      <c r="D1999">
        <v>322</v>
      </c>
      <c r="E1999">
        <v>46</v>
      </c>
      <c r="F1999">
        <v>35</v>
      </c>
      <c r="G1999">
        <v>17</v>
      </c>
      <c r="H1999" t="s">
        <v>11</v>
      </c>
      <c r="I1999">
        <v>78642</v>
      </c>
      <c r="J1999">
        <v>0</v>
      </c>
      <c r="K1999">
        <v>1</v>
      </c>
      <c r="L1999">
        <v>0</v>
      </c>
      <c r="M1999">
        <v>1</v>
      </c>
      <c r="N1999">
        <f t="shared" si="62"/>
        <v>1.2300270190200895</v>
      </c>
      <c r="O1999">
        <f t="shared" si="63"/>
        <v>0.84253784377907792</v>
      </c>
    </row>
    <row r="2000" spans="1:15">
      <c r="A2000">
        <v>11091</v>
      </c>
      <c r="B2000">
        <v>7</v>
      </c>
      <c r="C2000">
        <v>2</v>
      </c>
      <c r="D2000">
        <v>9</v>
      </c>
      <c r="E2000">
        <v>2</v>
      </c>
      <c r="F2000">
        <v>0</v>
      </c>
      <c r="G2000">
        <v>2</v>
      </c>
      <c r="H2000" t="s">
        <v>11</v>
      </c>
      <c r="I2000">
        <v>34587</v>
      </c>
      <c r="J2000">
        <v>1</v>
      </c>
      <c r="K2000">
        <v>1</v>
      </c>
      <c r="L2000">
        <v>0</v>
      </c>
      <c r="M2000">
        <v>1</v>
      </c>
      <c r="N2000">
        <f t="shared" si="62"/>
        <v>-0.80829682189970242</v>
      </c>
      <c r="O2000">
        <f t="shared" si="63"/>
        <v>-5.6929811646165625E-2</v>
      </c>
    </row>
    <row r="2001" spans="1:15">
      <c r="A2001">
        <v>11092</v>
      </c>
      <c r="B2001">
        <v>12</v>
      </c>
      <c r="C2001">
        <v>1</v>
      </c>
      <c r="D2001">
        <v>21</v>
      </c>
      <c r="E2001">
        <v>2</v>
      </c>
      <c r="F2001">
        <v>2</v>
      </c>
      <c r="G2001">
        <v>3</v>
      </c>
      <c r="H2001" t="s">
        <v>11</v>
      </c>
      <c r="I2001">
        <v>27116</v>
      </c>
      <c r="J2001">
        <v>1</v>
      </c>
      <c r="K2001">
        <v>1</v>
      </c>
      <c r="L2001">
        <v>0</v>
      </c>
      <c r="M2001">
        <v>1</v>
      </c>
      <c r="N2001">
        <f t="shared" si="62"/>
        <v>-1.1539628624288538</v>
      </c>
      <c r="O2001">
        <f t="shared" si="63"/>
        <v>-0.18982122899287174</v>
      </c>
    </row>
    <row r="2002" spans="1:15">
      <c r="A2002">
        <v>11096</v>
      </c>
      <c r="B2002">
        <v>99</v>
      </c>
      <c r="C2002">
        <v>4</v>
      </c>
      <c r="D2002">
        <v>32</v>
      </c>
      <c r="E2002">
        <v>37</v>
      </c>
      <c r="F2002">
        <v>54</v>
      </c>
      <c r="G2002">
        <v>6</v>
      </c>
      <c r="H2002" t="s">
        <v>11</v>
      </c>
      <c r="I2002">
        <v>57247</v>
      </c>
      <c r="J2002">
        <v>0</v>
      </c>
      <c r="K2002">
        <v>1</v>
      </c>
      <c r="L2002">
        <v>0</v>
      </c>
      <c r="M2002">
        <v>1</v>
      </c>
      <c r="N2002">
        <f t="shared" si="62"/>
        <v>0.24012942336740656</v>
      </c>
      <c r="O2002">
        <f t="shared" si="63"/>
        <v>0.52940500224002529</v>
      </c>
    </row>
    <row r="2003" spans="1:15">
      <c r="A2003">
        <v>11100</v>
      </c>
      <c r="B2003">
        <v>51</v>
      </c>
      <c r="C2003">
        <v>2</v>
      </c>
      <c r="D2003">
        <v>7</v>
      </c>
      <c r="E2003">
        <v>0</v>
      </c>
      <c r="F2003">
        <v>1</v>
      </c>
      <c r="G2003">
        <v>2</v>
      </c>
      <c r="H2003" t="s">
        <v>12</v>
      </c>
      <c r="I2003">
        <v>51813</v>
      </c>
      <c r="J2003">
        <v>1</v>
      </c>
      <c r="K2003">
        <v>1</v>
      </c>
      <c r="L2003">
        <v>1</v>
      </c>
      <c r="M2003">
        <v>0</v>
      </c>
      <c r="N2003">
        <f t="shared" si="62"/>
        <v>-1.1289297584997256E-2</v>
      </c>
      <c r="O2003">
        <f t="shared" si="63"/>
        <v>-5.3974660481002816E-3</v>
      </c>
    </row>
    <row r="2004" spans="1:15">
      <c r="A2004">
        <v>11101</v>
      </c>
      <c r="B2004">
        <v>412</v>
      </c>
      <c r="C2004">
        <v>22</v>
      </c>
      <c r="D2004">
        <v>132</v>
      </c>
      <c r="E2004">
        <v>59</v>
      </c>
      <c r="F2004">
        <v>28</v>
      </c>
      <c r="G2004">
        <v>183</v>
      </c>
      <c r="H2004" t="s">
        <v>11</v>
      </c>
      <c r="I2004">
        <v>89891</v>
      </c>
      <c r="J2004">
        <v>0</v>
      </c>
      <c r="K2004">
        <v>0</v>
      </c>
      <c r="L2004">
        <v>0</v>
      </c>
      <c r="M2004">
        <v>1</v>
      </c>
      <c r="N2004">
        <f t="shared" si="62"/>
        <v>1.7504924573700327</v>
      </c>
      <c r="O2004">
        <f t="shared" si="63"/>
        <v>0.99711131187270519</v>
      </c>
    </row>
    <row r="2005" spans="1:15">
      <c r="A2005">
        <v>11110</v>
      </c>
      <c r="B2005">
        <v>2</v>
      </c>
      <c r="C2005">
        <v>1</v>
      </c>
      <c r="D2005">
        <v>1</v>
      </c>
      <c r="E2005">
        <v>0</v>
      </c>
      <c r="F2005">
        <v>0</v>
      </c>
      <c r="G2005">
        <v>1</v>
      </c>
      <c r="H2005" t="s">
        <v>12</v>
      </c>
      <c r="I2005">
        <v>3502</v>
      </c>
      <c r="J2005">
        <v>1</v>
      </c>
      <c r="K2005">
        <v>0</v>
      </c>
      <c r="L2005">
        <v>1</v>
      </c>
      <c r="M2005">
        <v>0</v>
      </c>
      <c r="N2005">
        <f t="shared" si="62"/>
        <v>-2.2465285003696089</v>
      </c>
      <c r="O2005">
        <f t="shared" si="63"/>
        <v>-0.7008192577568233</v>
      </c>
    </row>
    <row r="2006" spans="1:15">
      <c r="A2006">
        <v>11112</v>
      </c>
      <c r="B2006">
        <v>736</v>
      </c>
      <c r="C2006">
        <v>114</v>
      </c>
      <c r="D2006">
        <v>279</v>
      </c>
      <c r="E2006">
        <v>82</v>
      </c>
      <c r="F2006">
        <v>76</v>
      </c>
      <c r="G2006">
        <v>190</v>
      </c>
      <c r="H2006" t="s">
        <v>11</v>
      </c>
      <c r="I2006">
        <v>70713</v>
      </c>
      <c r="J2006">
        <v>0</v>
      </c>
      <c r="K2006">
        <v>1</v>
      </c>
      <c r="L2006">
        <v>0</v>
      </c>
      <c r="M2006">
        <v>1</v>
      </c>
      <c r="N2006">
        <f t="shared" si="62"/>
        <v>0.86317036859101159</v>
      </c>
      <c r="O2006">
        <f t="shared" si="63"/>
        <v>0.76976228216212783</v>
      </c>
    </row>
    <row r="2007" spans="1:15">
      <c r="A2007">
        <v>11114</v>
      </c>
      <c r="B2007">
        <v>25</v>
      </c>
      <c r="C2007">
        <v>4</v>
      </c>
      <c r="D2007">
        <v>9</v>
      </c>
      <c r="E2007">
        <v>6</v>
      </c>
      <c r="F2007">
        <v>8</v>
      </c>
      <c r="G2007">
        <v>32</v>
      </c>
      <c r="H2007" t="s">
        <v>11</v>
      </c>
      <c r="I2007">
        <v>19656</v>
      </c>
      <c r="J2007">
        <v>1</v>
      </c>
      <c r="K2007">
        <v>0</v>
      </c>
      <c r="L2007">
        <v>0</v>
      </c>
      <c r="M2007">
        <v>1</v>
      </c>
      <c r="N2007">
        <f t="shared" si="62"/>
        <v>-1.4991199581787493</v>
      </c>
      <c r="O2007">
        <f t="shared" si="63"/>
        <v>-0.3303866287309104</v>
      </c>
    </row>
    <row r="2008" spans="1:15">
      <c r="A2008">
        <v>11121</v>
      </c>
      <c r="B2008">
        <v>2</v>
      </c>
      <c r="C2008">
        <v>14</v>
      </c>
      <c r="D2008">
        <v>28</v>
      </c>
      <c r="E2008">
        <v>16</v>
      </c>
      <c r="F2008">
        <v>3</v>
      </c>
      <c r="G2008">
        <v>7</v>
      </c>
      <c r="H2008" t="s">
        <v>11</v>
      </c>
      <c r="I2008">
        <v>19419</v>
      </c>
      <c r="J2008">
        <v>1</v>
      </c>
      <c r="K2008">
        <v>0</v>
      </c>
      <c r="L2008">
        <v>0</v>
      </c>
      <c r="M2008">
        <v>1</v>
      </c>
      <c r="N2008">
        <f t="shared" si="62"/>
        <v>-1.5100854047863532</v>
      </c>
      <c r="O2008">
        <f t="shared" si="63"/>
        <v>-0.33349982654677812</v>
      </c>
    </row>
    <row r="2009" spans="1:15">
      <c r="A2009">
        <v>11148</v>
      </c>
      <c r="B2009">
        <v>2</v>
      </c>
      <c r="C2009">
        <v>1</v>
      </c>
      <c r="D2009">
        <v>4</v>
      </c>
      <c r="E2009">
        <v>3</v>
      </c>
      <c r="F2009">
        <v>1</v>
      </c>
      <c r="G2009">
        <v>2</v>
      </c>
      <c r="H2009" t="s">
        <v>11</v>
      </c>
      <c r="I2009">
        <v>22280</v>
      </c>
      <c r="J2009">
        <v>1</v>
      </c>
      <c r="K2009">
        <v>0</v>
      </c>
      <c r="L2009">
        <v>0</v>
      </c>
      <c r="M2009">
        <v>1</v>
      </c>
      <c r="N2009">
        <f t="shared" si="62"/>
        <v>-1.3777134944726199</v>
      </c>
      <c r="O2009">
        <f t="shared" si="63"/>
        <v>-0.29394799034768782</v>
      </c>
    </row>
    <row r="2010" spans="1:15">
      <c r="A2010">
        <v>11166</v>
      </c>
      <c r="B2010">
        <v>229</v>
      </c>
      <c r="C2010">
        <v>5</v>
      </c>
      <c r="D2010">
        <v>56</v>
      </c>
      <c r="E2010">
        <v>3</v>
      </c>
      <c r="F2010">
        <v>2</v>
      </c>
      <c r="G2010">
        <v>20</v>
      </c>
      <c r="H2010" t="s">
        <v>11</v>
      </c>
      <c r="I2010">
        <v>49678</v>
      </c>
      <c r="J2010">
        <v>0</v>
      </c>
      <c r="K2010">
        <v>1</v>
      </c>
      <c r="L2010">
        <v>0</v>
      </c>
      <c r="M2010">
        <v>1</v>
      </c>
      <c r="N2010">
        <f t="shared" si="62"/>
        <v>-0.11007085246784269</v>
      </c>
      <c r="O2010">
        <f t="shared" si="63"/>
        <v>0.33091531572272614</v>
      </c>
    </row>
    <row r="2011" spans="1:15">
      <c r="A2011">
        <v>11176</v>
      </c>
      <c r="B2011">
        <v>376</v>
      </c>
      <c r="C2011">
        <v>9</v>
      </c>
      <c r="D2011">
        <v>83</v>
      </c>
      <c r="E2011">
        <v>19</v>
      </c>
      <c r="F2011">
        <v>4</v>
      </c>
      <c r="G2011">
        <v>4</v>
      </c>
      <c r="H2011" t="s">
        <v>11</v>
      </c>
      <c r="I2011">
        <v>65968</v>
      </c>
      <c r="J2011">
        <v>0</v>
      </c>
      <c r="K2011">
        <v>1</v>
      </c>
      <c r="L2011">
        <v>0</v>
      </c>
      <c r="M2011">
        <v>1</v>
      </c>
      <c r="N2011">
        <f t="shared" si="62"/>
        <v>0.64363009790290771</v>
      </c>
      <c r="O2011">
        <f t="shared" si="63"/>
        <v>0.70379865864450342</v>
      </c>
    </row>
    <row r="2012" spans="1:15">
      <c r="A2012">
        <v>11178</v>
      </c>
      <c r="B2012">
        <v>15</v>
      </c>
      <c r="C2012">
        <v>2</v>
      </c>
      <c r="D2012">
        <v>10</v>
      </c>
      <c r="E2012">
        <v>0</v>
      </c>
      <c r="F2012">
        <v>1</v>
      </c>
      <c r="G2012">
        <v>4</v>
      </c>
      <c r="H2012" t="s">
        <v>12</v>
      </c>
      <c r="I2012">
        <v>42394</v>
      </c>
      <c r="J2012">
        <v>1</v>
      </c>
      <c r="K2012">
        <v>0</v>
      </c>
      <c r="L2012">
        <v>1</v>
      </c>
      <c r="M2012">
        <v>0</v>
      </c>
      <c r="N2012">
        <f t="shared" si="62"/>
        <v>-0.4470848317496442</v>
      </c>
      <c r="O2012">
        <f t="shared" si="63"/>
        <v>-0.24962197320418311</v>
      </c>
    </row>
    <row r="2013" spans="1:15">
      <c r="A2013">
        <v>11181</v>
      </c>
      <c r="B2013">
        <v>2</v>
      </c>
      <c r="C2013">
        <v>1</v>
      </c>
      <c r="D2013">
        <v>2</v>
      </c>
      <c r="E2013">
        <v>1</v>
      </c>
      <c r="F2013">
        <v>1</v>
      </c>
      <c r="G2013">
        <v>1</v>
      </c>
      <c r="H2013" t="s">
        <v>11</v>
      </c>
      <c r="I2013">
        <v>156924</v>
      </c>
      <c r="J2013">
        <v>0</v>
      </c>
      <c r="K2013">
        <v>0</v>
      </c>
      <c r="L2013">
        <v>0</v>
      </c>
      <c r="M2013">
        <v>1</v>
      </c>
      <c r="N2013">
        <f t="shared" si="62"/>
        <v>4.8519556744481491</v>
      </c>
      <c r="O2013">
        <f t="shared" si="63"/>
        <v>0.92422478148065856</v>
      </c>
    </row>
    <row r="2014" spans="1:15">
      <c r="A2014">
        <v>11187</v>
      </c>
      <c r="B2014">
        <v>2</v>
      </c>
      <c r="C2014">
        <v>8</v>
      </c>
      <c r="D2014">
        <v>10</v>
      </c>
      <c r="E2014">
        <v>12</v>
      </c>
      <c r="F2014">
        <v>14</v>
      </c>
      <c r="G2014">
        <v>23</v>
      </c>
      <c r="H2014" t="s">
        <v>12</v>
      </c>
      <c r="I2014">
        <v>26487</v>
      </c>
      <c r="J2014">
        <v>1</v>
      </c>
      <c r="K2014">
        <v>0</v>
      </c>
      <c r="L2014">
        <v>1</v>
      </c>
      <c r="M2014">
        <v>0</v>
      </c>
      <c r="N2014">
        <f t="shared" si="62"/>
        <v>-1.183065250260849</v>
      </c>
      <c r="O2014">
        <f t="shared" si="63"/>
        <v>-0.53135511647601497</v>
      </c>
    </row>
    <row r="2015" spans="1:15">
      <c r="A2015">
        <v>11191</v>
      </c>
      <c r="B2015">
        <v>37</v>
      </c>
      <c r="C2015">
        <v>32</v>
      </c>
      <c r="D2015">
        <v>38</v>
      </c>
      <c r="E2015">
        <v>11</v>
      </c>
      <c r="F2015">
        <v>3</v>
      </c>
      <c r="G2015">
        <v>18</v>
      </c>
      <c r="H2015" t="s">
        <v>12</v>
      </c>
      <c r="I2015">
        <v>41411</v>
      </c>
      <c r="J2015">
        <v>0</v>
      </c>
      <c r="K2015">
        <v>0</v>
      </c>
      <c r="L2015">
        <v>1</v>
      </c>
      <c r="M2015">
        <v>0</v>
      </c>
      <c r="N2015">
        <f t="shared" si="62"/>
        <v>-0.49256598793223766</v>
      </c>
      <c r="O2015">
        <f t="shared" si="63"/>
        <v>-0.36592146146630916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39FC-DAA0-9B40-851D-FF99F431E747}">
  <dimension ref="A3:D2019"/>
  <sheetViews>
    <sheetView workbookViewId="0">
      <selection activeCell="I15" sqref="I15"/>
    </sheetView>
  </sheetViews>
  <sheetFormatPr baseColWidth="10" defaultRowHeight="17"/>
  <cols>
    <col min="1" max="2" width="12.5" bestFit="1" customWidth="1"/>
    <col min="3" max="3" width="9.83203125" bestFit="1" customWidth="1"/>
    <col min="4" max="4" width="7.5" bestFit="1" customWidth="1"/>
  </cols>
  <sheetData>
    <row r="3" spans="1:4">
      <c r="A3" s="1" t="s">
        <v>16</v>
      </c>
      <c r="B3" s="1" t="s">
        <v>15</v>
      </c>
    </row>
    <row r="4" spans="1:4">
      <c r="A4" s="1" t="s">
        <v>13</v>
      </c>
      <c r="B4" t="s">
        <v>12</v>
      </c>
      <c r="C4" t="s">
        <v>11</v>
      </c>
      <c r="D4" t="s">
        <v>14</v>
      </c>
    </row>
    <row r="5" spans="1:4">
      <c r="A5" s="2">
        <v>0</v>
      </c>
      <c r="C5">
        <v>1</v>
      </c>
      <c r="D5">
        <v>1</v>
      </c>
    </row>
    <row r="6" spans="1:4">
      <c r="A6" s="2">
        <v>1</v>
      </c>
      <c r="B6">
        <v>1</v>
      </c>
      <c r="D6">
        <v>1</v>
      </c>
    </row>
    <row r="7" spans="1:4">
      <c r="A7" s="2">
        <v>9</v>
      </c>
      <c r="B7">
        <v>1</v>
      </c>
      <c r="D7">
        <v>1</v>
      </c>
    </row>
    <row r="8" spans="1:4">
      <c r="A8" s="2">
        <v>13</v>
      </c>
      <c r="B8">
        <v>1</v>
      </c>
      <c r="D8">
        <v>1</v>
      </c>
    </row>
    <row r="9" spans="1:4">
      <c r="A9" s="2">
        <v>17</v>
      </c>
      <c r="C9">
        <v>1</v>
      </c>
      <c r="D9">
        <v>1</v>
      </c>
    </row>
    <row r="10" spans="1:4">
      <c r="A10" s="2">
        <v>20</v>
      </c>
      <c r="C10">
        <v>1</v>
      </c>
      <c r="D10">
        <v>1</v>
      </c>
    </row>
    <row r="11" spans="1:4">
      <c r="A11" s="2">
        <v>22</v>
      </c>
      <c r="B11">
        <v>1</v>
      </c>
      <c r="D11">
        <v>1</v>
      </c>
    </row>
    <row r="12" spans="1:4">
      <c r="A12" s="2">
        <v>24</v>
      </c>
      <c r="C12">
        <v>1</v>
      </c>
      <c r="D12">
        <v>1</v>
      </c>
    </row>
    <row r="13" spans="1:4">
      <c r="A13" s="2">
        <v>25</v>
      </c>
      <c r="C13">
        <v>1</v>
      </c>
      <c r="D13">
        <v>1</v>
      </c>
    </row>
    <row r="14" spans="1:4">
      <c r="A14" s="2">
        <v>35</v>
      </c>
      <c r="C14">
        <v>1</v>
      </c>
      <c r="D14">
        <v>1</v>
      </c>
    </row>
    <row r="15" spans="1:4">
      <c r="A15" s="2">
        <v>48</v>
      </c>
      <c r="C15">
        <v>1</v>
      </c>
      <c r="D15">
        <v>1</v>
      </c>
    </row>
    <row r="16" spans="1:4">
      <c r="A16" s="2">
        <v>49</v>
      </c>
      <c r="B16">
        <v>1</v>
      </c>
      <c r="D16">
        <v>1</v>
      </c>
    </row>
    <row r="17" spans="1:4">
      <c r="A17" s="2">
        <v>55</v>
      </c>
      <c r="C17">
        <v>1</v>
      </c>
      <c r="D17">
        <v>1</v>
      </c>
    </row>
    <row r="18" spans="1:4">
      <c r="A18" s="2">
        <v>67</v>
      </c>
      <c r="B18">
        <v>1</v>
      </c>
      <c r="D18">
        <v>1</v>
      </c>
    </row>
    <row r="19" spans="1:4">
      <c r="A19" s="2">
        <v>73</v>
      </c>
      <c r="B19">
        <v>1</v>
      </c>
      <c r="D19">
        <v>1</v>
      </c>
    </row>
    <row r="20" spans="1:4">
      <c r="A20" s="2">
        <v>75</v>
      </c>
      <c r="C20">
        <v>1</v>
      </c>
      <c r="D20">
        <v>1</v>
      </c>
    </row>
    <row r="21" spans="1:4">
      <c r="A21" s="2">
        <v>78</v>
      </c>
      <c r="C21">
        <v>1</v>
      </c>
      <c r="D21">
        <v>1</v>
      </c>
    </row>
    <row r="22" spans="1:4">
      <c r="A22" s="2">
        <v>87</v>
      </c>
      <c r="C22">
        <v>1</v>
      </c>
      <c r="D22">
        <v>1</v>
      </c>
    </row>
    <row r="23" spans="1:4">
      <c r="A23" s="2">
        <v>89</v>
      </c>
      <c r="C23">
        <v>1</v>
      </c>
      <c r="D23">
        <v>1</v>
      </c>
    </row>
    <row r="24" spans="1:4">
      <c r="A24" s="2">
        <v>92</v>
      </c>
      <c r="B24">
        <v>1</v>
      </c>
      <c r="D24">
        <v>1</v>
      </c>
    </row>
    <row r="25" spans="1:4">
      <c r="A25" s="2">
        <v>113</v>
      </c>
      <c r="C25">
        <v>1</v>
      </c>
      <c r="D25">
        <v>1</v>
      </c>
    </row>
    <row r="26" spans="1:4">
      <c r="A26" s="2">
        <v>115</v>
      </c>
      <c r="B26">
        <v>1</v>
      </c>
      <c r="D26">
        <v>1</v>
      </c>
    </row>
    <row r="27" spans="1:4">
      <c r="A27" s="2">
        <v>123</v>
      </c>
      <c r="B27">
        <v>1</v>
      </c>
      <c r="D27">
        <v>1</v>
      </c>
    </row>
    <row r="28" spans="1:4">
      <c r="A28" s="2">
        <v>125</v>
      </c>
      <c r="C28">
        <v>1</v>
      </c>
      <c r="D28">
        <v>1</v>
      </c>
    </row>
    <row r="29" spans="1:4">
      <c r="A29" s="2">
        <v>143</v>
      </c>
      <c r="B29">
        <v>1</v>
      </c>
      <c r="D29">
        <v>1</v>
      </c>
    </row>
    <row r="30" spans="1:4">
      <c r="A30" s="2">
        <v>146</v>
      </c>
      <c r="B30">
        <v>1</v>
      </c>
      <c r="D30">
        <v>1</v>
      </c>
    </row>
    <row r="31" spans="1:4">
      <c r="A31" s="2">
        <v>153</v>
      </c>
      <c r="B31">
        <v>1</v>
      </c>
      <c r="D31">
        <v>1</v>
      </c>
    </row>
    <row r="32" spans="1:4">
      <c r="A32" s="2">
        <v>158</v>
      </c>
      <c r="C32">
        <v>1</v>
      </c>
      <c r="D32">
        <v>1</v>
      </c>
    </row>
    <row r="33" spans="1:4">
      <c r="A33" s="2">
        <v>164</v>
      </c>
      <c r="C33">
        <v>1</v>
      </c>
      <c r="D33">
        <v>1</v>
      </c>
    </row>
    <row r="34" spans="1:4">
      <c r="A34" s="2">
        <v>175</v>
      </c>
      <c r="C34">
        <v>1</v>
      </c>
      <c r="D34">
        <v>1</v>
      </c>
    </row>
    <row r="35" spans="1:4">
      <c r="A35" s="2">
        <v>176</v>
      </c>
      <c r="B35">
        <v>1</v>
      </c>
      <c r="D35">
        <v>1</v>
      </c>
    </row>
    <row r="36" spans="1:4">
      <c r="A36" s="2">
        <v>178</v>
      </c>
      <c r="C36">
        <v>1</v>
      </c>
      <c r="D36">
        <v>1</v>
      </c>
    </row>
    <row r="37" spans="1:4">
      <c r="A37" s="2">
        <v>182</v>
      </c>
      <c r="C37">
        <v>1</v>
      </c>
      <c r="D37">
        <v>1</v>
      </c>
    </row>
    <row r="38" spans="1:4">
      <c r="A38" s="2">
        <v>193</v>
      </c>
      <c r="C38">
        <v>1</v>
      </c>
      <c r="D38">
        <v>1</v>
      </c>
    </row>
    <row r="39" spans="1:4">
      <c r="A39" s="2">
        <v>194</v>
      </c>
      <c r="C39">
        <v>1</v>
      </c>
      <c r="D39">
        <v>1</v>
      </c>
    </row>
    <row r="40" spans="1:4">
      <c r="A40" s="2">
        <v>195</v>
      </c>
      <c r="B40">
        <v>1</v>
      </c>
      <c r="D40">
        <v>1</v>
      </c>
    </row>
    <row r="41" spans="1:4">
      <c r="A41" s="2">
        <v>199</v>
      </c>
      <c r="B41">
        <v>1</v>
      </c>
      <c r="D41">
        <v>1</v>
      </c>
    </row>
    <row r="42" spans="1:4">
      <c r="A42" s="2">
        <v>202</v>
      </c>
      <c r="B42">
        <v>1</v>
      </c>
      <c r="D42">
        <v>1</v>
      </c>
    </row>
    <row r="43" spans="1:4">
      <c r="A43" s="2">
        <v>203</v>
      </c>
      <c r="B43">
        <v>1</v>
      </c>
      <c r="D43">
        <v>1</v>
      </c>
    </row>
    <row r="44" spans="1:4">
      <c r="A44" s="2">
        <v>213</v>
      </c>
      <c r="B44">
        <v>1</v>
      </c>
      <c r="D44">
        <v>1</v>
      </c>
    </row>
    <row r="45" spans="1:4">
      <c r="A45" s="2">
        <v>217</v>
      </c>
      <c r="B45">
        <v>1</v>
      </c>
      <c r="D45">
        <v>1</v>
      </c>
    </row>
    <row r="46" spans="1:4">
      <c r="A46" s="2">
        <v>221</v>
      </c>
      <c r="C46">
        <v>1</v>
      </c>
      <c r="D46">
        <v>1</v>
      </c>
    </row>
    <row r="47" spans="1:4">
      <c r="A47" s="2">
        <v>231</v>
      </c>
      <c r="C47">
        <v>1</v>
      </c>
      <c r="D47">
        <v>1</v>
      </c>
    </row>
    <row r="48" spans="1:4">
      <c r="A48" s="2">
        <v>232</v>
      </c>
      <c r="B48">
        <v>1</v>
      </c>
      <c r="D48">
        <v>1</v>
      </c>
    </row>
    <row r="49" spans="1:4">
      <c r="A49" s="2">
        <v>234</v>
      </c>
      <c r="B49">
        <v>1</v>
      </c>
      <c r="D49">
        <v>1</v>
      </c>
    </row>
    <row r="50" spans="1:4">
      <c r="A50" s="2">
        <v>236</v>
      </c>
      <c r="C50">
        <v>1</v>
      </c>
      <c r="D50">
        <v>1</v>
      </c>
    </row>
    <row r="51" spans="1:4">
      <c r="A51" s="2">
        <v>238</v>
      </c>
      <c r="C51">
        <v>1</v>
      </c>
      <c r="D51">
        <v>1</v>
      </c>
    </row>
    <row r="52" spans="1:4">
      <c r="A52" s="2">
        <v>241</v>
      </c>
      <c r="C52">
        <v>1</v>
      </c>
      <c r="D52">
        <v>1</v>
      </c>
    </row>
    <row r="53" spans="1:4">
      <c r="A53" s="2">
        <v>246</v>
      </c>
      <c r="C53">
        <v>1</v>
      </c>
      <c r="D53">
        <v>1</v>
      </c>
    </row>
    <row r="54" spans="1:4">
      <c r="A54" s="2">
        <v>247</v>
      </c>
      <c r="C54">
        <v>1</v>
      </c>
      <c r="D54">
        <v>1</v>
      </c>
    </row>
    <row r="55" spans="1:4">
      <c r="A55" s="2">
        <v>252</v>
      </c>
      <c r="B55">
        <v>1</v>
      </c>
      <c r="D55">
        <v>1</v>
      </c>
    </row>
    <row r="56" spans="1:4">
      <c r="A56" s="2">
        <v>254</v>
      </c>
      <c r="C56">
        <v>1</v>
      </c>
      <c r="D56">
        <v>1</v>
      </c>
    </row>
    <row r="57" spans="1:4">
      <c r="A57" s="2">
        <v>255</v>
      </c>
      <c r="B57">
        <v>1</v>
      </c>
      <c r="D57">
        <v>1</v>
      </c>
    </row>
    <row r="58" spans="1:4">
      <c r="A58" s="2">
        <v>257</v>
      </c>
      <c r="C58">
        <v>1</v>
      </c>
      <c r="D58">
        <v>1</v>
      </c>
    </row>
    <row r="59" spans="1:4">
      <c r="A59" s="2">
        <v>263</v>
      </c>
      <c r="B59">
        <v>1</v>
      </c>
      <c r="D59">
        <v>1</v>
      </c>
    </row>
    <row r="60" spans="1:4">
      <c r="A60" s="2">
        <v>269</v>
      </c>
      <c r="B60">
        <v>1</v>
      </c>
      <c r="D60">
        <v>1</v>
      </c>
    </row>
    <row r="61" spans="1:4">
      <c r="A61" s="2">
        <v>271</v>
      </c>
      <c r="B61">
        <v>1</v>
      </c>
      <c r="D61">
        <v>1</v>
      </c>
    </row>
    <row r="62" spans="1:4">
      <c r="A62" s="2">
        <v>273</v>
      </c>
      <c r="C62">
        <v>1</v>
      </c>
      <c r="D62">
        <v>1</v>
      </c>
    </row>
    <row r="63" spans="1:4">
      <c r="A63" s="2">
        <v>274</v>
      </c>
      <c r="B63">
        <v>1</v>
      </c>
      <c r="D63">
        <v>1</v>
      </c>
    </row>
    <row r="64" spans="1:4">
      <c r="A64" s="2">
        <v>286</v>
      </c>
      <c r="B64">
        <v>1</v>
      </c>
      <c r="D64">
        <v>1</v>
      </c>
    </row>
    <row r="65" spans="1:4">
      <c r="A65" s="2">
        <v>291</v>
      </c>
      <c r="C65">
        <v>1</v>
      </c>
      <c r="D65">
        <v>1</v>
      </c>
    </row>
    <row r="66" spans="1:4">
      <c r="A66" s="2">
        <v>295</v>
      </c>
      <c r="B66">
        <v>1</v>
      </c>
      <c r="D66">
        <v>1</v>
      </c>
    </row>
    <row r="67" spans="1:4">
      <c r="A67" s="2">
        <v>304</v>
      </c>
      <c r="B67">
        <v>1</v>
      </c>
      <c r="D67">
        <v>1</v>
      </c>
    </row>
    <row r="68" spans="1:4">
      <c r="A68" s="2">
        <v>309</v>
      </c>
      <c r="C68">
        <v>1</v>
      </c>
      <c r="D68">
        <v>1</v>
      </c>
    </row>
    <row r="69" spans="1:4">
      <c r="A69" s="2">
        <v>310</v>
      </c>
      <c r="C69">
        <v>1</v>
      </c>
      <c r="D69">
        <v>1</v>
      </c>
    </row>
    <row r="70" spans="1:4">
      <c r="A70" s="2">
        <v>313</v>
      </c>
      <c r="B70">
        <v>1</v>
      </c>
      <c r="D70">
        <v>1</v>
      </c>
    </row>
    <row r="71" spans="1:4">
      <c r="A71" s="2">
        <v>322</v>
      </c>
      <c r="C71">
        <v>1</v>
      </c>
      <c r="D71">
        <v>1</v>
      </c>
    </row>
    <row r="72" spans="1:4">
      <c r="A72" s="2">
        <v>326</v>
      </c>
      <c r="C72">
        <v>1</v>
      </c>
      <c r="D72">
        <v>1</v>
      </c>
    </row>
    <row r="73" spans="1:4">
      <c r="A73" s="2">
        <v>332</v>
      </c>
      <c r="C73">
        <v>1</v>
      </c>
      <c r="D73">
        <v>1</v>
      </c>
    </row>
    <row r="74" spans="1:4">
      <c r="A74" s="2">
        <v>339</v>
      </c>
      <c r="C74">
        <v>1</v>
      </c>
      <c r="D74">
        <v>1</v>
      </c>
    </row>
    <row r="75" spans="1:4">
      <c r="A75" s="2">
        <v>340</v>
      </c>
      <c r="B75">
        <v>1</v>
      </c>
      <c r="D75">
        <v>1</v>
      </c>
    </row>
    <row r="76" spans="1:4">
      <c r="A76" s="2">
        <v>347</v>
      </c>
      <c r="B76">
        <v>1</v>
      </c>
      <c r="D76">
        <v>1</v>
      </c>
    </row>
    <row r="77" spans="1:4">
      <c r="A77" s="2">
        <v>359</v>
      </c>
      <c r="C77">
        <v>1</v>
      </c>
      <c r="D77">
        <v>1</v>
      </c>
    </row>
    <row r="78" spans="1:4">
      <c r="A78" s="2">
        <v>361</v>
      </c>
      <c r="C78">
        <v>1</v>
      </c>
      <c r="D78">
        <v>1</v>
      </c>
    </row>
    <row r="79" spans="1:4">
      <c r="A79" s="2">
        <v>367</v>
      </c>
      <c r="C79">
        <v>1</v>
      </c>
      <c r="D79">
        <v>1</v>
      </c>
    </row>
    <row r="80" spans="1:4">
      <c r="A80" s="2">
        <v>368</v>
      </c>
      <c r="C80">
        <v>1</v>
      </c>
      <c r="D80">
        <v>1</v>
      </c>
    </row>
    <row r="81" spans="1:4">
      <c r="A81" s="2">
        <v>375</v>
      </c>
      <c r="B81">
        <v>1</v>
      </c>
      <c r="D81">
        <v>1</v>
      </c>
    </row>
    <row r="82" spans="1:4">
      <c r="A82" s="2">
        <v>378</v>
      </c>
      <c r="C82">
        <v>1</v>
      </c>
      <c r="D82">
        <v>1</v>
      </c>
    </row>
    <row r="83" spans="1:4">
      <c r="A83" s="2">
        <v>380</v>
      </c>
      <c r="B83">
        <v>1</v>
      </c>
      <c r="D83">
        <v>1</v>
      </c>
    </row>
    <row r="84" spans="1:4">
      <c r="A84" s="2">
        <v>387</v>
      </c>
      <c r="C84">
        <v>1</v>
      </c>
      <c r="D84">
        <v>1</v>
      </c>
    </row>
    <row r="85" spans="1:4">
      <c r="A85" s="2">
        <v>405</v>
      </c>
      <c r="B85">
        <v>1</v>
      </c>
      <c r="D85">
        <v>1</v>
      </c>
    </row>
    <row r="86" spans="1:4">
      <c r="A86" s="2">
        <v>425</v>
      </c>
      <c r="C86">
        <v>1</v>
      </c>
      <c r="D86">
        <v>1</v>
      </c>
    </row>
    <row r="87" spans="1:4">
      <c r="A87" s="2">
        <v>433</v>
      </c>
      <c r="B87">
        <v>1</v>
      </c>
      <c r="D87">
        <v>1</v>
      </c>
    </row>
    <row r="88" spans="1:4">
      <c r="A88" s="2">
        <v>437</v>
      </c>
      <c r="B88">
        <v>1</v>
      </c>
      <c r="D88">
        <v>1</v>
      </c>
    </row>
    <row r="89" spans="1:4">
      <c r="A89" s="2">
        <v>448</v>
      </c>
      <c r="B89">
        <v>1</v>
      </c>
      <c r="D89">
        <v>1</v>
      </c>
    </row>
    <row r="90" spans="1:4">
      <c r="A90" s="2">
        <v>450</v>
      </c>
      <c r="C90">
        <v>1</v>
      </c>
      <c r="D90">
        <v>1</v>
      </c>
    </row>
    <row r="91" spans="1:4">
      <c r="A91" s="2">
        <v>451</v>
      </c>
      <c r="B91">
        <v>1</v>
      </c>
      <c r="D91">
        <v>1</v>
      </c>
    </row>
    <row r="92" spans="1:4">
      <c r="A92" s="2">
        <v>453</v>
      </c>
      <c r="B92">
        <v>1</v>
      </c>
      <c r="D92">
        <v>1</v>
      </c>
    </row>
    <row r="93" spans="1:4">
      <c r="A93" s="2">
        <v>454</v>
      </c>
      <c r="C93">
        <v>1</v>
      </c>
      <c r="D93">
        <v>1</v>
      </c>
    </row>
    <row r="94" spans="1:4">
      <c r="A94" s="2">
        <v>455</v>
      </c>
      <c r="C94">
        <v>1</v>
      </c>
      <c r="D94">
        <v>1</v>
      </c>
    </row>
    <row r="95" spans="1:4">
      <c r="A95" s="2">
        <v>456</v>
      </c>
      <c r="C95">
        <v>1</v>
      </c>
      <c r="D95">
        <v>1</v>
      </c>
    </row>
    <row r="96" spans="1:4">
      <c r="A96" s="2">
        <v>460</v>
      </c>
      <c r="C96">
        <v>1</v>
      </c>
      <c r="D96">
        <v>1</v>
      </c>
    </row>
    <row r="97" spans="1:4">
      <c r="A97" s="2">
        <v>466</v>
      </c>
      <c r="C97">
        <v>1</v>
      </c>
      <c r="D97">
        <v>1</v>
      </c>
    </row>
    <row r="98" spans="1:4">
      <c r="A98" s="2">
        <v>477</v>
      </c>
      <c r="C98">
        <v>1</v>
      </c>
      <c r="D98">
        <v>1</v>
      </c>
    </row>
    <row r="99" spans="1:4">
      <c r="A99" s="2">
        <v>486</v>
      </c>
      <c r="C99">
        <v>1</v>
      </c>
      <c r="D99">
        <v>1</v>
      </c>
    </row>
    <row r="100" spans="1:4">
      <c r="A100" s="2">
        <v>492</v>
      </c>
      <c r="B100">
        <v>1</v>
      </c>
      <c r="D100">
        <v>1</v>
      </c>
    </row>
    <row r="101" spans="1:4">
      <c r="A101" s="2">
        <v>498</v>
      </c>
      <c r="B101">
        <v>1</v>
      </c>
      <c r="D101">
        <v>1</v>
      </c>
    </row>
    <row r="102" spans="1:4">
      <c r="A102" s="2">
        <v>500</v>
      </c>
      <c r="C102">
        <v>1</v>
      </c>
      <c r="D102">
        <v>1</v>
      </c>
    </row>
    <row r="103" spans="1:4">
      <c r="A103" s="2">
        <v>503</v>
      </c>
      <c r="C103">
        <v>1</v>
      </c>
      <c r="D103">
        <v>1</v>
      </c>
    </row>
    <row r="104" spans="1:4">
      <c r="A104" s="2">
        <v>520</v>
      </c>
      <c r="C104">
        <v>1</v>
      </c>
      <c r="D104">
        <v>1</v>
      </c>
    </row>
    <row r="105" spans="1:4">
      <c r="A105" s="2">
        <v>521</v>
      </c>
      <c r="C105">
        <v>1</v>
      </c>
      <c r="D105">
        <v>1</v>
      </c>
    </row>
    <row r="106" spans="1:4">
      <c r="A106" s="2">
        <v>523</v>
      </c>
      <c r="C106">
        <v>1</v>
      </c>
      <c r="D106">
        <v>1</v>
      </c>
    </row>
    <row r="107" spans="1:4">
      <c r="A107" s="2">
        <v>524</v>
      </c>
      <c r="C107">
        <v>1</v>
      </c>
      <c r="D107">
        <v>1</v>
      </c>
    </row>
    <row r="108" spans="1:4">
      <c r="A108" s="2">
        <v>528</v>
      </c>
      <c r="C108">
        <v>1</v>
      </c>
      <c r="D108">
        <v>1</v>
      </c>
    </row>
    <row r="109" spans="1:4">
      <c r="A109" s="2">
        <v>531</v>
      </c>
      <c r="B109">
        <v>1</v>
      </c>
      <c r="D109">
        <v>1</v>
      </c>
    </row>
    <row r="110" spans="1:4">
      <c r="A110" s="2">
        <v>535</v>
      </c>
      <c r="B110">
        <v>1</v>
      </c>
      <c r="D110">
        <v>1</v>
      </c>
    </row>
    <row r="111" spans="1:4">
      <c r="A111" s="2">
        <v>538</v>
      </c>
      <c r="B111">
        <v>1</v>
      </c>
      <c r="D111">
        <v>1</v>
      </c>
    </row>
    <row r="112" spans="1:4">
      <c r="A112" s="2">
        <v>544</v>
      </c>
      <c r="C112">
        <v>1</v>
      </c>
      <c r="D112">
        <v>1</v>
      </c>
    </row>
    <row r="113" spans="1:4">
      <c r="A113" s="2">
        <v>550</v>
      </c>
      <c r="B113">
        <v>1</v>
      </c>
      <c r="D113">
        <v>1</v>
      </c>
    </row>
    <row r="114" spans="1:4">
      <c r="A114" s="2">
        <v>564</v>
      </c>
      <c r="C114">
        <v>1</v>
      </c>
      <c r="D114">
        <v>1</v>
      </c>
    </row>
    <row r="115" spans="1:4">
      <c r="A115" s="2">
        <v>569</v>
      </c>
      <c r="B115">
        <v>1</v>
      </c>
      <c r="D115">
        <v>1</v>
      </c>
    </row>
    <row r="116" spans="1:4">
      <c r="A116" s="2">
        <v>574</v>
      </c>
      <c r="C116">
        <v>1</v>
      </c>
      <c r="D116">
        <v>1</v>
      </c>
    </row>
    <row r="117" spans="1:4">
      <c r="A117" s="2">
        <v>577</v>
      </c>
      <c r="C117">
        <v>1</v>
      </c>
      <c r="D117">
        <v>1</v>
      </c>
    </row>
    <row r="118" spans="1:4">
      <c r="A118" s="2">
        <v>590</v>
      </c>
      <c r="B118">
        <v>1</v>
      </c>
      <c r="D118">
        <v>1</v>
      </c>
    </row>
    <row r="119" spans="1:4">
      <c r="A119" s="2">
        <v>591</v>
      </c>
      <c r="B119">
        <v>1</v>
      </c>
      <c r="D119">
        <v>1</v>
      </c>
    </row>
    <row r="120" spans="1:4">
      <c r="A120" s="2">
        <v>606</v>
      </c>
      <c r="B120">
        <v>1</v>
      </c>
      <c r="D120">
        <v>1</v>
      </c>
    </row>
    <row r="121" spans="1:4">
      <c r="A121" s="2">
        <v>607</v>
      </c>
      <c r="B121">
        <v>1</v>
      </c>
      <c r="D121">
        <v>1</v>
      </c>
    </row>
    <row r="122" spans="1:4">
      <c r="A122" s="2">
        <v>610</v>
      </c>
      <c r="C122">
        <v>1</v>
      </c>
      <c r="D122">
        <v>1</v>
      </c>
    </row>
    <row r="123" spans="1:4">
      <c r="A123" s="2">
        <v>615</v>
      </c>
      <c r="C123">
        <v>1</v>
      </c>
      <c r="D123">
        <v>1</v>
      </c>
    </row>
    <row r="124" spans="1:4">
      <c r="A124" s="2">
        <v>618</v>
      </c>
      <c r="C124">
        <v>1</v>
      </c>
      <c r="D124">
        <v>1</v>
      </c>
    </row>
    <row r="125" spans="1:4">
      <c r="A125" s="2">
        <v>624</v>
      </c>
      <c r="B125">
        <v>1</v>
      </c>
      <c r="D125">
        <v>1</v>
      </c>
    </row>
    <row r="126" spans="1:4">
      <c r="A126" s="2">
        <v>626</v>
      </c>
      <c r="C126">
        <v>1</v>
      </c>
      <c r="D126">
        <v>1</v>
      </c>
    </row>
    <row r="127" spans="1:4">
      <c r="A127" s="2">
        <v>635</v>
      </c>
      <c r="C127">
        <v>1</v>
      </c>
      <c r="D127">
        <v>1</v>
      </c>
    </row>
    <row r="128" spans="1:4">
      <c r="A128" s="2">
        <v>640</v>
      </c>
      <c r="C128">
        <v>1</v>
      </c>
      <c r="D128">
        <v>1</v>
      </c>
    </row>
    <row r="129" spans="1:4">
      <c r="A129" s="2">
        <v>641</v>
      </c>
      <c r="B129">
        <v>1</v>
      </c>
      <c r="D129">
        <v>1</v>
      </c>
    </row>
    <row r="130" spans="1:4">
      <c r="A130" s="2">
        <v>642</v>
      </c>
      <c r="C130">
        <v>1</v>
      </c>
      <c r="D130">
        <v>1</v>
      </c>
    </row>
    <row r="131" spans="1:4">
      <c r="A131" s="2">
        <v>663</v>
      </c>
      <c r="B131">
        <v>1</v>
      </c>
      <c r="D131">
        <v>1</v>
      </c>
    </row>
    <row r="132" spans="1:4">
      <c r="A132" s="2">
        <v>675</v>
      </c>
      <c r="B132">
        <v>1</v>
      </c>
      <c r="D132">
        <v>1</v>
      </c>
    </row>
    <row r="133" spans="1:4">
      <c r="A133" s="2">
        <v>679</v>
      </c>
      <c r="C133">
        <v>1</v>
      </c>
      <c r="D133">
        <v>1</v>
      </c>
    </row>
    <row r="134" spans="1:4">
      <c r="A134" s="2">
        <v>692</v>
      </c>
      <c r="C134">
        <v>1</v>
      </c>
      <c r="D134">
        <v>1</v>
      </c>
    </row>
    <row r="135" spans="1:4">
      <c r="A135" s="2">
        <v>697</v>
      </c>
      <c r="C135">
        <v>1</v>
      </c>
      <c r="D135">
        <v>1</v>
      </c>
    </row>
    <row r="136" spans="1:4">
      <c r="A136" s="2">
        <v>701</v>
      </c>
      <c r="C136">
        <v>1</v>
      </c>
      <c r="D136">
        <v>1</v>
      </c>
    </row>
    <row r="137" spans="1:4">
      <c r="A137" s="2">
        <v>702</v>
      </c>
      <c r="B137">
        <v>1</v>
      </c>
      <c r="D137">
        <v>1</v>
      </c>
    </row>
    <row r="138" spans="1:4">
      <c r="A138" s="2">
        <v>709</v>
      </c>
      <c r="B138">
        <v>1</v>
      </c>
      <c r="D138">
        <v>1</v>
      </c>
    </row>
    <row r="139" spans="1:4">
      <c r="A139" s="2">
        <v>713</v>
      </c>
      <c r="C139">
        <v>1</v>
      </c>
      <c r="D139">
        <v>1</v>
      </c>
    </row>
    <row r="140" spans="1:4">
      <c r="A140" s="2">
        <v>716</v>
      </c>
      <c r="C140">
        <v>1</v>
      </c>
      <c r="D140">
        <v>1</v>
      </c>
    </row>
    <row r="141" spans="1:4">
      <c r="A141" s="2">
        <v>736</v>
      </c>
      <c r="C141">
        <v>1</v>
      </c>
      <c r="D141">
        <v>1</v>
      </c>
    </row>
    <row r="142" spans="1:4">
      <c r="A142" s="2">
        <v>737</v>
      </c>
      <c r="C142">
        <v>1</v>
      </c>
      <c r="D142">
        <v>1</v>
      </c>
    </row>
    <row r="143" spans="1:4">
      <c r="A143" s="2">
        <v>738</v>
      </c>
      <c r="B143">
        <v>1</v>
      </c>
      <c r="D143">
        <v>1</v>
      </c>
    </row>
    <row r="144" spans="1:4">
      <c r="A144" s="2">
        <v>749</v>
      </c>
      <c r="C144">
        <v>1</v>
      </c>
      <c r="D144">
        <v>1</v>
      </c>
    </row>
    <row r="145" spans="1:4">
      <c r="A145" s="2">
        <v>760</v>
      </c>
      <c r="B145">
        <v>1</v>
      </c>
      <c r="D145">
        <v>1</v>
      </c>
    </row>
    <row r="146" spans="1:4">
      <c r="A146" s="2">
        <v>762</v>
      </c>
      <c r="C146">
        <v>1</v>
      </c>
      <c r="D146">
        <v>1</v>
      </c>
    </row>
    <row r="147" spans="1:4">
      <c r="A147" s="2">
        <v>771</v>
      </c>
      <c r="C147">
        <v>1</v>
      </c>
      <c r="D147">
        <v>1</v>
      </c>
    </row>
    <row r="148" spans="1:4">
      <c r="A148" s="2">
        <v>773</v>
      </c>
      <c r="B148">
        <v>1</v>
      </c>
      <c r="D148">
        <v>1</v>
      </c>
    </row>
    <row r="149" spans="1:4">
      <c r="A149" s="2">
        <v>793</v>
      </c>
      <c r="C149">
        <v>1</v>
      </c>
      <c r="D149">
        <v>1</v>
      </c>
    </row>
    <row r="150" spans="1:4">
      <c r="A150" s="2">
        <v>796</v>
      </c>
      <c r="B150">
        <v>1</v>
      </c>
      <c r="D150">
        <v>1</v>
      </c>
    </row>
    <row r="151" spans="1:4">
      <c r="A151" s="2">
        <v>798</v>
      </c>
      <c r="B151">
        <v>1</v>
      </c>
      <c r="D151">
        <v>1</v>
      </c>
    </row>
    <row r="152" spans="1:4">
      <c r="A152" s="2">
        <v>800</v>
      </c>
      <c r="C152">
        <v>1</v>
      </c>
      <c r="D152">
        <v>1</v>
      </c>
    </row>
    <row r="153" spans="1:4">
      <c r="A153" s="2">
        <v>803</v>
      </c>
      <c r="C153">
        <v>1</v>
      </c>
      <c r="D153">
        <v>1</v>
      </c>
    </row>
    <row r="154" spans="1:4">
      <c r="A154" s="2">
        <v>807</v>
      </c>
      <c r="C154">
        <v>1</v>
      </c>
      <c r="D154">
        <v>1</v>
      </c>
    </row>
    <row r="155" spans="1:4">
      <c r="A155" s="2">
        <v>810</v>
      </c>
      <c r="C155">
        <v>1</v>
      </c>
      <c r="D155">
        <v>1</v>
      </c>
    </row>
    <row r="156" spans="1:4">
      <c r="A156" s="2">
        <v>819</v>
      </c>
      <c r="B156">
        <v>1</v>
      </c>
      <c r="D156">
        <v>1</v>
      </c>
    </row>
    <row r="157" spans="1:4">
      <c r="A157" s="2">
        <v>821</v>
      </c>
      <c r="B157">
        <v>1</v>
      </c>
      <c r="D157">
        <v>1</v>
      </c>
    </row>
    <row r="158" spans="1:4">
      <c r="A158" s="2">
        <v>830</v>
      </c>
      <c r="B158">
        <v>1</v>
      </c>
      <c r="D158">
        <v>1</v>
      </c>
    </row>
    <row r="159" spans="1:4">
      <c r="A159" s="2">
        <v>832</v>
      </c>
      <c r="C159">
        <v>1</v>
      </c>
      <c r="D159">
        <v>1</v>
      </c>
    </row>
    <row r="160" spans="1:4">
      <c r="A160" s="2">
        <v>833</v>
      </c>
      <c r="C160">
        <v>1</v>
      </c>
      <c r="D160">
        <v>1</v>
      </c>
    </row>
    <row r="161" spans="1:4">
      <c r="A161" s="2">
        <v>837</v>
      </c>
      <c r="C161">
        <v>1</v>
      </c>
      <c r="D161">
        <v>1</v>
      </c>
    </row>
    <row r="162" spans="1:4">
      <c r="A162" s="2">
        <v>839</v>
      </c>
      <c r="C162">
        <v>1</v>
      </c>
      <c r="D162">
        <v>1</v>
      </c>
    </row>
    <row r="163" spans="1:4">
      <c r="A163" s="2">
        <v>843</v>
      </c>
      <c r="C163">
        <v>1</v>
      </c>
      <c r="D163">
        <v>1</v>
      </c>
    </row>
    <row r="164" spans="1:4">
      <c r="A164" s="2">
        <v>849</v>
      </c>
      <c r="C164">
        <v>1</v>
      </c>
      <c r="D164">
        <v>1</v>
      </c>
    </row>
    <row r="165" spans="1:4">
      <c r="A165" s="2">
        <v>850</v>
      </c>
      <c r="B165">
        <v>1</v>
      </c>
      <c r="D165">
        <v>1</v>
      </c>
    </row>
    <row r="166" spans="1:4">
      <c r="A166" s="2">
        <v>851</v>
      </c>
      <c r="C166">
        <v>1</v>
      </c>
      <c r="D166">
        <v>1</v>
      </c>
    </row>
    <row r="167" spans="1:4">
      <c r="A167" s="2">
        <v>868</v>
      </c>
      <c r="C167">
        <v>1</v>
      </c>
      <c r="D167">
        <v>1</v>
      </c>
    </row>
    <row r="168" spans="1:4">
      <c r="A168" s="2">
        <v>873</v>
      </c>
      <c r="C168">
        <v>1</v>
      </c>
      <c r="D168">
        <v>1</v>
      </c>
    </row>
    <row r="169" spans="1:4">
      <c r="A169" s="2">
        <v>879</v>
      </c>
      <c r="C169">
        <v>1</v>
      </c>
      <c r="D169">
        <v>1</v>
      </c>
    </row>
    <row r="170" spans="1:4">
      <c r="A170" s="2">
        <v>891</v>
      </c>
      <c r="C170">
        <v>1</v>
      </c>
      <c r="D170">
        <v>1</v>
      </c>
    </row>
    <row r="171" spans="1:4">
      <c r="A171" s="2">
        <v>895</v>
      </c>
      <c r="C171">
        <v>1</v>
      </c>
      <c r="D171">
        <v>1</v>
      </c>
    </row>
    <row r="172" spans="1:4">
      <c r="A172" s="2">
        <v>898</v>
      </c>
      <c r="C172">
        <v>1</v>
      </c>
      <c r="D172">
        <v>1</v>
      </c>
    </row>
    <row r="173" spans="1:4">
      <c r="A173" s="2">
        <v>902</v>
      </c>
      <c r="C173">
        <v>1</v>
      </c>
      <c r="D173">
        <v>1</v>
      </c>
    </row>
    <row r="174" spans="1:4">
      <c r="A174" s="2">
        <v>905</v>
      </c>
      <c r="B174">
        <v>1</v>
      </c>
      <c r="D174">
        <v>1</v>
      </c>
    </row>
    <row r="175" spans="1:4">
      <c r="A175" s="2">
        <v>907</v>
      </c>
      <c r="C175">
        <v>1</v>
      </c>
      <c r="D175">
        <v>1</v>
      </c>
    </row>
    <row r="176" spans="1:4">
      <c r="A176" s="2">
        <v>916</v>
      </c>
      <c r="B176">
        <v>1</v>
      </c>
      <c r="D176">
        <v>1</v>
      </c>
    </row>
    <row r="177" spans="1:4">
      <c r="A177" s="2">
        <v>922</v>
      </c>
      <c r="C177">
        <v>1</v>
      </c>
      <c r="D177">
        <v>1</v>
      </c>
    </row>
    <row r="178" spans="1:4">
      <c r="A178" s="2">
        <v>933</v>
      </c>
      <c r="C178">
        <v>1</v>
      </c>
      <c r="D178">
        <v>1</v>
      </c>
    </row>
    <row r="179" spans="1:4">
      <c r="A179" s="2">
        <v>938</v>
      </c>
      <c r="C179">
        <v>1</v>
      </c>
      <c r="D179">
        <v>1</v>
      </c>
    </row>
    <row r="180" spans="1:4">
      <c r="A180" s="2">
        <v>940</v>
      </c>
      <c r="B180">
        <v>1</v>
      </c>
      <c r="D180">
        <v>1</v>
      </c>
    </row>
    <row r="181" spans="1:4">
      <c r="A181" s="2">
        <v>942</v>
      </c>
      <c r="B181">
        <v>1</v>
      </c>
      <c r="D181">
        <v>1</v>
      </c>
    </row>
    <row r="182" spans="1:4">
      <c r="A182" s="2">
        <v>944</v>
      </c>
      <c r="C182">
        <v>1</v>
      </c>
      <c r="D182">
        <v>1</v>
      </c>
    </row>
    <row r="183" spans="1:4">
      <c r="A183" s="2">
        <v>945</v>
      </c>
      <c r="C183">
        <v>1</v>
      </c>
      <c r="D183">
        <v>1</v>
      </c>
    </row>
    <row r="184" spans="1:4">
      <c r="A184" s="2">
        <v>946</v>
      </c>
      <c r="C184">
        <v>1</v>
      </c>
      <c r="D184">
        <v>1</v>
      </c>
    </row>
    <row r="185" spans="1:4">
      <c r="A185" s="2">
        <v>948</v>
      </c>
      <c r="B185">
        <v>1</v>
      </c>
      <c r="D185">
        <v>1</v>
      </c>
    </row>
    <row r="186" spans="1:4">
      <c r="A186" s="2">
        <v>954</v>
      </c>
      <c r="B186">
        <v>1</v>
      </c>
      <c r="D186">
        <v>1</v>
      </c>
    </row>
    <row r="187" spans="1:4">
      <c r="A187" s="2">
        <v>955</v>
      </c>
      <c r="C187">
        <v>1</v>
      </c>
      <c r="D187">
        <v>1</v>
      </c>
    </row>
    <row r="188" spans="1:4">
      <c r="A188" s="2">
        <v>961</v>
      </c>
      <c r="C188">
        <v>1</v>
      </c>
      <c r="D188">
        <v>1</v>
      </c>
    </row>
    <row r="189" spans="1:4">
      <c r="A189" s="2">
        <v>965</v>
      </c>
      <c r="B189">
        <v>1</v>
      </c>
      <c r="D189">
        <v>1</v>
      </c>
    </row>
    <row r="190" spans="1:4">
      <c r="A190" s="2">
        <v>966</v>
      </c>
      <c r="C190">
        <v>1</v>
      </c>
      <c r="D190">
        <v>1</v>
      </c>
    </row>
    <row r="191" spans="1:4">
      <c r="A191" s="2">
        <v>967</v>
      </c>
      <c r="C191">
        <v>1</v>
      </c>
      <c r="D191">
        <v>1</v>
      </c>
    </row>
    <row r="192" spans="1:4">
      <c r="A192" s="2">
        <v>968</v>
      </c>
      <c r="B192">
        <v>1</v>
      </c>
      <c r="D192">
        <v>1</v>
      </c>
    </row>
    <row r="193" spans="1:4">
      <c r="A193" s="2">
        <v>975</v>
      </c>
      <c r="B193">
        <v>1</v>
      </c>
      <c r="D193">
        <v>1</v>
      </c>
    </row>
    <row r="194" spans="1:4">
      <c r="A194" s="2">
        <v>977</v>
      </c>
      <c r="C194">
        <v>1</v>
      </c>
      <c r="D194">
        <v>1</v>
      </c>
    </row>
    <row r="195" spans="1:4">
      <c r="A195" s="2">
        <v>979</v>
      </c>
      <c r="B195">
        <v>1</v>
      </c>
      <c r="D195">
        <v>1</v>
      </c>
    </row>
    <row r="196" spans="1:4">
      <c r="A196" s="2">
        <v>983</v>
      </c>
      <c r="C196">
        <v>1</v>
      </c>
      <c r="D196">
        <v>1</v>
      </c>
    </row>
    <row r="197" spans="1:4">
      <c r="A197" s="2">
        <v>988</v>
      </c>
      <c r="C197">
        <v>1</v>
      </c>
      <c r="D197">
        <v>1</v>
      </c>
    </row>
    <row r="198" spans="1:4">
      <c r="A198" s="2">
        <v>999</v>
      </c>
      <c r="B198">
        <v>1</v>
      </c>
      <c r="D198">
        <v>1</v>
      </c>
    </row>
    <row r="199" spans="1:4">
      <c r="A199" s="2">
        <v>1000</v>
      </c>
      <c r="C199">
        <v>1</v>
      </c>
      <c r="D199">
        <v>1</v>
      </c>
    </row>
    <row r="200" spans="1:4">
      <c r="A200" s="2">
        <v>1008</v>
      </c>
      <c r="C200">
        <v>1</v>
      </c>
      <c r="D200">
        <v>1</v>
      </c>
    </row>
    <row r="201" spans="1:4">
      <c r="A201" s="2">
        <v>1010</v>
      </c>
      <c r="C201">
        <v>1</v>
      </c>
      <c r="D201">
        <v>1</v>
      </c>
    </row>
    <row r="202" spans="1:4">
      <c r="A202" s="2">
        <v>1012</v>
      </c>
      <c r="B202">
        <v>1</v>
      </c>
      <c r="D202">
        <v>1</v>
      </c>
    </row>
    <row r="203" spans="1:4">
      <c r="A203" s="2">
        <v>1016</v>
      </c>
      <c r="B203">
        <v>1</v>
      </c>
      <c r="D203">
        <v>1</v>
      </c>
    </row>
    <row r="204" spans="1:4">
      <c r="A204" s="2">
        <v>1020</v>
      </c>
      <c r="C204">
        <v>1</v>
      </c>
      <c r="D204">
        <v>1</v>
      </c>
    </row>
    <row r="205" spans="1:4">
      <c r="A205" s="2">
        <v>1029</v>
      </c>
      <c r="C205">
        <v>1</v>
      </c>
      <c r="D205">
        <v>1</v>
      </c>
    </row>
    <row r="206" spans="1:4">
      <c r="A206" s="2">
        <v>1030</v>
      </c>
      <c r="B206">
        <v>1</v>
      </c>
      <c r="D206">
        <v>1</v>
      </c>
    </row>
    <row r="207" spans="1:4">
      <c r="A207" s="2">
        <v>1031</v>
      </c>
      <c r="C207">
        <v>1</v>
      </c>
      <c r="D207">
        <v>1</v>
      </c>
    </row>
    <row r="208" spans="1:4">
      <c r="A208" s="2">
        <v>1041</v>
      </c>
      <c r="B208">
        <v>1</v>
      </c>
      <c r="D208">
        <v>1</v>
      </c>
    </row>
    <row r="209" spans="1:4">
      <c r="A209" s="2">
        <v>1044</v>
      </c>
      <c r="C209">
        <v>1</v>
      </c>
      <c r="D209">
        <v>1</v>
      </c>
    </row>
    <row r="210" spans="1:4">
      <c r="A210" s="2">
        <v>1045</v>
      </c>
      <c r="C210">
        <v>1</v>
      </c>
      <c r="D210">
        <v>1</v>
      </c>
    </row>
    <row r="211" spans="1:4">
      <c r="A211" s="2">
        <v>1048</v>
      </c>
      <c r="C211">
        <v>1</v>
      </c>
      <c r="D211">
        <v>1</v>
      </c>
    </row>
    <row r="212" spans="1:4">
      <c r="A212" s="2">
        <v>1050</v>
      </c>
      <c r="C212">
        <v>1</v>
      </c>
      <c r="D212">
        <v>1</v>
      </c>
    </row>
    <row r="213" spans="1:4">
      <c r="A213" s="2">
        <v>1052</v>
      </c>
      <c r="C213">
        <v>1</v>
      </c>
      <c r="D213">
        <v>1</v>
      </c>
    </row>
    <row r="214" spans="1:4">
      <c r="A214" s="2">
        <v>1055</v>
      </c>
      <c r="C214">
        <v>1</v>
      </c>
      <c r="D214">
        <v>1</v>
      </c>
    </row>
    <row r="215" spans="1:4">
      <c r="A215" s="2">
        <v>1064</v>
      </c>
      <c r="C215">
        <v>1</v>
      </c>
      <c r="D215">
        <v>1</v>
      </c>
    </row>
    <row r="216" spans="1:4">
      <c r="A216" s="2">
        <v>1065</v>
      </c>
      <c r="B216">
        <v>1</v>
      </c>
      <c r="D216">
        <v>1</v>
      </c>
    </row>
    <row r="217" spans="1:4">
      <c r="A217" s="2">
        <v>1071</v>
      </c>
      <c r="B217">
        <v>1</v>
      </c>
      <c r="D217">
        <v>1</v>
      </c>
    </row>
    <row r="218" spans="1:4">
      <c r="A218" s="2">
        <v>1072</v>
      </c>
      <c r="B218">
        <v>1</v>
      </c>
      <c r="D218">
        <v>1</v>
      </c>
    </row>
    <row r="219" spans="1:4">
      <c r="A219" s="2">
        <v>1077</v>
      </c>
      <c r="C219">
        <v>1</v>
      </c>
      <c r="D219">
        <v>1</v>
      </c>
    </row>
    <row r="220" spans="1:4">
      <c r="A220" s="2">
        <v>1079</v>
      </c>
      <c r="C220">
        <v>1</v>
      </c>
      <c r="D220">
        <v>1</v>
      </c>
    </row>
    <row r="221" spans="1:4">
      <c r="A221" s="2">
        <v>1081</v>
      </c>
      <c r="C221">
        <v>1</v>
      </c>
      <c r="D221">
        <v>1</v>
      </c>
    </row>
    <row r="222" spans="1:4">
      <c r="A222" s="2">
        <v>1087</v>
      </c>
      <c r="C222">
        <v>1</v>
      </c>
      <c r="D222">
        <v>1</v>
      </c>
    </row>
    <row r="223" spans="1:4">
      <c r="A223" s="2">
        <v>1092</v>
      </c>
      <c r="C223">
        <v>1</v>
      </c>
      <c r="D223">
        <v>1</v>
      </c>
    </row>
    <row r="224" spans="1:4">
      <c r="A224" s="2">
        <v>1100</v>
      </c>
      <c r="C224">
        <v>1</v>
      </c>
      <c r="D224">
        <v>1</v>
      </c>
    </row>
    <row r="225" spans="1:4">
      <c r="A225" s="2">
        <v>1103</v>
      </c>
      <c r="C225">
        <v>1</v>
      </c>
      <c r="D225">
        <v>1</v>
      </c>
    </row>
    <row r="226" spans="1:4">
      <c r="A226" s="2">
        <v>1109</v>
      </c>
      <c r="C226">
        <v>1</v>
      </c>
      <c r="D226">
        <v>1</v>
      </c>
    </row>
    <row r="227" spans="1:4">
      <c r="A227" s="2">
        <v>1118</v>
      </c>
      <c r="C227">
        <v>1</v>
      </c>
      <c r="D227">
        <v>1</v>
      </c>
    </row>
    <row r="228" spans="1:4">
      <c r="A228" s="2">
        <v>1127</v>
      </c>
      <c r="C228">
        <v>1</v>
      </c>
      <c r="D228">
        <v>1</v>
      </c>
    </row>
    <row r="229" spans="1:4">
      <c r="A229" s="2">
        <v>1131</v>
      </c>
      <c r="B229">
        <v>1</v>
      </c>
      <c r="D229">
        <v>1</v>
      </c>
    </row>
    <row r="230" spans="1:4">
      <c r="A230" s="2">
        <v>1137</v>
      </c>
      <c r="B230">
        <v>1</v>
      </c>
      <c r="D230">
        <v>1</v>
      </c>
    </row>
    <row r="231" spans="1:4">
      <c r="A231" s="2">
        <v>1139</v>
      </c>
      <c r="C231">
        <v>1</v>
      </c>
      <c r="D231">
        <v>1</v>
      </c>
    </row>
    <row r="232" spans="1:4">
      <c r="A232" s="2">
        <v>1142</v>
      </c>
      <c r="C232">
        <v>1</v>
      </c>
      <c r="D232">
        <v>1</v>
      </c>
    </row>
    <row r="233" spans="1:4">
      <c r="A233" s="2">
        <v>1143</v>
      </c>
      <c r="C233">
        <v>1</v>
      </c>
      <c r="D233">
        <v>1</v>
      </c>
    </row>
    <row r="234" spans="1:4">
      <c r="A234" s="2">
        <v>1146</v>
      </c>
      <c r="C234">
        <v>1</v>
      </c>
      <c r="D234">
        <v>1</v>
      </c>
    </row>
    <row r="235" spans="1:4">
      <c r="A235" s="2">
        <v>1150</v>
      </c>
      <c r="C235">
        <v>1</v>
      </c>
      <c r="D235">
        <v>1</v>
      </c>
    </row>
    <row r="236" spans="1:4">
      <c r="A236" s="2">
        <v>1158</v>
      </c>
      <c r="B236">
        <v>1</v>
      </c>
      <c r="D236">
        <v>1</v>
      </c>
    </row>
    <row r="237" spans="1:4">
      <c r="A237" s="2">
        <v>1160</v>
      </c>
      <c r="C237">
        <v>1</v>
      </c>
      <c r="D237">
        <v>1</v>
      </c>
    </row>
    <row r="238" spans="1:4">
      <c r="A238" s="2">
        <v>1162</v>
      </c>
      <c r="B238">
        <v>1</v>
      </c>
      <c r="D238">
        <v>1</v>
      </c>
    </row>
    <row r="239" spans="1:4">
      <c r="A239" s="2">
        <v>1165</v>
      </c>
      <c r="B239">
        <v>1</v>
      </c>
      <c r="D239">
        <v>1</v>
      </c>
    </row>
    <row r="240" spans="1:4">
      <c r="A240" s="2">
        <v>1168</v>
      </c>
      <c r="C240">
        <v>1</v>
      </c>
      <c r="D240">
        <v>1</v>
      </c>
    </row>
    <row r="241" spans="1:4">
      <c r="A241" s="2">
        <v>1170</v>
      </c>
      <c r="C241">
        <v>1</v>
      </c>
      <c r="D241">
        <v>1</v>
      </c>
    </row>
    <row r="242" spans="1:4">
      <c r="A242" s="2">
        <v>1172</v>
      </c>
      <c r="C242">
        <v>1</v>
      </c>
      <c r="D242">
        <v>1</v>
      </c>
    </row>
    <row r="243" spans="1:4">
      <c r="A243" s="2">
        <v>1173</v>
      </c>
      <c r="C243">
        <v>1</v>
      </c>
      <c r="D243">
        <v>1</v>
      </c>
    </row>
    <row r="244" spans="1:4">
      <c r="A244" s="2">
        <v>1175</v>
      </c>
      <c r="C244">
        <v>1</v>
      </c>
      <c r="D244">
        <v>1</v>
      </c>
    </row>
    <row r="245" spans="1:4">
      <c r="A245" s="2">
        <v>1176</v>
      </c>
      <c r="C245">
        <v>1</v>
      </c>
      <c r="D245">
        <v>1</v>
      </c>
    </row>
    <row r="246" spans="1:4">
      <c r="A246" s="2">
        <v>1177</v>
      </c>
      <c r="C246">
        <v>1</v>
      </c>
      <c r="D246">
        <v>1</v>
      </c>
    </row>
    <row r="247" spans="1:4">
      <c r="A247" s="2">
        <v>1183</v>
      </c>
      <c r="C247">
        <v>1</v>
      </c>
      <c r="D247">
        <v>1</v>
      </c>
    </row>
    <row r="248" spans="1:4">
      <c r="A248" s="2">
        <v>1184</v>
      </c>
      <c r="B248">
        <v>1</v>
      </c>
      <c r="D248">
        <v>1</v>
      </c>
    </row>
    <row r="249" spans="1:4">
      <c r="A249" s="2">
        <v>1204</v>
      </c>
      <c r="C249">
        <v>1</v>
      </c>
      <c r="D249">
        <v>1</v>
      </c>
    </row>
    <row r="250" spans="1:4">
      <c r="A250" s="2">
        <v>1212</v>
      </c>
      <c r="C250">
        <v>1</v>
      </c>
      <c r="D250">
        <v>1</v>
      </c>
    </row>
    <row r="251" spans="1:4">
      <c r="A251" s="2">
        <v>1215</v>
      </c>
      <c r="C251">
        <v>1</v>
      </c>
      <c r="D251">
        <v>1</v>
      </c>
    </row>
    <row r="252" spans="1:4">
      <c r="A252" s="2">
        <v>1225</v>
      </c>
      <c r="C252">
        <v>1</v>
      </c>
      <c r="D252">
        <v>1</v>
      </c>
    </row>
    <row r="253" spans="1:4">
      <c r="A253" s="2">
        <v>1232</v>
      </c>
      <c r="C253">
        <v>1</v>
      </c>
      <c r="D253">
        <v>1</v>
      </c>
    </row>
    <row r="254" spans="1:4">
      <c r="A254" s="2">
        <v>1241</v>
      </c>
      <c r="C254">
        <v>1</v>
      </c>
      <c r="D254">
        <v>1</v>
      </c>
    </row>
    <row r="255" spans="1:4">
      <c r="A255" s="2">
        <v>1245</v>
      </c>
      <c r="B255">
        <v>1</v>
      </c>
      <c r="D255">
        <v>1</v>
      </c>
    </row>
    <row r="256" spans="1:4">
      <c r="A256" s="2">
        <v>1250</v>
      </c>
      <c r="B256">
        <v>1</v>
      </c>
      <c r="D256">
        <v>1</v>
      </c>
    </row>
    <row r="257" spans="1:4">
      <c r="A257" s="2">
        <v>1272</v>
      </c>
      <c r="B257">
        <v>1</v>
      </c>
      <c r="D257">
        <v>1</v>
      </c>
    </row>
    <row r="258" spans="1:4">
      <c r="A258" s="2">
        <v>1277</v>
      </c>
      <c r="C258">
        <v>1</v>
      </c>
      <c r="D258">
        <v>1</v>
      </c>
    </row>
    <row r="259" spans="1:4">
      <c r="A259" s="2">
        <v>1291</v>
      </c>
      <c r="C259">
        <v>1</v>
      </c>
      <c r="D259">
        <v>1</v>
      </c>
    </row>
    <row r="260" spans="1:4">
      <c r="A260" s="2">
        <v>1307</v>
      </c>
      <c r="B260">
        <v>1</v>
      </c>
      <c r="D260">
        <v>1</v>
      </c>
    </row>
    <row r="261" spans="1:4">
      <c r="A261" s="2">
        <v>1321</v>
      </c>
      <c r="C261">
        <v>1</v>
      </c>
      <c r="D261">
        <v>1</v>
      </c>
    </row>
    <row r="262" spans="1:4">
      <c r="A262" s="2">
        <v>1324</v>
      </c>
      <c r="C262">
        <v>1</v>
      </c>
      <c r="D262">
        <v>1</v>
      </c>
    </row>
    <row r="263" spans="1:4">
      <c r="A263" s="2">
        <v>1328</v>
      </c>
      <c r="C263">
        <v>1</v>
      </c>
      <c r="D263">
        <v>1</v>
      </c>
    </row>
    <row r="264" spans="1:4">
      <c r="A264" s="2">
        <v>1331</v>
      </c>
      <c r="B264">
        <v>1</v>
      </c>
      <c r="D264">
        <v>1</v>
      </c>
    </row>
    <row r="265" spans="1:4">
      <c r="A265" s="2">
        <v>1340</v>
      </c>
      <c r="C265">
        <v>1</v>
      </c>
      <c r="D265">
        <v>1</v>
      </c>
    </row>
    <row r="266" spans="1:4">
      <c r="A266" s="2">
        <v>1343</v>
      </c>
      <c r="C266">
        <v>1</v>
      </c>
      <c r="D266">
        <v>1</v>
      </c>
    </row>
    <row r="267" spans="1:4">
      <c r="A267" s="2">
        <v>1349</v>
      </c>
      <c r="C267">
        <v>1</v>
      </c>
      <c r="D267">
        <v>1</v>
      </c>
    </row>
    <row r="268" spans="1:4">
      <c r="A268" s="2">
        <v>1351</v>
      </c>
      <c r="C268">
        <v>1</v>
      </c>
      <c r="D268">
        <v>1</v>
      </c>
    </row>
    <row r="269" spans="1:4">
      <c r="A269" s="2">
        <v>1357</v>
      </c>
      <c r="C269">
        <v>1</v>
      </c>
      <c r="D269">
        <v>1</v>
      </c>
    </row>
    <row r="270" spans="1:4">
      <c r="A270" s="2">
        <v>1361</v>
      </c>
      <c r="C270">
        <v>1</v>
      </c>
      <c r="D270">
        <v>1</v>
      </c>
    </row>
    <row r="271" spans="1:4">
      <c r="A271" s="2">
        <v>1362</v>
      </c>
      <c r="B271">
        <v>1</v>
      </c>
      <c r="D271">
        <v>1</v>
      </c>
    </row>
    <row r="272" spans="1:4">
      <c r="A272" s="2">
        <v>1371</v>
      </c>
      <c r="B272">
        <v>1</v>
      </c>
      <c r="D272">
        <v>1</v>
      </c>
    </row>
    <row r="273" spans="1:4">
      <c r="A273" s="2">
        <v>1377</v>
      </c>
      <c r="B273">
        <v>1</v>
      </c>
      <c r="D273">
        <v>1</v>
      </c>
    </row>
    <row r="274" spans="1:4">
      <c r="A274" s="2">
        <v>1378</v>
      </c>
      <c r="C274">
        <v>1</v>
      </c>
      <c r="D274">
        <v>1</v>
      </c>
    </row>
    <row r="275" spans="1:4">
      <c r="A275" s="2">
        <v>1379</v>
      </c>
      <c r="C275">
        <v>1</v>
      </c>
      <c r="D275">
        <v>1</v>
      </c>
    </row>
    <row r="276" spans="1:4">
      <c r="A276" s="2">
        <v>1381</v>
      </c>
      <c r="B276">
        <v>1</v>
      </c>
      <c r="D276">
        <v>1</v>
      </c>
    </row>
    <row r="277" spans="1:4">
      <c r="A277" s="2">
        <v>1384</v>
      </c>
      <c r="C277">
        <v>1</v>
      </c>
      <c r="D277">
        <v>1</v>
      </c>
    </row>
    <row r="278" spans="1:4">
      <c r="A278" s="2">
        <v>1386</v>
      </c>
      <c r="C278">
        <v>1</v>
      </c>
      <c r="D278">
        <v>1</v>
      </c>
    </row>
    <row r="279" spans="1:4">
      <c r="A279" s="2">
        <v>1399</v>
      </c>
      <c r="C279">
        <v>1</v>
      </c>
      <c r="D279">
        <v>1</v>
      </c>
    </row>
    <row r="280" spans="1:4">
      <c r="A280" s="2">
        <v>1402</v>
      </c>
      <c r="C280">
        <v>1</v>
      </c>
      <c r="D280">
        <v>1</v>
      </c>
    </row>
    <row r="281" spans="1:4">
      <c r="A281" s="2">
        <v>1403</v>
      </c>
      <c r="C281">
        <v>1</v>
      </c>
      <c r="D281">
        <v>1</v>
      </c>
    </row>
    <row r="282" spans="1:4">
      <c r="A282" s="2">
        <v>1404</v>
      </c>
      <c r="C282">
        <v>1</v>
      </c>
      <c r="D282">
        <v>1</v>
      </c>
    </row>
    <row r="283" spans="1:4">
      <c r="A283" s="2">
        <v>1406</v>
      </c>
      <c r="B283">
        <v>1</v>
      </c>
      <c r="D283">
        <v>1</v>
      </c>
    </row>
    <row r="284" spans="1:4">
      <c r="A284" s="2">
        <v>1407</v>
      </c>
      <c r="C284">
        <v>1</v>
      </c>
      <c r="D284">
        <v>1</v>
      </c>
    </row>
    <row r="285" spans="1:4">
      <c r="A285" s="2">
        <v>1409</v>
      </c>
      <c r="C285">
        <v>1</v>
      </c>
      <c r="D285">
        <v>1</v>
      </c>
    </row>
    <row r="286" spans="1:4">
      <c r="A286" s="2">
        <v>1411</v>
      </c>
      <c r="B286">
        <v>1</v>
      </c>
      <c r="D286">
        <v>1</v>
      </c>
    </row>
    <row r="287" spans="1:4">
      <c r="A287" s="2">
        <v>1419</v>
      </c>
      <c r="C287">
        <v>1</v>
      </c>
      <c r="D287">
        <v>1</v>
      </c>
    </row>
    <row r="288" spans="1:4">
      <c r="A288" s="2">
        <v>1440</v>
      </c>
      <c r="C288">
        <v>1</v>
      </c>
      <c r="D288">
        <v>1</v>
      </c>
    </row>
    <row r="289" spans="1:4">
      <c r="A289" s="2">
        <v>1446</v>
      </c>
      <c r="B289">
        <v>1</v>
      </c>
      <c r="D289">
        <v>1</v>
      </c>
    </row>
    <row r="290" spans="1:4">
      <c r="A290" s="2">
        <v>1448</v>
      </c>
      <c r="C290">
        <v>1</v>
      </c>
      <c r="D290">
        <v>1</v>
      </c>
    </row>
    <row r="291" spans="1:4">
      <c r="A291" s="2">
        <v>1453</v>
      </c>
      <c r="B291">
        <v>1</v>
      </c>
      <c r="D291">
        <v>1</v>
      </c>
    </row>
    <row r="292" spans="1:4">
      <c r="A292" s="2">
        <v>1456</v>
      </c>
      <c r="B292">
        <v>1</v>
      </c>
      <c r="D292">
        <v>1</v>
      </c>
    </row>
    <row r="293" spans="1:4">
      <c r="A293" s="2">
        <v>1458</v>
      </c>
      <c r="C293">
        <v>1</v>
      </c>
      <c r="D293">
        <v>1</v>
      </c>
    </row>
    <row r="294" spans="1:4">
      <c r="A294" s="2">
        <v>1459</v>
      </c>
      <c r="C294">
        <v>1</v>
      </c>
      <c r="D294">
        <v>1</v>
      </c>
    </row>
    <row r="295" spans="1:4">
      <c r="A295" s="2">
        <v>1461</v>
      </c>
      <c r="B295">
        <v>1</v>
      </c>
      <c r="D295">
        <v>1</v>
      </c>
    </row>
    <row r="296" spans="1:4">
      <c r="A296" s="2">
        <v>1463</v>
      </c>
      <c r="B296">
        <v>1</v>
      </c>
      <c r="D296">
        <v>1</v>
      </c>
    </row>
    <row r="297" spans="1:4">
      <c r="A297" s="2">
        <v>1473</v>
      </c>
      <c r="B297">
        <v>1</v>
      </c>
      <c r="D297">
        <v>1</v>
      </c>
    </row>
    <row r="298" spans="1:4">
      <c r="A298" s="2">
        <v>1490</v>
      </c>
      <c r="C298">
        <v>1</v>
      </c>
      <c r="D298">
        <v>1</v>
      </c>
    </row>
    <row r="299" spans="1:4">
      <c r="A299" s="2">
        <v>1491</v>
      </c>
      <c r="C299">
        <v>1</v>
      </c>
      <c r="D299">
        <v>1</v>
      </c>
    </row>
    <row r="300" spans="1:4">
      <c r="A300" s="2">
        <v>1497</v>
      </c>
      <c r="B300">
        <v>1</v>
      </c>
      <c r="D300">
        <v>1</v>
      </c>
    </row>
    <row r="301" spans="1:4">
      <c r="A301" s="2">
        <v>1501</v>
      </c>
      <c r="C301">
        <v>1</v>
      </c>
      <c r="D301">
        <v>1</v>
      </c>
    </row>
    <row r="302" spans="1:4">
      <c r="A302" s="2">
        <v>1503</v>
      </c>
      <c r="C302">
        <v>1</v>
      </c>
      <c r="D302">
        <v>1</v>
      </c>
    </row>
    <row r="303" spans="1:4">
      <c r="A303" s="2">
        <v>1506</v>
      </c>
      <c r="B303">
        <v>1</v>
      </c>
      <c r="D303">
        <v>1</v>
      </c>
    </row>
    <row r="304" spans="1:4">
      <c r="A304" s="2">
        <v>1509</v>
      </c>
      <c r="C304">
        <v>1</v>
      </c>
      <c r="D304">
        <v>1</v>
      </c>
    </row>
    <row r="305" spans="1:4">
      <c r="A305" s="2">
        <v>1513</v>
      </c>
      <c r="C305">
        <v>1</v>
      </c>
      <c r="D305">
        <v>1</v>
      </c>
    </row>
    <row r="306" spans="1:4">
      <c r="A306" s="2">
        <v>1515</v>
      </c>
      <c r="C306">
        <v>1</v>
      </c>
      <c r="D306">
        <v>1</v>
      </c>
    </row>
    <row r="307" spans="1:4">
      <c r="A307" s="2">
        <v>1517</v>
      </c>
      <c r="B307">
        <v>1</v>
      </c>
      <c r="D307">
        <v>1</v>
      </c>
    </row>
    <row r="308" spans="1:4">
      <c r="A308" s="2">
        <v>1518</v>
      </c>
      <c r="C308">
        <v>1</v>
      </c>
      <c r="D308">
        <v>1</v>
      </c>
    </row>
    <row r="309" spans="1:4">
      <c r="A309" s="2">
        <v>1519</v>
      </c>
      <c r="B309">
        <v>1</v>
      </c>
      <c r="D309">
        <v>1</v>
      </c>
    </row>
    <row r="310" spans="1:4">
      <c r="A310" s="2">
        <v>1523</v>
      </c>
      <c r="C310">
        <v>1</v>
      </c>
      <c r="D310">
        <v>1</v>
      </c>
    </row>
    <row r="311" spans="1:4">
      <c r="A311" s="2">
        <v>1524</v>
      </c>
      <c r="B311">
        <v>1</v>
      </c>
      <c r="D311">
        <v>1</v>
      </c>
    </row>
    <row r="312" spans="1:4">
      <c r="A312" s="2">
        <v>1542</v>
      </c>
      <c r="B312">
        <v>1</v>
      </c>
      <c r="D312">
        <v>1</v>
      </c>
    </row>
    <row r="313" spans="1:4">
      <c r="A313" s="2">
        <v>1544</v>
      </c>
      <c r="B313">
        <v>1</v>
      </c>
      <c r="D313">
        <v>1</v>
      </c>
    </row>
    <row r="314" spans="1:4">
      <c r="A314" s="2">
        <v>1545</v>
      </c>
      <c r="C314">
        <v>1</v>
      </c>
      <c r="D314">
        <v>1</v>
      </c>
    </row>
    <row r="315" spans="1:4">
      <c r="A315" s="2">
        <v>1553</v>
      </c>
      <c r="C315">
        <v>1</v>
      </c>
      <c r="D315">
        <v>1</v>
      </c>
    </row>
    <row r="316" spans="1:4">
      <c r="A316" s="2">
        <v>1570</v>
      </c>
      <c r="C316">
        <v>1</v>
      </c>
      <c r="D316">
        <v>1</v>
      </c>
    </row>
    <row r="317" spans="1:4">
      <c r="A317" s="2">
        <v>1577</v>
      </c>
      <c r="C317">
        <v>1</v>
      </c>
      <c r="D317">
        <v>1</v>
      </c>
    </row>
    <row r="318" spans="1:4">
      <c r="A318" s="2">
        <v>1581</v>
      </c>
      <c r="C318">
        <v>1</v>
      </c>
      <c r="D318">
        <v>1</v>
      </c>
    </row>
    <row r="319" spans="1:4">
      <c r="A319" s="2">
        <v>1584</v>
      </c>
      <c r="C319">
        <v>1</v>
      </c>
      <c r="D319">
        <v>1</v>
      </c>
    </row>
    <row r="320" spans="1:4">
      <c r="A320" s="2">
        <v>1592</v>
      </c>
      <c r="C320">
        <v>1</v>
      </c>
      <c r="D320">
        <v>1</v>
      </c>
    </row>
    <row r="321" spans="1:4">
      <c r="A321" s="2">
        <v>1600</v>
      </c>
      <c r="C321">
        <v>1</v>
      </c>
      <c r="D321">
        <v>1</v>
      </c>
    </row>
    <row r="322" spans="1:4">
      <c r="A322" s="2">
        <v>1604</v>
      </c>
      <c r="C322">
        <v>1</v>
      </c>
      <c r="D322">
        <v>1</v>
      </c>
    </row>
    <row r="323" spans="1:4">
      <c r="A323" s="2">
        <v>1606</v>
      </c>
      <c r="C323">
        <v>1</v>
      </c>
      <c r="D323">
        <v>1</v>
      </c>
    </row>
    <row r="324" spans="1:4">
      <c r="A324" s="2">
        <v>1618</v>
      </c>
      <c r="C324">
        <v>1</v>
      </c>
      <c r="D324">
        <v>1</v>
      </c>
    </row>
    <row r="325" spans="1:4">
      <c r="A325" s="2">
        <v>1619</v>
      </c>
      <c r="C325">
        <v>1</v>
      </c>
      <c r="D325">
        <v>1</v>
      </c>
    </row>
    <row r="326" spans="1:4">
      <c r="A326" s="2">
        <v>1626</v>
      </c>
      <c r="B326">
        <v>1</v>
      </c>
      <c r="D326">
        <v>1</v>
      </c>
    </row>
    <row r="327" spans="1:4">
      <c r="A327" s="2">
        <v>1627</v>
      </c>
      <c r="B327">
        <v>1</v>
      </c>
      <c r="D327">
        <v>1</v>
      </c>
    </row>
    <row r="328" spans="1:4">
      <c r="A328" s="2">
        <v>1628</v>
      </c>
      <c r="C328">
        <v>1</v>
      </c>
      <c r="D328">
        <v>1</v>
      </c>
    </row>
    <row r="329" spans="1:4">
      <c r="A329" s="2">
        <v>1630</v>
      </c>
      <c r="B329">
        <v>1</v>
      </c>
      <c r="D329">
        <v>1</v>
      </c>
    </row>
    <row r="330" spans="1:4">
      <c r="A330" s="2">
        <v>1631</v>
      </c>
      <c r="C330">
        <v>1</v>
      </c>
      <c r="D330">
        <v>1</v>
      </c>
    </row>
    <row r="331" spans="1:4">
      <c r="A331" s="2">
        <v>1640</v>
      </c>
      <c r="B331">
        <v>1</v>
      </c>
      <c r="D331">
        <v>1</v>
      </c>
    </row>
    <row r="332" spans="1:4">
      <c r="A332" s="2">
        <v>1646</v>
      </c>
      <c r="C332">
        <v>1</v>
      </c>
      <c r="D332">
        <v>1</v>
      </c>
    </row>
    <row r="333" spans="1:4">
      <c r="A333" s="2">
        <v>1650</v>
      </c>
      <c r="C333">
        <v>1</v>
      </c>
      <c r="D333">
        <v>1</v>
      </c>
    </row>
    <row r="334" spans="1:4">
      <c r="A334" s="2">
        <v>1655</v>
      </c>
      <c r="C334">
        <v>1</v>
      </c>
      <c r="D334">
        <v>1</v>
      </c>
    </row>
    <row r="335" spans="1:4">
      <c r="A335" s="2">
        <v>1663</v>
      </c>
      <c r="C335">
        <v>1</v>
      </c>
      <c r="D335">
        <v>1</v>
      </c>
    </row>
    <row r="336" spans="1:4">
      <c r="A336" s="2">
        <v>1665</v>
      </c>
      <c r="B336">
        <v>1</v>
      </c>
      <c r="D336">
        <v>1</v>
      </c>
    </row>
    <row r="337" spans="1:4">
      <c r="A337" s="2">
        <v>1672</v>
      </c>
      <c r="C337">
        <v>1</v>
      </c>
      <c r="D337">
        <v>1</v>
      </c>
    </row>
    <row r="338" spans="1:4">
      <c r="A338" s="2">
        <v>1676</v>
      </c>
      <c r="C338">
        <v>1</v>
      </c>
      <c r="D338">
        <v>1</v>
      </c>
    </row>
    <row r="339" spans="1:4">
      <c r="A339" s="2">
        <v>1685</v>
      </c>
      <c r="C339">
        <v>1</v>
      </c>
      <c r="D339">
        <v>1</v>
      </c>
    </row>
    <row r="340" spans="1:4">
      <c r="A340" s="2">
        <v>1710</v>
      </c>
      <c r="B340">
        <v>1</v>
      </c>
      <c r="D340">
        <v>1</v>
      </c>
    </row>
    <row r="341" spans="1:4">
      <c r="A341" s="2">
        <v>1715</v>
      </c>
      <c r="C341">
        <v>1</v>
      </c>
      <c r="D341">
        <v>1</v>
      </c>
    </row>
    <row r="342" spans="1:4">
      <c r="A342" s="2">
        <v>1717</v>
      </c>
      <c r="B342">
        <v>1</v>
      </c>
      <c r="D342">
        <v>1</v>
      </c>
    </row>
    <row r="343" spans="1:4">
      <c r="A343" s="2">
        <v>1726</v>
      </c>
      <c r="B343">
        <v>1</v>
      </c>
      <c r="D343">
        <v>1</v>
      </c>
    </row>
    <row r="344" spans="1:4">
      <c r="A344" s="2">
        <v>1729</v>
      </c>
      <c r="C344">
        <v>1</v>
      </c>
      <c r="D344">
        <v>1</v>
      </c>
    </row>
    <row r="345" spans="1:4">
      <c r="A345" s="2">
        <v>1734</v>
      </c>
      <c r="C345">
        <v>1</v>
      </c>
      <c r="D345">
        <v>1</v>
      </c>
    </row>
    <row r="346" spans="1:4">
      <c r="A346" s="2">
        <v>1740</v>
      </c>
      <c r="C346">
        <v>1</v>
      </c>
      <c r="D346">
        <v>1</v>
      </c>
    </row>
    <row r="347" spans="1:4">
      <c r="A347" s="2">
        <v>1743</v>
      </c>
      <c r="B347">
        <v>1</v>
      </c>
      <c r="D347">
        <v>1</v>
      </c>
    </row>
    <row r="348" spans="1:4">
      <c r="A348" s="2">
        <v>1744</v>
      </c>
      <c r="B348">
        <v>1</v>
      </c>
      <c r="D348">
        <v>1</v>
      </c>
    </row>
    <row r="349" spans="1:4">
      <c r="A349" s="2">
        <v>1745</v>
      </c>
      <c r="B349">
        <v>1</v>
      </c>
      <c r="D349">
        <v>1</v>
      </c>
    </row>
    <row r="350" spans="1:4">
      <c r="A350" s="2">
        <v>1755</v>
      </c>
      <c r="C350">
        <v>1</v>
      </c>
      <c r="D350">
        <v>1</v>
      </c>
    </row>
    <row r="351" spans="1:4">
      <c r="A351" s="2">
        <v>1763</v>
      </c>
      <c r="C351">
        <v>1</v>
      </c>
      <c r="D351">
        <v>1</v>
      </c>
    </row>
    <row r="352" spans="1:4">
      <c r="A352" s="2">
        <v>1764</v>
      </c>
      <c r="B352">
        <v>1</v>
      </c>
      <c r="D352">
        <v>1</v>
      </c>
    </row>
    <row r="353" spans="1:4">
      <c r="A353" s="2">
        <v>1772</v>
      </c>
      <c r="C353">
        <v>1</v>
      </c>
      <c r="D353">
        <v>1</v>
      </c>
    </row>
    <row r="354" spans="1:4">
      <c r="A354" s="2">
        <v>1773</v>
      </c>
      <c r="C354">
        <v>1</v>
      </c>
      <c r="D354">
        <v>1</v>
      </c>
    </row>
    <row r="355" spans="1:4">
      <c r="A355" s="2">
        <v>1777</v>
      </c>
      <c r="C355">
        <v>1</v>
      </c>
      <c r="D355">
        <v>1</v>
      </c>
    </row>
    <row r="356" spans="1:4">
      <c r="A356" s="2">
        <v>1802</v>
      </c>
      <c r="C356">
        <v>1</v>
      </c>
      <c r="D356">
        <v>1</v>
      </c>
    </row>
    <row r="357" spans="1:4">
      <c r="A357" s="2">
        <v>1818</v>
      </c>
      <c r="C357">
        <v>1</v>
      </c>
      <c r="D357">
        <v>1</v>
      </c>
    </row>
    <row r="358" spans="1:4">
      <c r="A358" s="2">
        <v>1826</v>
      </c>
      <c r="B358">
        <v>1</v>
      </c>
      <c r="D358">
        <v>1</v>
      </c>
    </row>
    <row r="359" spans="1:4">
      <c r="A359" s="2">
        <v>1829</v>
      </c>
      <c r="B359">
        <v>1</v>
      </c>
      <c r="D359">
        <v>1</v>
      </c>
    </row>
    <row r="360" spans="1:4">
      <c r="A360" s="2">
        <v>1833</v>
      </c>
      <c r="B360">
        <v>1</v>
      </c>
      <c r="D360">
        <v>1</v>
      </c>
    </row>
    <row r="361" spans="1:4">
      <c r="A361" s="2">
        <v>1834</v>
      </c>
      <c r="B361">
        <v>1</v>
      </c>
      <c r="D361">
        <v>1</v>
      </c>
    </row>
    <row r="362" spans="1:4">
      <c r="A362" s="2">
        <v>1839</v>
      </c>
      <c r="B362">
        <v>1</v>
      </c>
      <c r="D362">
        <v>1</v>
      </c>
    </row>
    <row r="363" spans="1:4">
      <c r="A363" s="2">
        <v>1857</v>
      </c>
      <c r="B363">
        <v>1</v>
      </c>
      <c r="D363">
        <v>1</v>
      </c>
    </row>
    <row r="364" spans="1:4">
      <c r="A364" s="2">
        <v>1859</v>
      </c>
      <c r="C364">
        <v>1</v>
      </c>
      <c r="D364">
        <v>1</v>
      </c>
    </row>
    <row r="365" spans="1:4">
      <c r="A365" s="2">
        <v>1867</v>
      </c>
      <c r="B365">
        <v>1</v>
      </c>
      <c r="D365">
        <v>1</v>
      </c>
    </row>
    <row r="366" spans="1:4">
      <c r="A366" s="2">
        <v>1876</v>
      </c>
      <c r="C366">
        <v>1</v>
      </c>
      <c r="D366">
        <v>1</v>
      </c>
    </row>
    <row r="367" spans="1:4">
      <c r="A367" s="2">
        <v>1878</v>
      </c>
      <c r="C367">
        <v>1</v>
      </c>
      <c r="D367">
        <v>1</v>
      </c>
    </row>
    <row r="368" spans="1:4">
      <c r="A368" s="2">
        <v>1880</v>
      </c>
      <c r="C368">
        <v>1</v>
      </c>
      <c r="D368">
        <v>1</v>
      </c>
    </row>
    <row r="369" spans="1:4">
      <c r="A369" s="2">
        <v>1890</v>
      </c>
      <c r="C369">
        <v>1</v>
      </c>
      <c r="D369">
        <v>1</v>
      </c>
    </row>
    <row r="370" spans="1:4">
      <c r="A370" s="2">
        <v>1891</v>
      </c>
      <c r="B370">
        <v>1</v>
      </c>
      <c r="D370">
        <v>1</v>
      </c>
    </row>
    <row r="371" spans="1:4">
      <c r="A371" s="2">
        <v>1907</v>
      </c>
      <c r="B371">
        <v>1</v>
      </c>
      <c r="D371">
        <v>1</v>
      </c>
    </row>
    <row r="372" spans="1:4">
      <c r="A372" s="2">
        <v>1911</v>
      </c>
      <c r="C372">
        <v>1</v>
      </c>
      <c r="D372">
        <v>1</v>
      </c>
    </row>
    <row r="373" spans="1:4">
      <c r="A373" s="2">
        <v>1915</v>
      </c>
      <c r="C373">
        <v>1</v>
      </c>
      <c r="D373">
        <v>1</v>
      </c>
    </row>
    <row r="374" spans="1:4">
      <c r="A374" s="2">
        <v>1916</v>
      </c>
      <c r="C374">
        <v>1</v>
      </c>
      <c r="D374">
        <v>1</v>
      </c>
    </row>
    <row r="375" spans="1:4">
      <c r="A375" s="2">
        <v>1920</v>
      </c>
      <c r="C375">
        <v>1</v>
      </c>
      <c r="D375">
        <v>1</v>
      </c>
    </row>
    <row r="376" spans="1:4">
      <c r="A376" s="2">
        <v>1921</v>
      </c>
      <c r="C376">
        <v>1</v>
      </c>
      <c r="D376">
        <v>1</v>
      </c>
    </row>
    <row r="377" spans="1:4">
      <c r="A377" s="2">
        <v>1927</v>
      </c>
      <c r="C377">
        <v>1</v>
      </c>
      <c r="D377">
        <v>1</v>
      </c>
    </row>
    <row r="378" spans="1:4">
      <c r="A378" s="2">
        <v>1928</v>
      </c>
      <c r="C378">
        <v>1</v>
      </c>
      <c r="D378">
        <v>1</v>
      </c>
    </row>
    <row r="379" spans="1:4">
      <c r="A379" s="2">
        <v>1940</v>
      </c>
      <c r="C379">
        <v>1</v>
      </c>
      <c r="D379">
        <v>1</v>
      </c>
    </row>
    <row r="380" spans="1:4">
      <c r="A380" s="2">
        <v>1945</v>
      </c>
      <c r="C380">
        <v>1</v>
      </c>
      <c r="D380">
        <v>1</v>
      </c>
    </row>
    <row r="381" spans="1:4">
      <c r="A381" s="2">
        <v>1951</v>
      </c>
      <c r="C381">
        <v>1</v>
      </c>
      <c r="D381">
        <v>1</v>
      </c>
    </row>
    <row r="382" spans="1:4">
      <c r="A382" s="2">
        <v>1958</v>
      </c>
      <c r="C382">
        <v>1</v>
      </c>
      <c r="D382">
        <v>1</v>
      </c>
    </row>
    <row r="383" spans="1:4">
      <c r="A383" s="2">
        <v>1964</v>
      </c>
      <c r="C383">
        <v>1</v>
      </c>
      <c r="D383">
        <v>1</v>
      </c>
    </row>
    <row r="384" spans="1:4">
      <c r="A384" s="2">
        <v>1966</v>
      </c>
      <c r="C384">
        <v>1</v>
      </c>
      <c r="D384">
        <v>1</v>
      </c>
    </row>
    <row r="385" spans="1:4">
      <c r="A385" s="2">
        <v>1968</v>
      </c>
      <c r="B385">
        <v>1</v>
      </c>
      <c r="D385">
        <v>1</v>
      </c>
    </row>
    <row r="386" spans="1:4">
      <c r="A386" s="2">
        <v>1970</v>
      </c>
      <c r="C386">
        <v>1</v>
      </c>
      <c r="D386">
        <v>1</v>
      </c>
    </row>
    <row r="387" spans="1:4">
      <c r="A387" s="2">
        <v>1987</v>
      </c>
      <c r="B387">
        <v>1</v>
      </c>
      <c r="D387">
        <v>1</v>
      </c>
    </row>
    <row r="388" spans="1:4">
      <c r="A388" s="2">
        <v>1990</v>
      </c>
      <c r="B388">
        <v>1</v>
      </c>
      <c r="D388">
        <v>1</v>
      </c>
    </row>
    <row r="389" spans="1:4">
      <c r="A389" s="2">
        <v>1991</v>
      </c>
      <c r="C389">
        <v>1</v>
      </c>
      <c r="D389">
        <v>1</v>
      </c>
    </row>
    <row r="390" spans="1:4">
      <c r="A390" s="2">
        <v>1992</v>
      </c>
      <c r="C390">
        <v>1</v>
      </c>
      <c r="D390">
        <v>1</v>
      </c>
    </row>
    <row r="391" spans="1:4">
      <c r="A391" s="2">
        <v>1993</v>
      </c>
      <c r="C391">
        <v>1</v>
      </c>
      <c r="D391">
        <v>1</v>
      </c>
    </row>
    <row r="392" spans="1:4">
      <c r="A392" s="2">
        <v>2002</v>
      </c>
      <c r="B392">
        <v>1</v>
      </c>
      <c r="D392">
        <v>1</v>
      </c>
    </row>
    <row r="393" spans="1:4">
      <c r="A393" s="2">
        <v>2004</v>
      </c>
      <c r="B393">
        <v>1</v>
      </c>
      <c r="D393">
        <v>1</v>
      </c>
    </row>
    <row r="394" spans="1:4">
      <c r="A394" s="2">
        <v>2005</v>
      </c>
      <c r="C394">
        <v>1</v>
      </c>
      <c r="D394">
        <v>1</v>
      </c>
    </row>
    <row r="395" spans="1:4">
      <c r="A395" s="2">
        <v>2008</v>
      </c>
      <c r="C395">
        <v>1</v>
      </c>
      <c r="D395">
        <v>1</v>
      </c>
    </row>
    <row r="396" spans="1:4">
      <c r="A396" s="2">
        <v>2021</v>
      </c>
      <c r="C396">
        <v>1</v>
      </c>
      <c r="D396">
        <v>1</v>
      </c>
    </row>
    <row r="397" spans="1:4">
      <c r="A397" s="2">
        <v>2036</v>
      </c>
      <c r="C397">
        <v>1</v>
      </c>
      <c r="D397">
        <v>1</v>
      </c>
    </row>
    <row r="398" spans="1:4">
      <c r="A398" s="2">
        <v>2061</v>
      </c>
      <c r="C398">
        <v>1</v>
      </c>
      <c r="D398">
        <v>1</v>
      </c>
    </row>
    <row r="399" spans="1:4">
      <c r="A399" s="2">
        <v>2066</v>
      </c>
      <c r="C399">
        <v>1</v>
      </c>
      <c r="D399">
        <v>1</v>
      </c>
    </row>
    <row r="400" spans="1:4">
      <c r="A400" s="2">
        <v>2072</v>
      </c>
      <c r="C400">
        <v>1</v>
      </c>
      <c r="D400">
        <v>1</v>
      </c>
    </row>
    <row r="401" spans="1:4">
      <c r="A401" s="2">
        <v>2075</v>
      </c>
      <c r="C401">
        <v>1</v>
      </c>
      <c r="D401">
        <v>1</v>
      </c>
    </row>
    <row r="402" spans="1:4">
      <c r="A402" s="2">
        <v>2079</v>
      </c>
      <c r="C402">
        <v>1</v>
      </c>
      <c r="D402">
        <v>1</v>
      </c>
    </row>
    <row r="403" spans="1:4">
      <c r="A403" s="2">
        <v>2088</v>
      </c>
      <c r="C403">
        <v>1</v>
      </c>
      <c r="D403">
        <v>1</v>
      </c>
    </row>
    <row r="404" spans="1:4">
      <c r="A404" s="2">
        <v>2098</v>
      </c>
      <c r="C404">
        <v>1</v>
      </c>
      <c r="D404">
        <v>1</v>
      </c>
    </row>
    <row r="405" spans="1:4">
      <c r="A405" s="2">
        <v>2106</v>
      </c>
      <c r="C405">
        <v>1</v>
      </c>
      <c r="D405">
        <v>1</v>
      </c>
    </row>
    <row r="406" spans="1:4">
      <c r="A406" s="2">
        <v>2109</v>
      </c>
      <c r="B406">
        <v>1</v>
      </c>
      <c r="D406">
        <v>1</v>
      </c>
    </row>
    <row r="407" spans="1:4">
      <c r="A407" s="2">
        <v>2114</v>
      </c>
      <c r="B407">
        <v>1</v>
      </c>
      <c r="D407">
        <v>1</v>
      </c>
    </row>
    <row r="408" spans="1:4">
      <c r="A408" s="2">
        <v>2115</v>
      </c>
      <c r="C408">
        <v>1</v>
      </c>
      <c r="D408">
        <v>1</v>
      </c>
    </row>
    <row r="409" spans="1:4">
      <c r="A409" s="2">
        <v>2118</v>
      </c>
      <c r="C409">
        <v>1</v>
      </c>
      <c r="D409">
        <v>1</v>
      </c>
    </row>
    <row r="410" spans="1:4">
      <c r="A410" s="2">
        <v>2125</v>
      </c>
      <c r="B410">
        <v>1</v>
      </c>
      <c r="D410">
        <v>1</v>
      </c>
    </row>
    <row r="411" spans="1:4">
      <c r="A411" s="2">
        <v>2130</v>
      </c>
      <c r="C411">
        <v>1</v>
      </c>
      <c r="D411">
        <v>1</v>
      </c>
    </row>
    <row r="412" spans="1:4">
      <c r="A412" s="2">
        <v>2131</v>
      </c>
      <c r="B412">
        <v>1</v>
      </c>
      <c r="D412">
        <v>1</v>
      </c>
    </row>
    <row r="413" spans="1:4">
      <c r="A413" s="2">
        <v>2134</v>
      </c>
      <c r="B413">
        <v>1</v>
      </c>
      <c r="D413">
        <v>1</v>
      </c>
    </row>
    <row r="414" spans="1:4">
      <c r="A414" s="2">
        <v>2139</v>
      </c>
      <c r="C414">
        <v>1</v>
      </c>
      <c r="D414">
        <v>1</v>
      </c>
    </row>
    <row r="415" spans="1:4">
      <c r="A415" s="2">
        <v>2147</v>
      </c>
      <c r="C415">
        <v>1</v>
      </c>
      <c r="D415">
        <v>1</v>
      </c>
    </row>
    <row r="416" spans="1:4">
      <c r="A416" s="2">
        <v>2150</v>
      </c>
      <c r="B416">
        <v>1</v>
      </c>
      <c r="D416">
        <v>1</v>
      </c>
    </row>
    <row r="417" spans="1:4">
      <c r="A417" s="2">
        <v>2154</v>
      </c>
      <c r="B417">
        <v>1</v>
      </c>
      <c r="D417">
        <v>1</v>
      </c>
    </row>
    <row r="418" spans="1:4">
      <c r="A418" s="2">
        <v>2156</v>
      </c>
      <c r="C418">
        <v>1</v>
      </c>
      <c r="D418">
        <v>1</v>
      </c>
    </row>
    <row r="419" spans="1:4">
      <c r="A419" s="2">
        <v>2157</v>
      </c>
      <c r="C419">
        <v>1</v>
      </c>
      <c r="D419">
        <v>1</v>
      </c>
    </row>
    <row r="420" spans="1:4">
      <c r="A420" s="2">
        <v>2162</v>
      </c>
      <c r="C420">
        <v>1</v>
      </c>
      <c r="D420">
        <v>1</v>
      </c>
    </row>
    <row r="421" spans="1:4">
      <c r="A421" s="2">
        <v>2166</v>
      </c>
      <c r="B421">
        <v>1</v>
      </c>
      <c r="D421">
        <v>1</v>
      </c>
    </row>
    <row r="422" spans="1:4">
      <c r="A422" s="2">
        <v>2173</v>
      </c>
      <c r="B422">
        <v>1</v>
      </c>
      <c r="D422">
        <v>1</v>
      </c>
    </row>
    <row r="423" spans="1:4">
      <c r="A423" s="2">
        <v>2174</v>
      </c>
      <c r="B423">
        <v>1</v>
      </c>
      <c r="D423">
        <v>1</v>
      </c>
    </row>
    <row r="424" spans="1:4">
      <c r="A424" s="2">
        <v>2176</v>
      </c>
      <c r="C424">
        <v>1</v>
      </c>
      <c r="D424">
        <v>1</v>
      </c>
    </row>
    <row r="425" spans="1:4">
      <c r="A425" s="2">
        <v>2181</v>
      </c>
      <c r="C425">
        <v>1</v>
      </c>
      <c r="D425">
        <v>1</v>
      </c>
    </row>
    <row r="426" spans="1:4">
      <c r="A426" s="2">
        <v>2186</v>
      </c>
      <c r="C426">
        <v>1</v>
      </c>
      <c r="D426">
        <v>1</v>
      </c>
    </row>
    <row r="427" spans="1:4">
      <c r="A427" s="2">
        <v>2202</v>
      </c>
      <c r="C427">
        <v>1</v>
      </c>
      <c r="D427">
        <v>1</v>
      </c>
    </row>
    <row r="428" spans="1:4">
      <c r="A428" s="2">
        <v>2217</v>
      </c>
      <c r="C428">
        <v>1</v>
      </c>
      <c r="D428">
        <v>1</v>
      </c>
    </row>
    <row r="429" spans="1:4">
      <c r="A429" s="2">
        <v>2223</v>
      </c>
      <c r="B429">
        <v>1</v>
      </c>
      <c r="D429">
        <v>1</v>
      </c>
    </row>
    <row r="430" spans="1:4">
      <c r="A430" s="2">
        <v>2225</v>
      </c>
      <c r="B430">
        <v>1</v>
      </c>
      <c r="D430">
        <v>1</v>
      </c>
    </row>
    <row r="431" spans="1:4">
      <c r="A431" s="2">
        <v>2230</v>
      </c>
      <c r="C431">
        <v>1</v>
      </c>
      <c r="D431">
        <v>1</v>
      </c>
    </row>
    <row r="432" spans="1:4">
      <c r="A432" s="2">
        <v>2245</v>
      </c>
      <c r="C432">
        <v>1</v>
      </c>
      <c r="D432">
        <v>1</v>
      </c>
    </row>
    <row r="433" spans="1:4">
      <c r="A433" s="2">
        <v>2254</v>
      </c>
      <c r="C433">
        <v>1</v>
      </c>
      <c r="D433">
        <v>1</v>
      </c>
    </row>
    <row r="434" spans="1:4">
      <c r="A434" s="2">
        <v>2256</v>
      </c>
      <c r="C434">
        <v>1</v>
      </c>
      <c r="D434">
        <v>1</v>
      </c>
    </row>
    <row r="435" spans="1:4">
      <c r="A435" s="2">
        <v>2258</v>
      </c>
      <c r="C435">
        <v>1</v>
      </c>
      <c r="D435">
        <v>1</v>
      </c>
    </row>
    <row r="436" spans="1:4">
      <c r="A436" s="2">
        <v>2261</v>
      </c>
      <c r="C436">
        <v>1</v>
      </c>
      <c r="D436">
        <v>1</v>
      </c>
    </row>
    <row r="437" spans="1:4">
      <c r="A437" s="2">
        <v>2262</v>
      </c>
      <c r="C437">
        <v>1</v>
      </c>
      <c r="D437">
        <v>1</v>
      </c>
    </row>
    <row r="438" spans="1:4">
      <c r="A438" s="2">
        <v>2276</v>
      </c>
      <c r="B438">
        <v>1</v>
      </c>
      <c r="D438">
        <v>1</v>
      </c>
    </row>
    <row r="439" spans="1:4">
      <c r="A439" s="2">
        <v>2278</v>
      </c>
      <c r="B439">
        <v>1</v>
      </c>
      <c r="D439">
        <v>1</v>
      </c>
    </row>
    <row r="440" spans="1:4">
      <c r="A440" s="2">
        <v>2281</v>
      </c>
      <c r="B440">
        <v>1</v>
      </c>
      <c r="D440">
        <v>1</v>
      </c>
    </row>
    <row r="441" spans="1:4">
      <c r="A441" s="2">
        <v>2285</v>
      </c>
      <c r="C441">
        <v>1</v>
      </c>
      <c r="D441">
        <v>1</v>
      </c>
    </row>
    <row r="442" spans="1:4">
      <c r="A442" s="2">
        <v>2286</v>
      </c>
      <c r="B442">
        <v>1</v>
      </c>
      <c r="D442">
        <v>1</v>
      </c>
    </row>
    <row r="443" spans="1:4">
      <c r="A443" s="2">
        <v>2292</v>
      </c>
      <c r="B443">
        <v>1</v>
      </c>
      <c r="D443">
        <v>1</v>
      </c>
    </row>
    <row r="444" spans="1:4">
      <c r="A444" s="2">
        <v>2295</v>
      </c>
      <c r="C444">
        <v>1</v>
      </c>
      <c r="D444">
        <v>1</v>
      </c>
    </row>
    <row r="445" spans="1:4">
      <c r="A445" s="2">
        <v>2296</v>
      </c>
      <c r="C445">
        <v>1</v>
      </c>
      <c r="D445">
        <v>1</v>
      </c>
    </row>
    <row r="446" spans="1:4">
      <c r="A446" s="2">
        <v>2304</v>
      </c>
      <c r="C446">
        <v>1</v>
      </c>
      <c r="D446">
        <v>1</v>
      </c>
    </row>
    <row r="447" spans="1:4">
      <c r="A447" s="2">
        <v>2308</v>
      </c>
      <c r="C447">
        <v>1</v>
      </c>
      <c r="D447">
        <v>1</v>
      </c>
    </row>
    <row r="448" spans="1:4">
      <c r="A448" s="2">
        <v>2315</v>
      </c>
      <c r="B448">
        <v>1</v>
      </c>
      <c r="D448">
        <v>1</v>
      </c>
    </row>
    <row r="449" spans="1:4">
      <c r="A449" s="2">
        <v>2320</v>
      </c>
      <c r="C449">
        <v>1</v>
      </c>
      <c r="D449">
        <v>1</v>
      </c>
    </row>
    <row r="450" spans="1:4">
      <c r="A450" s="2">
        <v>2324</v>
      </c>
      <c r="C450">
        <v>1</v>
      </c>
      <c r="D450">
        <v>1</v>
      </c>
    </row>
    <row r="451" spans="1:4">
      <c r="A451" s="2">
        <v>2337</v>
      </c>
      <c r="B451">
        <v>1</v>
      </c>
      <c r="D451">
        <v>1</v>
      </c>
    </row>
    <row r="452" spans="1:4">
      <c r="A452" s="2">
        <v>2350</v>
      </c>
      <c r="C452">
        <v>1</v>
      </c>
      <c r="D452">
        <v>1</v>
      </c>
    </row>
    <row r="453" spans="1:4">
      <c r="A453" s="2">
        <v>2371</v>
      </c>
      <c r="C453">
        <v>1</v>
      </c>
      <c r="D453">
        <v>1</v>
      </c>
    </row>
    <row r="454" spans="1:4">
      <c r="A454" s="2">
        <v>2375</v>
      </c>
      <c r="C454">
        <v>1</v>
      </c>
      <c r="D454">
        <v>1</v>
      </c>
    </row>
    <row r="455" spans="1:4">
      <c r="A455" s="2">
        <v>2379</v>
      </c>
      <c r="B455">
        <v>1</v>
      </c>
      <c r="D455">
        <v>1</v>
      </c>
    </row>
    <row r="456" spans="1:4">
      <c r="A456" s="2">
        <v>2387</v>
      </c>
      <c r="C456">
        <v>1</v>
      </c>
      <c r="D456">
        <v>1</v>
      </c>
    </row>
    <row r="457" spans="1:4">
      <c r="A457" s="2">
        <v>2404</v>
      </c>
      <c r="C457">
        <v>1</v>
      </c>
      <c r="D457">
        <v>1</v>
      </c>
    </row>
    <row r="458" spans="1:4">
      <c r="A458" s="2">
        <v>2406</v>
      </c>
      <c r="C458">
        <v>1</v>
      </c>
      <c r="D458">
        <v>1</v>
      </c>
    </row>
    <row r="459" spans="1:4">
      <c r="A459" s="2">
        <v>2407</v>
      </c>
      <c r="C459">
        <v>1</v>
      </c>
      <c r="D459">
        <v>1</v>
      </c>
    </row>
    <row r="460" spans="1:4">
      <c r="A460" s="2">
        <v>2408</v>
      </c>
      <c r="C460">
        <v>1</v>
      </c>
      <c r="D460">
        <v>1</v>
      </c>
    </row>
    <row r="461" spans="1:4">
      <c r="A461" s="2">
        <v>2410</v>
      </c>
      <c r="B461">
        <v>1</v>
      </c>
      <c r="D461">
        <v>1</v>
      </c>
    </row>
    <row r="462" spans="1:4">
      <c r="A462" s="2">
        <v>2415</v>
      </c>
      <c r="C462">
        <v>1</v>
      </c>
      <c r="D462">
        <v>1</v>
      </c>
    </row>
    <row r="463" spans="1:4">
      <c r="A463" s="2">
        <v>2416</v>
      </c>
      <c r="B463">
        <v>1</v>
      </c>
      <c r="D463">
        <v>1</v>
      </c>
    </row>
    <row r="464" spans="1:4">
      <c r="A464" s="2">
        <v>2426</v>
      </c>
      <c r="B464">
        <v>1</v>
      </c>
      <c r="D464">
        <v>1</v>
      </c>
    </row>
    <row r="465" spans="1:4">
      <c r="A465" s="2">
        <v>2428</v>
      </c>
      <c r="C465">
        <v>1</v>
      </c>
      <c r="D465">
        <v>1</v>
      </c>
    </row>
    <row r="466" spans="1:4">
      <c r="A466" s="2">
        <v>2429</v>
      </c>
      <c r="B466">
        <v>1</v>
      </c>
      <c r="D466">
        <v>1</v>
      </c>
    </row>
    <row r="467" spans="1:4">
      <c r="A467" s="2">
        <v>2431</v>
      </c>
      <c r="C467">
        <v>1</v>
      </c>
      <c r="D467">
        <v>1</v>
      </c>
    </row>
    <row r="468" spans="1:4">
      <c r="A468" s="2">
        <v>2445</v>
      </c>
      <c r="C468">
        <v>1</v>
      </c>
      <c r="D468">
        <v>1</v>
      </c>
    </row>
    <row r="469" spans="1:4">
      <c r="A469" s="2">
        <v>2447</v>
      </c>
      <c r="C469">
        <v>1</v>
      </c>
      <c r="D469">
        <v>1</v>
      </c>
    </row>
    <row r="470" spans="1:4">
      <c r="A470" s="2">
        <v>2452</v>
      </c>
      <c r="C470">
        <v>1</v>
      </c>
      <c r="D470">
        <v>1</v>
      </c>
    </row>
    <row r="471" spans="1:4">
      <c r="A471" s="2">
        <v>2453</v>
      </c>
      <c r="C471">
        <v>1</v>
      </c>
      <c r="D471">
        <v>1</v>
      </c>
    </row>
    <row r="472" spans="1:4">
      <c r="A472" s="2">
        <v>2456</v>
      </c>
      <c r="C472">
        <v>1</v>
      </c>
      <c r="D472">
        <v>1</v>
      </c>
    </row>
    <row r="473" spans="1:4">
      <c r="A473" s="2">
        <v>2457</v>
      </c>
      <c r="C473">
        <v>1</v>
      </c>
      <c r="D473">
        <v>1</v>
      </c>
    </row>
    <row r="474" spans="1:4">
      <c r="A474" s="2">
        <v>2461</v>
      </c>
      <c r="B474">
        <v>1</v>
      </c>
      <c r="D474">
        <v>1</v>
      </c>
    </row>
    <row r="475" spans="1:4">
      <c r="A475" s="2">
        <v>2471</v>
      </c>
      <c r="C475">
        <v>1</v>
      </c>
      <c r="D475">
        <v>1</v>
      </c>
    </row>
    <row r="476" spans="1:4">
      <c r="A476" s="2">
        <v>2478</v>
      </c>
      <c r="C476">
        <v>1</v>
      </c>
      <c r="D476">
        <v>1</v>
      </c>
    </row>
    <row r="477" spans="1:4">
      <c r="A477" s="2">
        <v>2488</v>
      </c>
      <c r="B477">
        <v>1</v>
      </c>
      <c r="D477">
        <v>1</v>
      </c>
    </row>
    <row r="478" spans="1:4">
      <c r="A478" s="2">
        <v>2493</v>
      </c>
      <c r="C478">
        <v>1</v>
      </c>
      <c r="D478">
        <v>1</v>
      </c>
    </row>
    <row r="479" spans="1:4">
      <c r="A479" s="2">
        <v>2495</v>
      </c>
      <c r="C479">
        <v>1</v>
      </c>
      <c r="D479">
        <v>1</v>
      </c>
    </row>
    <row r="480" spans="1:4">
      <c r="A480" s="2">
        <v>2499</v>
      </c>
      <c r="B480">
        <v>1</v>
      </c>
      <c r="D480">
        <v>1</v>
      </c>
    </row>
    <row r="481" spans="1:4">
      <c r="A481" s="2">
        <v>2516</v>
      </c>
      <c r="C481">
        <v>1</v>
      </c>
      <c r="D481">
        <v>1</v>
      </c>
    </row>
    <row r="482" spans="1:4">
      <c r="A482" s="2">
        <v>2518</v>
      </c>
      <c r="C482">
        <v>1</v>
      </c>
      <c r="D482">
        <v>1</v>
      </c>
    </row>
    <row r="483" spans="1:4">
      <c r="A483" s="2">
        <v>2521</v>
      </c>
      <c r="C483">
        <v>1</v>
      </c>
      <c r="D483">
        <v>1</v>
      </c>
    </row>
    <row r="484" spans="1:4">
      <c r="A484" s="2">
        <v>2525</v>
      </c>
      <c r="C484">
        <v>1</v>
      </c>
      <c r="D484">
        <v>1</v>
      </c>
    </row>
    <row r="485" spans="1:4">
      <c r="A485" s="2">
        <v>2532</v>
      </c>
      <c r="B485">
        <v>1</v>
      </c>
      <c r="D485">
        <v>1</v>
      </c>
    </row>
    <row r="486" spans="1:4">
      <c r="A486" s="2">
        <v>2534</v>
      </c>
      <c r="C486">
        <v>1</v>
      </c>
      <c r="D486">
        <v>1</v>
      </c>
    </row>
    <row r="487" spans="1:4">
      <c r="A487" s="2">
        <v>2535</v>
      </c>
      <c r="C487">
        <v>1</v>
      </c>
      <c r="D487">
        <v>1</v>
      </c>
    </row>
    <row r="488" spans="1:4">
      <c r="A488" s="2">
        <v>2541</v>
      </c>
      <c r="C488">
        <v>1</v>
      </c>
      <c r="D488">
        <v>1</v>
      </c>
    </row>
    <row r="489" spans="1:4">
      <c r="A489" s="2">
        <v>2544</v>
      </c>
      <c r="B489">
        <v>1</v>
      </c>
      <c r="D489">
        <v>1</v>
      </c>
    </row>
    <row r="490" spans="1:4">
      <c r="A490" s="2">
        <v>2546</v>
      </c>
      <c r="B490">
        <v>1</v>
      </c>
      <c r="D490">
        <v>1</v>
      </c>
    </row>
    <row r="491" spans="1:4">
      <c r="A491" s="2">
        <v>2549</v>
      </c>
      <c r="C491">
        <v>1</v>
      </c>
      <c r="D491">
        <v>1</v>
      </c>
    </row>
    <row r="492" spans="1:4">
      <c r="A492" s="2">
        <v>2552</v>
      </c>
      <c r="B492">
        <v>1</v>
      </c>
      <c r="D492">
        <v>1</v>
      </c>
    </row>
    <row r="493" spans="1:4">
      <c r="A493" s="2">
        <v>2557</v>
      </c>
      <c r="B493">
        <v>1</v>
      </c>
      <c r="D493">
        <v>1</v>
      </c>
    </row>
    <row r="494" spans="1:4">
      <c r="A494" s="2">
        <v>2563</v>
      </c>
      <c r="C494">
        <v>1</v>
      </c>
      <c r="D494">
        <v>1</v>
      </c>
    </row>
    <row r="495" spans="1:4">
      <c r="A495" s="2">
        <v>2564</v>
      </c>
      <c r="C495">
        <v>1</v>
      </c>
      <c r="D495">
        <v>1</v>
      </c>
    </row>
    <row r="496" spans="1:4">
      <c r="A496" s="2">
        <v>2565</v>
      </c>
      <c r="B496">
        <v>1</v>
      </c>
      <c r="D496">
        <v>1</v>
      </c>
    </row>
    <row r="497" spans="1:4">
      <c r="A497" s="2">
        <v>2569</v>
      </c>
      <c r="C497">
        <v>1</v>
      </c>
      <c r="D497">
        <v>1</v>
      </c>
    </row>
    <row r="498" spans="1:4">
      <c r="A498" s="2">
        <v>2570</v>
      </c>
      <c r="C498">
        <v>1</v>
      </c>
      <c r="D498">
        <v>1</v>
      </c>
    </row>
    <row r="499" spans="1:4">
      <c r="A499" s="2">
        <v>2574</v>
      </c>
      <c r="C499">
        <v>1</v>
      </c>
      <c r="D499">
        <v>1</v>
      </c>
    </row>
    <row r="500" spans="1:4">
      <c r="A500" s="2">
        <v>2579</v>
      </c>
      <c r="C500">
        <v>1</v>
      </c>
      <c r="D500">
        <v>1</v>
      </c>
    </row>
    <row r="501" spans="1:4">
      <c r="A501" s="2">
        <v>2587</v>
      </c>
      <c r="C501">
        <v>1</v>
      </c>
      <c r="D501">
        <v>1</v>
      </c>
    </row>
    <row r="502" spans="1:4">
      <c r="A502" s="2">
        <v>2589</v>
      </c>
      <c r="B502">
        <v>1</v>
      </c>
      <c r="D502">
        <v>1</v>
      </c>
    </row>
    <row r="503" spans="1:4">
      <c r="A503" s="2">
        <v>2591</v>
      </c>
      <c r="B503">
        <v>1</v>
      </c>
      <c r="D503">
        <v>1</v>
      </c>
    </row>
    <row r="504" spans="1:4">
      <c r="A504" s="2">
        <v>2607</v>
      </c>
      <c r="B504">
        <v>1</v>
      </c>
      <c r="D504">
        <v>1</v>
      </c>
    </row>
    <row r="505" spans="1:4">
      <c r="A505" s="2">
        <v>2611</v>
      </c>
      <c r="C505">
        <v>1</v>
      </c>
      <c r="D505">
        <v>1</v>
      </c>
    </row>
    <row r="506" spans="1:4">
      <c r="A506" s="2">
        <v>2612</v>
      </c>
      <c r="C506">
        <v>1</v>
      </c>
      <c r="D506">
        <v>1</v>
      </c>
    </row>
    <row r="507" spans="1:4">
      <c r="A507" s="2">
        <v>2613</v>
      </c>
      <c r="C507">
        <v>1</v>
      </c>
      <c r="D507">
        <v>1</v>
      </c>
    </row>
    <row r="508" spans="1:4">
      <c r="A508" s="2">
        <v>2620</v>
      </c>
      <c r="C508">
        <v>1</v>
      </c>
      <c r="D508">
        <v>1</v>
      </c>
    </row>
    <row r="509" spans="1:4">
      <c r="A509" s="2">
        <v>2625</v>
      </c>
      <c r="B509">
        <v>1</v>
      </c>
      <c r="D509">
        <v>1</v>
      </c>
    </row>
    <row r="510" spans="1:4">
      <c r="A510" s="2">
        <v>2631</v>
      </c>
      <c r="C510">
        <v>1</v>
      </c>
      <c r="D510">
        <v>1</v>
      </c>
    </row>
    <row r="511" spans="1:4">
      <c r="A511" s="2">
        <v>2632</v>
      </c>
      <c r="C511">
        <v>1</v>
      </c>
      <c r="D511">
        <v>1</v>
      </c>
    </row>
    <row r="512" spans="1:4">
      <c r="A512" s="2">
        <v>2634</v>
      </c>
      <c r="B512">
        <v>1</v>
      </c>
      <c r="D512">
        <v>1</v>
      </c>
    </row>
    <row r="513" spans="1:4">
      <c r="A513" s="2">
        <v>2639</v>
      </c>
      <c r="B513">
        <v>1</v>
      </c>
      <c r="D513">
        <v>1</v>
      </c>
    </row>
    <row r="514" spans="1:4">
      <c r="A514" s="2">
        <v>2656</v>
      </c>
      <c r="B514">
        <v>1</v>
      </c>
      <c r="D514">
        <v>1</v>
      </c>
    </row>
    <row r="515" spans="1:4">
      <c r="A515" s="2">
        <v>2661</v>
      </c>
      <c r="B515">
        <v>1</v>
      </c>
      <c r="D515">
        <v>1</v>
      </c>
    </row>
    <row r="516" spans="1:4">
      <c r="A516" s="2">
        <v>2666</v>
      </c>
      <c r="C516">
        <v>1</v>
      </c>
      <c r="D516">
        <v>1</v>
      </c>
    </row>
    <row r="517" spans="1:4">
      <c r="A517" s="2">
        <v>2669</v>
      </c>
      <c r="B517">
        <v>1</v>
      </c>
      <c r="D517">
        <v>1</v>
      </c>
    </row>
    <row r="518" spans="1:4">
      <c r="A518" s="2">
        <v>2674</v>
      </c>
      <c r="B518">
        <v>1</v>
      </c>
      <c r="D518">
        <v>1</v>
      </c>
    </row>
    <row r="519" spans="1:4">
      <c r="A519" s="2">
        <v>2677</v>
      </c>
      <c r="C519">
        <v>1</v>
      </c>
      <c r="D519">
        <v>1</v>
      </c>
    </row>
    <row r="520" spans="1:4">
      <c r="A520" s="2">
        <v>2678</v>
      </c>
      <c r="B520">
        <v>1</v>
      </c>
      <c r="D520">
        <v>1</v>
      </c>
    </row>
    <row r="521" spans="1:4">
      <c r="A521" s="2">
        <v>2681</v>
      </c>
      <c r="C521">
        <v>1</v>
      </c>
      <c r="D521">
        <v>1</v>
      </c>
    </row>
    <row r="522" spans="1:4">
      <c r="A522" s="2">
        <v>2683</v>
      </c>
      <c r="C522">
        <v>1</v>
      </c>
      <c r="D522">
        <v>1</v>
      </c>
    </row>
    <row r="523" spans="1:4">
      <c r="A523" s="2">
        <v>2686</v>
      </c>
      <c r="C523">
        <v>1</v>
      </c>
      <c r="D523">
        <v>1</v>
      </c>
    </row>
    <row r="524" spans="1:4">
      <c r="A524" s="2">
        <v>2694</v>
      </c>
      <c r="C524">
        <v>1</v>
      </c>
      <c r="D524">
        <v>1</v>
      </c>
    </row>
    <row r="525" spans="1:4">
      <c r="A525" s="2">
        <v>2698</v>
      </c>
      <c r="B525">
        <v>1</v>
      </c>
      <c r="D525">
        <v>1</v>
      </c>
    </row>
    <row r="526" spans="1:4">
      <c r="A526" s="2">
        <v>2711</v>
      </c>
      <c r="C526">
        <v>1</v>
      </c>
      <c r="D526">
        <v>1</v>
      </c>
    </row>
    <row r="527" spans="1:4">
      <c r="A527" s="2">
        <v>2712</v>
      </c>
      <c r="C527">
        <v>1</v>
      </c>
      <c r="D527">
        <v>1</v>
      </c>
    </row>
    <row r="528" spans="1:4">
      <c r="A528" s="2">
        <v>2715</v>
      </c>
      <c r="B528">
        <v>1</v>
      </c>
      <c r="D528">
        <v>1</v>
      </c>
    </row>
    <row r="529" spans="1:4">
      <c r="A529" s="2">
        <v>2724</v>
      </c>
      <c r="B529">
        <v>1</v>
      </c>
      <c r="D529">
        <v>1</v>
      </c>
    </row>
    <row r="530" spans="1:4">
      <c r="A530" s="2">
        <v>2727</v>
      </c>
      <c r="C530">
        <v>1</v>
      </c>
      <c r="D530">
        <v>1</v>
      </c>
    </row>
    <row r="531" spans="1:4">
      <c r="A531" s="2">
        <v>2730</v>
      </c>
      <c r="B531">
        <v>1</v>
      </c>
      <c r="D531">
        <v>1</v>
      </c>
    </row>
    <row r="532" spans="1:4">
      <c r="A532" s="2">
        <v>2736</v>
      </c>
      <c r="C532">
        <v>1</v>
      </c>
      <c r="D532">
        <v>1</v>
      </c>
    </row>
    <row r="533" spans="1:4">
      <c r="A533" s="2">
        <v>2740</v>
      </c>
      <c r="B533">
        <v>1</v>
      </c>
      <c r="D533">
        <v>1</v>
      </c>
    </row>
    <row r="534" spans="1:4">
      <c r="A534" s="2">
        <v>2747</v>
      </c>
      <c r="C534">
        <v>1</v>
      </c>
      <c r="D534">
        <v>1</v>
      </c>
    </row>
    <row r="535" spans="1:4">
      <c r="A535" s="2">
        <v>2781</v>
      </c>
      <c r="B535">
        <v>1</v>
      </c>
      <c r="D535">
        <v>1</v>
      </c>
    </row>
    <row r="536" spans="1:4">
      <c r="A536" s="2">
        <v>2782</v>
      </c>
      <c r="C536">
        <v>1</v>
      </c>
      <c r="D536">
        <v>1</v>
      </c>
    </row>
    <row r="537" spans="1:4">
      <c r="A537" s="2">
        <v>2795</v>
      </c>
      <c r="B537">
        <v>1</v>
      </c>
      <c r="D537">
        <v>1</v>
      </c>
    </row>
    <row r="538" spans="1:4">
      <c r="A538" s="2">
        <v>2797</v>
      </c>
      <c r="C538">
        <v>1</v>
      </c>
      <c r="D538">
        <v>1</v>
      </c>
    </row>
    <row r="539" spans="1:4">
      <c r="A539" s="2">
        <v>2798</v>
      </c>
      <c r="C539">
        <v>1</v>
      </c>
      <c r="D539">
        <v>1</v>
      </c>
    </row>
    <row r="540" spans="1:4">
      <c r="A540" s="2">
        <v>2802</v>
      </c>
      <c r="C540">
        <v>1</v>
      </c>
      <c r="D540">
        <v>1</v>
      </c>
    </row>
    <row r="541" spans="1:4">
      <c r="A541" s="2">
        <v>2811</v>
      </c>
      <c r="B541">
        <v>1</v>
      </c>
      <c r="D541">
        <v>1</v>
      </c>
    </row>
    <row r="542" spans="1:4">
      <c r="A542" s="2">
        <v>2815</v>
      </c>
      <c r="C542">
        <v>1</v>
      </c>
      <c r="D542">
        <v>1</v>
      </c>
    </row>
    <row r="543" spans="1:4">
      <c r="A543" s="2">
        <v>2826</v>
      </c>
      <c r="C543">
        <v>1</v>
      </c>
      <c r="D543">
        <v>1</v>
      </c>
    </row>
    <row r="544" spans="1:4">
      <c r="A544" s="2">
        <v>2829</v>
      </c>
      <c r="C544">
        <v>1</v>
      </c>
      <c r="D544">
        <v>1</v>
      </c>
    </row>
    <row r="545" spans="1:4">
      <c r="A545" s="2">
        <v>2831</v>
      </c>
      <c r="C545">
        <v>1</v>
      </c>
      <c r="D545">
        <v>1</v>
      </c>
    </row>
    <row r="546" spans="1:4">
      <c r="A546" s="2">
        <v>2836</v>
      </c>
      <c r="C546">
        <v>1</v>
      </c>
      <c r="D546">
        <v>1</v>
      </c>
    </row>
    <row r="547" spans="1:4">
      <c r="A547" s="2">
        <v>2853</v>
      </c>
      <c r="B547">
        <v>1</v>
      </c>
      <c r="D547">
        <v>1</v>
      </c>
    </row>
    <row r="548" spans="1:4">
      <c r="A548" s="2">
        <v>2861</v>
      </c>
      <c r="B548">
        <v>1</v>
      </c>
      <c r="D548">
        <v>1</v>
      </c>
    </row>
    <row r="549" spans="1:4">
      <c r="A549" s="2">
        <v>2868</v>
      </c>
      <c r="B549">
        <v>1</v>
      </c>
      <c r="D549">
        <v>1</v>
      </c>
    </row>
    <row r="550" spans="1:4">
      <c r="A550" s="2">
        <v>2870</v>
      </c>
      <c r="C550">
        <v>1</v>
      </c>
      <c r="D550">
        <v>1</v>
      </c>
    </row>
    <row r="551" spans="1:4">
      <c r="A551" s="2">
        <v>2874</v>
      </c>
      <c r="B551">
        <v>1</v>
      </c>
      <c r="D551">
        <v>1</v>
      </c>
    </row>
    <row r="552" spans="1:4">
      <c r="A552" s="2">
        <v>2875</v>
      </c>
      <c r="C552">
        <v>1</v>
      </c>
      <c r="D552">
        <v>1</v>
      </c>
    </row>
    <row r="553" spans="1:4">
      <c r="A553" s="2">
        <v>2877</v>
      </c>
      <c r="C553">
        <v>1</v>
      </c>
      <c r="D553">
        <v>1</v>
      </c>
    </row>
    <row r="554" spans="1:4">
      <c r="A554" s="2">
        <v>2878</v>
      </c>
      <c r="C554">
        <v>1</v>
      </c>
      <c r="D554">
        <v>1</v>
      </c>
    </row>
    <row r="555" spans="1:4">
      <c r="A555" s="2">
        <v>2882</v>
      </c>
      <c r="B555">
        <v>1</v>
      </c>
      <c r="D555">
        <v>1</v>
      </c>
    </row>
    <row r="556" spans="1:4">
      <c r="A556" s="2">
        <v>2886</v>
      </c>
      <c r="B556">
        <v>1</v>
      </c>
      <c r="D556">
        <v>1</v>
      </c>
    </row>
    <row r="557" spans="1:4">
      <c r="A557" s="2">
        <v>2891</v>
      </c>
      <c r="B557">
        <v>1</v>
      </c>
      <c r="D557">
        <v>1</v>
      </c>
    </row>
    <row r="558" spans="1:4">
      <c r="A558" s="2">
        <v>2894</v>
      </c>
      <c r="B558">
        <v>1</v>
      </c>
      <c r="D558">
        <v>1</v>
      </c>
    </row>
    <row r="559" spans="1:4">
      <c r="A559" s="2">
        <v>2895</v>
      </c>
      <c r="B559">
        <v>1</v>
      </c>
      <c r="D559">
        <v>1</v>
      </c>
    </row>
    <row r="560" spans="1:4">
      <c r="A560" s="2">
        <v>2909</v>
      </c>
      <c r="C560">
        <v>1</v>
      </c>
      <c r="D560">
        <v>1</v>
      </c>
    </row>
    <row r="561" spans="1:4">
      <c r="A561" s="2">
        <v>2918</v>
      </c>
      <c r="B561">
        <v>1</v>
      </c>
      <c r="D561">
        <v>1</v>
      </c>
    </row>
    <row r="562" spans="1:4">
      <c r="A562" s="2">
        <v>2920</v>
      </c>
      <c r="B562">
        <v>1</v>
      </c>
      <c r="D562">
        <v>1</v>
      </c>
    </row>
    <row r="563" spans="1:4">
      <c r="A563" s="2">
        <v>2926</v>
      </c>
      <c r="C563">
        <v>1</v>
      </c>
      <c r="D563">
        <v>1</v>
      </c>
    </row>
    <row r="564" spans="1:4">
      <c r="A564" s="2">
        <v>2929</v>
      </c>
      <c r="B564">
        <v>1</v>
      </c>
      <c r="D564">
        <v>1</v>
      </c>
    </row>
    <row r="565" spans="1:4">
      <c r="A565" s="2">
        <v>2930</v>
      </c>
      <c r="B565">
        <v>1</v>
      </c>
      <c r="D565">
        <v>1</v>
      </c>
    </row>
    <row r="566" spans="1:4">
      <c r="A566" s="2">
        <v>2931</v>
      </c>
      <c r="B566">
        <v>1</v>
      </c>
      <c r="D566">
        <v>1</v>
      </c>
    </row>
    <row r="567" spans="1:4">
      <c r="A567" s="2">
        <v>2936</v>
      </c>
      <c r="C567">
        <v>1</v>
      </c>
      <c r="D567">
        <v>1</v>
      </c>
    </row>
    <row r="568" spans="1:4">
      <c r="A568" s="2">
        <v>2937</v>
      </c>
      <c r="B568">
        <v>1</v>
      </c>
      <c r="D568">
        <v>1</v>
      </c>
    </row>
    <row r="569" spans="1:4">
      <c r="A569" s="2">
        <v>2939</v>
      </c>
      <c r="C569">
        <v>1</v>
      </c>
      <c r="D569">
        <v>1</v>
      </c>
    </row>
    <row r="570" spans="1:4">
      <c r="A570" s="2">
        <v>2942</v>
      </c>
      <c r="B570">
        <v>1</v>
      </c>
      <c r="D570">
        <v>1</v>
      </c>
    </row>
    <row r="571" spans="1:4">
      <c r="A571" s="2">
        <v>2945</v>
      </c>
      <c r="C571">
        <v>1</v>
      </c>
      <c r="D571">
        <v>1</v>
      </c>
    </row>
    <row r="572" spans="1:4">
      <c r="A572" s="2">
        <v>2948</v>
      </c>
      <c r="B572">
        <v>1</v>
      </c>
      <c r="D572">
        <v>1</v>
      </c>
    </row>
    <row r="573" spans="1:4">
      <c r="A573" s="2">
        <v>2952</v>
      </c>
      <c r="B573">
        <v>1</v>
      </c>
      <c r="D573">
        <v>1</v>
      </c>
    </row>
    <row r="574" spans="1:4">
      <c r="A574" s="2">
        <v>2958</v>
      </c>
      <c r="C574">
        <v>1</v>
      </c>
      <c r="D574">
        <v>1</v>
      </c>
    </row>
    <row r="575" spans="1:4">
      <c r="A575" s="2">
        <v>2961</v>
      </c>
      <c r="C575">
        <v>1</v>
      </c>
      <c r="D575">
        <v>1</v>
      </c>
    </row>
    <row r="576" spans="1:4">
      <c r="A576" s="2">
        <v>2963</v>
      </c>
      <c r="C576">
        <v>1</v>
      </c>
      <c r="D576">
        <v>1</v>
      </c>
    </row>
    <row r="577" spans="1:4">
      <c r="A577" s="2">
        <v>2964</v>
      </c>
      <c r="C577">
        <v>1</v>
      </c>
      <c r="D577">
        <v>1</v>
      </c>
    </row>
    <row r="578" spans="1:4">
      <c r="A578" s="2">
        <v>2968</v>
      </c>
      <c r="B578">
        <v>1</v>
      </c>
      <c r="D578">
        <v>1</v>
      </c>
    </row>
    <row r="579" spans="1:4">
      <c r="A579" s="2">
        <v>2975</v>
      </c>
      <c r="C579">
        <v>1</v>
      </c>
      <c r="D579">
        <v>1</v>
      </c>
    </row>
    <row r="580" spans="1:4">
      <c r="A580" s="2">
        <v>2980</v>
      </c>
      <c r="B580">
        <v>1</v>
      </c>
      <c r="D580">
        <v>1</v>
      </c>
    </row>
    <row r="581" spans="1:4">
      <c r="A581" s="2">
        <v>2986</v>
      </c>
      <c r="C581">
        <v>1</v>
      </c>
      <c r="D581">
        <v>1</v>
      </c>
    </row>
    <row r="582" spans="1:4">
      <c r="A582" s="2">
        <v>2995</v>
      </c>
      <c r="C582">
        <v>1</v>
      </c>
      <c r="D582">
        <v>1</v>
      </c>
    </row>
    <row r="583" spans="1:4">
      <c r="A583" s="2">
        <v>3005</v>
      </c>
      <c r="B583">
        <v>1</v>
      </c>
      <c r="D583">
        <v>1</v>
      </c>
    </row>
    <row r="584" spans="1:4">
      <c r="A584" s="2">
        <v>3006</v>
      </c>
      <c r="B584">
        <v>1</v>
      </c>
      <c r="D584">
        <v>1</v>
      </c>
    </row>
    <row r="585" spans="1:4">
      <c r="A585" s="2">
        <v>3007</v>
      </c>
      <c r="C585">
        <v>1</v>
      </c>
      <c r="D585">
        <v>1</v>
      </c>
    </row>
    <row r="586" spans="1:4">
      <c r="A586" s="2">
        <v>3009</v>
      </c>
      <c r="B586">
        <v>1</v>
      </c>
      <c r="D586">
        <v>1</v>
      </c>
    </row>
    <row r="587" spans="1:4">
      <c r="A587" s="2">
        <v>3010</v>
      </c>
      <c r="C587">
        <v>1</v>
      </c>
      <c r="D587">
        <v>1</v>
      </c>
    </row>
    <row r="588" spans="1:4">
      <c r="A588" s="2">
        <v>3011</v>
      </c>
      <c r="C588">
        <v>1</v>
      </c>
      <c r="D588">
        <v>1</v>
      </c>
    </row>
    <row r="589" spans="1:4">
      <c r="A589" s="2">
        <v>3025</v>
      </c>
      <c r="B589">
        <v>1</v>
      </c>
      <c r="D589">
        <v>1</v>
      </c>
    </row>
    <row r="590" spans="1:4">
      <c r="A590" s="2">
        <v>3032</v>
      </c>
      <c r="C590">
        <v>1</v>
      </c>
      <c r="D590">
        <v>1</v>
      </c>
    </row>
    <row r="591" spans="1:4">
      <c r="A591" s="2">
        <v>3033</v>
      </c>
      <c r="C591">
        <v>1</v>
      </c>
      <c r="D591">
        <v>1</v>
      </c>
    </row>
    <row r="592" spans="1:4">
      <c r="A592" s="2">
        <v>3037</v>
      </c>
      <c r="C592">
        <v>1</v>
      </c>
      <c r="D592">
        <v>1</v>
      </c>
    </row>
    <row r="593" spans="1:4">
      <c r="A593" s="2">
        <v>3050</v>
      </c>
      <c r="C593">
        <v>1</v>
      </c>
      <c r="D593">
        <v>1</v>
      </c>
    </row>
    <row r="594" spans="1:4">
      <c r="A594" s="2">
        <v>3056</v>
      </c>
      <c r="B594">
        <v>1</v>
      </c>
      <c r="D594">
        <v>1</v>
      </c>
    </row>
    <row r="595" spans="1:4">
      <c r="A595" s="2">
        <v>3066</v>
      </c>
      <c r="C595">
        <v>1</v>
      </c>
      <c r="D595">
        <v>1</v>
      </c>
    </row>
    <row r="596" spans="1:4">
      <c r="A596" s="2">
        <v>3068</v>
      </c>
      <c r="C596">
        <v>1</v>
      </c>
      <c r="D596">
        <v>1</v>
      </c>
    </row>
    <row r="597" spans="1:4">
      <c r="A597" s="2">
        <v>3074</v>
      </c>
      <c r="C597">
        <v>1</v>
      </c>
      <c r="D597">
        <v>1</v>
      </c>
    </row>
    <row r="598" spans="1:4">
      <c r="A598" s="2">
        <v>3075</v>
      </c>
      <c r="C598">
        <v>1</v>
      </c>
      <c r="D598">
        <v>1</v>
      </c>
    </row>
    <row r="599" spans="1:4">
      <c r="A599" s="2">
        <v>3076</v>
      </c>
      <c r="C599">
        <v>1</v>
      </c>
      <c r="D599">
        <v>1</v>
      </c>
    </row>
    <row r="600" spans="1:4">
      <c r="A600" s="2">
        <v>3081</v>
      </c>
      <c r="C600">
        <v>1</v>
      </c>
      <c r="D600">
        <v>1</v>
      </c>
    </row>
    <row r="601" spans="1:4">
      <c r="A601" s="2">
        <v>3083</v>
      </c>
      <c r="C601">
        <v>1</v>
      </c>
      <c r="D601">
        <v>1</v>
      </c>
    </row>
    <row r="602" spans="1:4">
      <c r="A602" s="2">
        <v>3099</v>
      </c>
      <c r="B602">
        <v>1</v>
      </c>
      <c r="D602">
        <v>1</v>
      </c>
    </row>
    <row r="603" spans="1:4">
      <c r="A603" s="2">
        <v>3102</v>
      </c>
      <c r="C603">
        <v>1</v>
      </c>
      <c r="D603">
        <v>1</v>
      </c>
    </row>
    <row r="604" spans="1:4">
      <c r="A604" s="2">
        <v>3104</v>
      </c>
      <c r="B604">
        <v>1</v>
      </c>
      <c r="D604">
        <v>1</v>
      </c>
    </row>
    <row r="605" spans="1:4">
      <c r="A605" s="2">
        <v>3107</v>
      </c>
      <c r="C605">
        <v>1</v>
      </c>
      <c r="D605">
        <v>1</v>
      </c>
    </row>
    <row r="606" spans="1:4">
      <c r="A606" s="2">
        <v>3112</v>
      </c>
      <c r="C606">
        <v>1</v>
      </c>
      <c r="D606">
        <v>1</v>
      </c>
    </row>
    <row r="607" spans="1:4">
      <c r="A607" s="2">
        <v>3120</v>
      </c>
      <c r="C607">
        <v>1</v>
      </c>
      <c r="D607">
        <v>1</v>
      </c>
    </row>
    <row r="608" spans="1:4">
      <c r="A608" s="2">
        <v>3129</v>
      </c>
      <c r="C608">
        <v>1</v>
      </c>
      <c r="D608">
        <v>1</v>
      </c>
    </row>
    <row r="609" spans="1:4">
      <c r="A609" s="2">
        <v>3136</v>
      </c>
      <c r="B609">
        <v>1</v>
      </c>
      <c r="D609">
        <v>1</v>
      </c>
    </row>
    <row r="610" spans="1:4">
      <c r="A610" s="2">
        <v>3138</v>
      </c>
      <c r="B610">
        <v>1</v>
      </c>
      <c r="D610">
        <v>1</v>
      </c>
    </row>
    <row r="611" spans="1:4">
      <c r="A611" s="2">
        <v>3139</v>
      </c>
      <c r="B611">
        <v>1</v>
      </c>
      <c r="D611">
        <v>1</v>
      </c>
    </row>
    <row r="612" spans="1:4">
      <c r="A612" s="2">
        <v>3152</v>
      </c>
      <c r="C612">
        <v>1</v>
      </c>
      <c r="D612">
        <v>1</v>
      </c>
    </row>
    <row r="613" spans="1:4">
      <c r="A613" s="2">
        <v>3153</v>
      </c>
      <c r="B613">
        <v>1</v>
      </c>
      <c r="D613">
        <v>1</v>
      </c>
    </row>
    <row r="614" spans="1:4">
      <c r="A614" s="2">
        <v>3158</v>
      </c>
      <c r="C614">
        <v>1</v>
      </c>
      <c r="D614">
        <v>1</v>
      </c>
    </row>
    <row r="615" spans="1:4">
      <c r="A615" s="2">
        <v>3170</v>
      </c>
      <c r="C615">
        <v>1</v>
      </c>
      <c r="D615">
        <v>1</v>
      </c>
    </row>
    <row r="616" spans="1:4">
      <c r="A616" s="2">
        <v>3174</v>
      </c>
      <c r="C616">
        <v>1</v>
      </c>
      <c r="D616">
        <v>1</v>
      </c>
    </row>
    <row r="617" spans="1:4">
      <c r="A617" s="2">
        <v>3179</v>
      </c>
      <c r="B617">
        <v>1</v>
      </c>
      <c r="D617">
        <v>1</v>
      </c>
    </row>
    <row r="618" spans="1:4">
      <c r="A618" s="2">
        <v>3182</v>
      </c>
      <c r="B618">
        <v>1</v>
      </c>
      <c r="D618">
        <v>1</v>
      </c>
    </row>
    <row r="619" spans="1:4">
      <c r="A619" s="2">
        <v>3194</v>
      </c>
      <c r="B619">
        <v>1</v>
      </c>
      <c r="D619">
        <v>1</v>
      </c>
    </row>
    <row r="620" spans="1:4">
      <c r="A620" s="2">
        <v>3197</v>
      </c>
      <c r="C620">
        <v>1</v>
      </c>
      <c r="D620">
        <v>1</v>
      </c>
    </row>
    <row r="621" spans="1:4">
      <c r="A621" s="2">
        <v>3202</v>
      </c>
      <c r="C621">
        <v>1</v>
      </c>
      <c r="D621">
        <v>1</v>
      </c>
    </row>
    <row r="622" spans="1:4">
      <c r="A622" s="2">
        <v>3220</v>
      </c>
      <c r="C622">
        <v>1</v>
      </c>
      <c r="D622">
        <v>1</v>
      </c>
    </row>
    <row r="623" spans="1:4">
      <c r="A623" s="2">
        <v>3225</v>
      </c>
      <c r="C623">
        <v>1</v>
      </c>
      <c r="D623">
        <v>1</v>
      </c>
    </row>
    <row r="624" spans="1:4">
      <c r="A624" s="2">
        <v>3231</v>
      </c>
      <c r="C624">
        <v>1</v>
      </c>
      <c r="D624">
        <v>1</v>
      </c>
    </row>
    <row r="625" spans="1:4">
      <c r="A625" s="2">
        <v>3233</v>
      </c>
      <c r="C625">
        <v>1</v>
      </c>
      <c r="D625">
        <v>1</v>
      </c>
    </row>
    <row r="626" spans="1:4">
      <c r="A626" s="2">
        <v>3254</v>
      </c>
      <c r="C626">
        <v>1</v>
      </c>
      <c r="D626">
        <v>1</v>
      </c>
    </row>
    <row r="627" spans="1:4">
      <c r="A627" s="2">
        <v>3262</v>
      </c>
      <c r="B627">
        <v>1</v>
      </c>
      <c r="D627">
        <v>1</v>
      </c>
    </row>
    <row r="628" spans="1:4">
      <c r="A628" s="2">
        <v>3265</v>
      </c>
      <c r="C628">
        <v>1</v>
      </c>
      <c r="D628">
        <v>1</v>
      </c>
    </row>
    <row r="629" spans="1:4">
      <c r="A629" s="2">
        <v>3267</v>
      </c>
      <c r="C629">
        <v>1</v>
      </c>
      <c r="D629">
        <v>1</v>
      </c>
    </row>
    <row r="630" spans="1:4">
      <c r="A630" s="2">
        <v>3270</v>
      </c>
      <c r="C630">
        <v>1</v>
      </c>
      <c r="D630">
        <v>1</v>
      </c>
    </row>
    <row r="631" spans="1:4">
      <c r="A631" s="2">
        <v>3276</v>
      </c>
      <c r="C631">
        <v>1</v>
      </c>
      <c r="D631">
        <v>1</v>
      </c>
    </row>
    <row r="632" spans="1:4">
      <c r="A632" s="2">
        <v>3277</v>
      </c>
      <c r="B632">
        <v>1</v>
      </c>
      <c r="D632">
        <v>1</v>
      </c>
    </row>
    <row r="633" spans="1:4">
      <c r="A633" s="2">
        <v>3281</v>
      </c>
      <c r="C633">
        <v>1</v>
      </c>
      <c r="D633">
        <v>1</v>
      </c>
    </row>
    <row r="634" spans="1:4">
      <c r="A634" s="2">
        <v>3283</v>
      </c>
      <c r="C634">
        <v>1</v>
      </c>
      <c r="D634">
        <v>1</v>
      </c>
    </row>
    <row r="635" spans="1:4">
      <c r="A635" s="2">
        <v>3286</v>
      </c>
      <c r="B635">
        <v>1</v>
      </c>
      <c r="D635">
        <v>1</v>
      </c>
    </row>
    <row r="636" spans="1:4">
      <c r="A636" s="2">
        <v>3298</v>
      </c>
      <c r="C636">
        <v>1</v>
      </c>
      <c r="D636">
        <v>1</v>
      </c>
    </row>
    <row r="637" spans="1:4">
      <c r="A637" s="2">
        <v>3308</v>
      </c>
      <c r="C637">
        <v>1</v>
      </c>
      <c r="D637">
        <v>1</v>
      </c>
    </row>
    <row r="638" spans="1:4">
      <c r="A638" s="2">
        <v>3310</v>
      </c>
      <c r="C638">
        <v>1</v>
      </c>
      <c r="D638">
        <v>1</v>
      </c>
    </row>
    <row r="639" spans="1:4">
      <c r="A639" s="2">
        <v>3312</v>
      </c>
      <c r="B639">
        <v>1</v>
      </c>
      <c r="D639">
        <v>1</v>
      </c>
    </row>
    <row r="640" spans="1:4">
      <c r="A640" s="2">
        <v>3321</v>
      </c>
      <c r="C640">
        <v>1</v>
      </c>
      <c r="D640">
        <v>1</v>
      </c>
    </row>
    <row r="641" spans="1:4">
      <c r="A641" s="2">
        <v>3332</v>
      </c>
      <c r="B641">
        <v>1</v>
      </c>
      <c r="D641">
        <v>1</v>
      </c>
    </row>
    <row r="642" spans="1:4">
      <c r="A642" s="2">
        <v>3334</v>
      </c>
      <c r="C642">
        <v>1</v>
      </c>
      <c r="D642">
        <v>1</v>
      </c>
    </row>
    <row r="643" spans="1:4">
      <c r="A643" s="2">
        <v>3336</v>
      </c>
      <c r="C643">
        <v>1</v>
      </c>
      <c r="D643">
        <v>1</v>
      </c>
    </row>
    <row r="644" spans="1:4">
      <c r="A644" s="2">
        <v>3340</v>
      </c>
      <c r="C644">
        <v>1</v>
      </c>
      <c r="D644">
        <v>1</v>
      </c>
    </row>
    <row r="645" spans="1:4">
      <c r="A645" s="2">
        <v>3376</v>
      </c>
      <c r="B645">
        <v>1</v>
      </c>
      <c r="D645">
        <v>1</v>
      </c>
    </row>
    <row r="646" spans="1:4">
      <c r="A646" s="2">
        <v>3381</v>
      </c>
      <c r="C646">
        <v>1</v>
      </c>
      <c r="D646">
        <v>1</v>
      </c>
    </row>
    <row r="647" spans="1:4">
      <c r="A647" s="2">
        <v>3386</v>
      </c>
      <c r="C647">
        <v>1</v>
      </c>
      <c r="D647">
        <v>1</v>
      </c>
    </row>
    <row r="648" spans="1:4">
      <c r="A648" s="2">
        <v>3388</v>
      </c>
      <c r="B648">
        <v>1</v>
      </c>
      <c r="D648">
        <v>1</v>
      </c>
    </row>
    <row r="649" spans="1:4">
      <c r="A649" s="2">
        <v>3389</v>
      </c>
      <c r="C649">
        <v>1</v>
      </c>
      <c r="D649">
        <v>1</v>
      </c>
    </row>
    <row r="650" spans="1:4">
      <c r="A650" s="2">
        <v>3403</v>
      </c>
      <c r="C650">
        <v>1</v>
      </c>
      <c r="D650">
        <v>1</v>
      </c>
    </row>
    <row r="651" spans="1:4">
      <c r="A651" s="2">
        <v>3406</v>
      </c>
      <c r="B651">
        <v>1</v>
      </c>
      <c r="D651">
        <v>1</v>
      </c>
    </row>
    <row r="652" spans="1:4">
      <c r="A652" s="2">
        <v>3409</v>
      </c>
      <c r="B652">
        <v>1</v>
      </c>
      <c r="D652">
        <v>1</v>
      </c>
    </row>
    <row r="653" spans="1:4">
      <c r="A653" s="2">
        <v>3412</v>
      </c>
      <c r="C653">
        <v>1</v>
      </c>
      <c r="D653">
        <v>1</v>
      </c>
    </row>
    <row r="654" spans="1:4">
      <c r="A654" s="2">
        <v>3421</v>
      </c>
      <c r="B654">
        <v>1</v>
      </c>
      <c r="D654">
        <v>1</v>
      </c>
    </row>
    <row r="655" spans="1:4">
      <c r="A655" s="2">
        <v>3422</v>
      </c>
      <c r="C655">
        <v>1</v>
      </c>
      <c r="D655">
        <v>1</v>
      </c>
    </row>
    <row r="656" spans="1:4">
      <c r="A656" s="2">
        <v>3426</v>
      </c>
      <c r="B656">
        <v>1</v>
      </c>
      <c r="D656">
        <v>1</v>
      </c>
    </row>
    <row r="657" spans="1:4">
      <c r="A657" s="2">
        <v>3427</v>
      </c>
      <c r="C657">
        <v>1</v>
      </c>
      <c r="D657">
        <v>1</v>
      </c>
    </row>
    <row r="658" spans="1:4">
      <c r="A658" s="2">
        <v>3428</v>
      </c>
      <c r="C658">
        <v>1</v>
      </c>
      <c r="D658">
        <v>1</v>
      </c>
    </row>
    <row r="659" spans="1:4">
      <c r="A659" s="2">
        <v>3433</v>
      </c>
      <c r="C659">
        <v>1</v>
      </c>
      <c r="D659">
        <v>1</v>
      </c>
    </row>
    <row r="660" spans="1:4">
      <c r="A660" s="2">
        <v>3434</v>
      </c>
      <c r="B660">
        <v>1</v>
      </c>
      <c r="D660">
        <v>1</v>
      </c>
    </row>
    <row r="661" spans="1:4">
      <c r="A661" s="2">
        <v>3436</v>
      </c>
      <c r="C661">
        <v>1</v>
      </c>
      <c r="D661">
        <v>1</v>
      </c>
    </row>
    <row r="662" spans="1:4">
      <c r="A662" s="2">
        <v>3439</v>
      </c>
      <c r="C662">
        <v>1</v>
      </c>
      <c r="D662">
        <v>1</v>
      </c>
    </row>
    <row r="663" spans="1:4">
      <c r="A663" s="2">
        <v>3445</v>
      </c>
      <c r="B663">
        <v>1</v>
      </c>
      <c r="D663">
        <v>1</v>
      </c>
    </row>
    <row r="664" spans="1:4">
      <c r="A664" s="2">
        <v>3463</v>
      </c>
      <c r="C664">
        <v>1</v>
      </c>
      <c r="D664">
        <v>1</v>
      </c>
    </row>
    <row r="665" spans="1:4">
      <c r="A665" s="2">
        <v>3469</v>
      </c>
      <c r="B665">
        <v>1</v>
      </c>
      <c r="D665">
        <v>1</v>
      </c>
    </row>
    <row r="666" spans="1:4">
      <c r="A666" s="2">
        <v>3478</v>
      </c>
      <c r="C666">
        <v>1</v>
      </c>
      <c r="D666">
        <v>1</v>
      </c>
    </row>
    <row r="667" spans="1:4">
      <c r="A667" s="2">
        <v>3479</v>
      </c>
      <c r="B667">
        <v>1</v>
      </c>
      <c r="D667">
        <v>1</v>
      </c>
    </row>
    <row r="668" spans="1:4">
      <c r="A668" s="2">
        <v>3483</v>
      </c>
      <c r="C668">
        <v>1</v>
      </c>
      <c r="D668">
        <v>1</v>
      </c>
    </row>
    <row r="669" spans="1:4">
      <c r="A669" s="2">
        <v>3491</v>
      </c>
      <c r="C669">
        <v>1</v>
      </c>
      <c r="D669">
        <v>1</v>
      </c>
    </row>
    <row r="670" spans="1:4">
      <c r="A670" s="2">
        <v>3498</v>
      </c>
      <c r="C670">
        <v>1</v>
      </c>
      <c r="D670">
        <v>1</v>
      </c>
    </row>
    <row r="671" spans="1:4">
      <c r="A671" s="2">
        <v>3503</v>
      </c>
      <c r="B671">
        <v>1</v>
      </c>
      <c r="D671">
        <v>1</v>
      </c>
    </row>
    <row r="672" spans="1:4">
      <c r="A672" s="2">
        <v>3507</v>
      </c>
      <c r="B672">
        <v>1</v>
      </c>
      <c r="D672">
        <v>1</v>
      </c>
    </row>
    <row r="673" spans="1:4">
      <c r="A673" s="2">
        <v>3515</v>
      </c>
      <c r="B673">
        <v>1</v>
      </c>
      <c r="D673">
        <v>1</v>
      </c>
    </row>
    <row r="674" spans="1:4">
      <c r="A674" s="2">
        <v>3517</v>
      </c>
      <c r="B674">
        <v>1</v>
      </c>
      <c r="D674">
        <v>1</v>
      </c>
    </row>
    <row r="675" spans="1:4">
      <c r="A675" s="2">
        <v>3518</v>
      </c>
      <c r="C675">
        <v>1</v>
      </c>
      <c r="D675">
        <v>1</v>
      </c>
    </row>
    <row r="676" spans="1:4">
      <c r="A676" s="2">
        <v>3520</v>
      </c>
      <c r="B676">
        <v>1</v>
      </c>
      <c r="D676">
        <v>1</v>
      </c>
    </row>
    <row r="677" spans="1:4">
      <c r="A677" s="2">
        <v>3523</v>
      </c>
      <c r="C677">
        <v>1</v>
      </c>
      <c r="D677">
        <v>1</v>
      </c>
    </row>
    <row r="678" spans="1:4">
      <c r="A678" s="2">
        <v>3524</v>
      </c>
      <c r="B678">
        <v>1</v>
      </c>
      <c r="D678">
        <v>1</v>
      </c>
    </row>
    <row r="679" spans="1:4">
      <c r="A679" s="2">
        <v>3525</v>
      </c>
      <c r="C679">
        <v>1</v>
      </c>
      <c r="D679">
        <v>1</v>
      </c>
    </row>
    <row r="680" spans="1:4">
      <c r="A680" s="2">
        <v>3526</v>
      </c>
      <c r="C680">
        <v>1</v>
      </c>
      <c r="D680">
        <v>1</v>
      </c>
    </row>
    <row r="681" spans="1:4">
      <c r="A681" s="2">
        <v>3535</v>
      </c>
      <c r="B681">
        <v>1</v>
      </c>
      <c r="D681">
        <v>1</v>
      </c>
    </row>
    <row r="682" spans="1:4">
      <c r="A682" s="2">
        <v>3536</v>
      </c>
      <c r="C682">
        <v>1</v>
      </c>
      <c r="D682">
        <v>1</v>
      </c>
    </row>
    <row r="683" spans="1:4">
      <c r="A683" s="2">
        <v>3537</v>
      </c>
      <c r="C683">
        <v>1</v>
      </c>
      <c r="D683">
        <v>1</v>
      </c>
    </row>
    <row r="684" spans="1:4">
      <c r="A684" s="2">
        <v>3547</v>
      </c>
      <c r="C684">
        <v>1</v>
      </c>
      <c r="D684">
        <v>1</v>
      </c>
    </row>
    <row r="685" spans="1:4">
      <c r="A685" s="2">
        <v>3551</v>
      </c>
      <c r="C685">
        <v>1</v>
      </c>
      <c r="D685">
        <v>1</v>
      </c>
    </row>
    <row r="686" spans="1:4">
      <c r="A686" s="2">
        <v>3559</v>
      </c>
      <c r="C686">
        <v>1</v>
      </c>
      <c r="D686">
        <v>1</v>
      </c>
    </row>
    <row r="687" spans="1:4">
      <c r="A687" s="2">
        <v>3570</v>
      </c>
      <c r="C687">
        <v>1</v>
      </c>
      <c r="D687">
        <v>1</v>
      </c>
    </row>
    <row r="688" spans="1:4">
      <c r="A688" s="2">
        <v>3578</v>
      </c>
      <c r="B688">
        <v>1</v>
      </c>
      <c r="D688">
        <v>1</v>
      </c>
    </row>
    <row r="689" spans="1:4">
      <c r="A689" s="2">
        <v>3584</v>
      </c>
      <c r="B689">
        <v>1</v>
      </c>
      <c r="D689">
        <v>1</v>
      </c>
    </row>
    <row r="690" spans="1:4">
      <c r="A690" s="2">
        <v>3594</v>
      </c>
      <c r="C690">
        <v>1</v>
      </c>
      <c r="D690">
        <v>1</v>
      </c>
    </row>
    <row r="691" spans="1:4">
      <c r="A691" s="2">
        <v>3595</v>
      </c>
      <c r="C691">
        <v>1</v>
      </c>
      <c r="D691">
        <v>1</v>
      </c>
    </row>
    <row r="692" spans="1:4">
      <c r="A692" s="2">
        <v>3598</v>
      </c>
      <c r="C692">
        <v>1</v>
      </c>
      <c r="D692">
        <v>1</v>
      </c>
    </row>
    <row r="693" spans="1:4">
      <c r="A693" s="2">
        <v>3599</v>
      </c>
      <c r="C693">
        <v>1</v>
      </c>
      <c r="D693">
        <v>1</v>
      </c>
    </row>
    <row r="694" spans="1:4">
      <c r="A694" s="2">
        <v>3602</v>
      </c>
      <c r="C694">
        <v>1</v>
      </c>
      <c r="D694">
        <v>1</v>
      </c>
    </row>
    <row r="695" spans="1:4">
      <c r="A695" s="2">
        <v>3619</v>
      </c>
      <c r="B695">
        <v>1</v>
      </c>
      <c r="D695">
        <v>1</v>
      </c>
    </row>
    <row r="696" spans="1:4">
      <c r="A696" s="2">
        <v>3623</v>
      </c>
      <c r="C696">
        <v>1</v>
      </c>
      <c r="D696">
        <v>1</v>
      </c>
    </row>
    <row r="697" spans="1:4">
      <c r="A697" s="2">
        <v>3628</v>
      </c>
      <c r="B697">
        <v>1</v>
      </c>
      <c r="D697">
        <v>1</v>
      </c>
    </row>
    <row r="698" spans="1:4">
      <c r="A698" s="2">
        <v>3629</v>
      </c>
      <c r="B698">
        <v>1</v>
      </c>
      <c r="D698">
        <v>1</v>
      </c>
    </row>
    <row r="699" spans="1:4">
      <c r="A699" s="2">
        <v>3635</v>
      </c>
      <c r="B699">
        <v>1</v>
      </c>
      <c r="D699">
        <v>1</v>
      </c>
    </row>
    <row r="700" spans="1:4">
      <c r="A700" s="2">
        <v>3641</v>
      </c>
      <c r="C700">
        <v>1</v>
      </c>
      <c r="D700">
        <v>1</v>
      </c>
    </row>
    <row r="701" spans="1:4">
      <c r="A701" s="2">
        <v>3643</v>
      </c>
      <c r="C701">
        <v>1</v>
      </c>
      <c r="D701">
        <v>1</v>
      </c>
    </row>
    <row r="702" spans="1:4">
      <c r="A702" s="2">
        <v>3645</v>
      </c>
      <c r="B702">
        <v>1</v>
      </c>
      <c r="D702">
        <v>1</v>
      </c>
    </row>
    <row r="703" spans="1:4">
      <c r="A703" s="2">
        <v>3657</v>
      </c>
      <c r="B703">
        <v>1</v>
      </c>
      <c r="D703">
        <v>1</v>
      </c>
    </row>
    <row r="704" spans="1:4">
      <c r="A704" s="2">
        <v>3661</v>
      </c>
      <c r="B704">
        <v>1</v>
      </c>
      <c r="D704">
        <v>1</v>
      </c>
    </row>
    <row r="705" spans="1:4">
      <c r="A705" s="2">
        <v>3665</v>
      </c>
      <c r="C705">
        <v>1</v>
      </c>
      <c r="D705">
        <v>1</v>
      </c>
    </row>
    <row r="706" spans="1:4">
      <c r="A706" s="2">
        <v>3667</v>
      </c>
      <c r="C706">
        <v>1</v>
      </c>
      <c r="D706">
        <v>1</v>
      </c>
    </row>
    <row r="707" spans="1:4">
      <c r="A707" s="2">
        <v>3673</v>
      </c>
      <c r="B707">
        <v>1</v>
      </c>
      <c r="D707">
        <v>1</v>
      </c>
    </row>
    <row r="708" spans="1:4">
      <c r="A708" s="2">
        <v>3678</v>
      </c>
      <c r="B708">
        <v>1</v>
      </c>
      <c r="D708">
        <v>1</v>
      </c>
    </row>
    <row r="709" spans="1:4">
      <c r="A709" s="2">
        <v>3690</v>
      </c>
      <c r="C709">
        <v>1</v>
      </c>
      <c r="D709">
        <v>1</v>
      </c>
    </row>
    <row r="710" spans="1:4">
      <c r="A710" s="2">
        <v>3696</v>
      </c>
      <c r="B710">
        <v>1</v>
      </c>
      <c r="D710">
        <v>1</v>
      </c>
    </row>
    <row r="711" spans="1:4">
      <c r="A711" s="2">
        <v>3697</v>
      </c>
      <c r="C711">
        <v>1</v>
      </c>
      <c r="D711">
        <v>1</v>
      </c>
    </row>
    <row r="712" spans="1:4">
      <c r="A712" s="2">
        <v>3698</v>
      </c>
      <c r="C712">
        <v>1</v>
      </c>
      <c r="D712">
        <v>1</v>
      </c>
    </row>
    <row r="713" spans="1:4">
      <c r="A713" s="2">
        <v>3706</v>
      </c>
      <c r="B713">
        <v>1</v>
      </c>
      <c r="D713">
        <v>1</v>
      </c>
    </row>
    <row r="714" spans="1:4">
      <c r="A714" s="2">
        <v>3710</v>
      </c>
      <c r="B714">
        <v>1</v>
      </c>
      <c r="D714">
        <v>1</v>
      </c>
    </row>
    <row r="715" spans="1:4">
      <c r="A715" s="2">
        <v>3711</v>
      </c>
      <c r="C715">
        <v>1</v>
      </c>
      <c r="D715">
        <v>1</v>
      </c>
    </row>
    <row r="716" spans="1:4">
      <c r="A716" s="2">
        <v>3712</v>
      </c>
      <c r="B716">
        <v>1</v>
      </c>
      <c r="D716">
        <v>1</v>
      </c>
    </row>
    <row r="717" spans="1:4">
      <c r="A717" s="2">
        <v>3717</v>
      </c>
      <c r="C717">
        <v>1</v>
      </c>
      <c r="D717">
        <v>1</v>
      </c>
    </row>
    <row r="718" spans="1:4">
      <c r="A718" s="2">
        <v>3722</v>
      </c>
      <c r="B718">
        <v>1</v>
      </c>
      <c r="D718">
        <v>1</v>
      </c>
    </row>
    <row r="719" spans="1:4">
      <c r="A719" s="2">
        <v>3725</v>
      </c>
      <c r="B719">
        <v>1</v>
      </c>
      <c r="D719">
        <v>1</v>
      </c>
    </row>
    <row r="720" spans="1:4">
      <c r="A720" s="2">
        <v>3726</v>
      </c>
      <c r="C720">
        <v>1</v>
      </c>
      <c r="D720">
        <v>1</v>
      </c>
    </row>
    <row r="721" spans="1:4">
      <c r="A721" s="2">
        <v>3732</v>
      </c>
      <c r="C721">
        <v>1</v>
      </c>
      <c r="D721">
        <v>1</v>
      </c>
    </row>
    <row r="722" spans="1:4">
      <c r="A722" s="2">
        <v>3745</v>
      </c>
      <c r="C722">
        <v>1</v>
      </c>
      <c r="D722">
        <v>1</v>
      </c>
    </row>
    <row r="723" spans="1:4">
      <c r="A723" s="2">
        <v>3749</v>
      </c>
      <c r="C723">
        <v>1</v>
      </c>
      <c r="D723">
        <v>1</v>
      </c>
    </row>
    <row r="724" spans="1:4">
      <c r="A724" s="2">
        <v>3759</v>
      </c>
      <c r="C724">
        <v>1</v>
      </c>
      <c r="D724">
        <v>1</v>
      </c>
    </row>
    <row r="725" spans="1:4">
      <c r="A725" s="2">
        <v>3762</v>
      </c>
      <c r="B725">
        <v>1</v>
      </c>
      <c r="D725">
        <v>1</v>
      </c>
    </row>
    <row r="726" spans="1:4">
      <c r="A726" s="2">
        <v>3766</v>
      </c>
      <c r="B726">
        <v>1</v>
      </c>
      <c r="D726">
        <v>1</v>
      </c>
    </row>
    <row r="727" spans="1:4">
      <c r="A727" s="2">
        <v>3767</v>
      </c>
      <c r="C727">
        <v>1</v>
      </c>
      <c r="D727">
        <v>1</v>
      </c>
    </row>
    <row r="728" spans="1:4">
      <c r="A728" s="2">
        <v>3783</v>
      </c>
      <c r="C728">
        <v>1</v>
      </c>
      <c r="D728">
        <v>1</v>
      </c>
    </row>
    <row r="729" spans="1:4">
      <c r="A729" s="2">
        <v>3790</v>
      </c>
      <c r="C729">
        <v>1</v>
      </c>
      <c r="D729">
        <v>1</v>
      </c>
    </row>
    <row r="730" spans="1:4">
      <c r="A730" s="2">
        <v>3798</v>
      </c>
      <c r="C730">
        <v>1</v>
      </c>
      <c r="D730">
        <v>1</v>
      </c>
    </row>
    <row r="731" spans="1:4">
      <c r="A731" s="2">
        <v>3799</v>
      </c>
      <c r="C731">
        <v>1</v>
      </c>
      <c r="D731">
        <v>1</v>
      </c>
    </row>
    <row r="732" spans="1:4">
      <c r="A732" s="2">
        <v>3807</v>
      </c>
      <c r="C732">
        <v>1</v>
      </c>
      <c r="D732">
        <v>1</v>
      </c>
    </row>
    <row r="733" spans="1:4">
      <c r="A733" s="2">
        <v>3828</v>
      </c>
      <c r="C733">
        <v>1</v>
      </c>
      <c r="D733">
        <v>1</v>
      </c>
    </row>
    <row r="734" spans="1:4">
      <c r="A734" s="2">
        <v>3829</v>
      </c>
      <c r="C734">
        <v>1</v>
      </c>
      <c r="D734">
        <v>1</v>
      </c>
    </row>
    <row r="735" spans="1:4">
      <c r="A735" s="2">
        <v>3830</v>
      </c>
      <c r="C735">
        <v>1</v>
      </c>
      <c r="D735">
        <v>1</v>
      </c>
    </row>
    <row r="736" spans="1:4">
      <c r="A736" s="2">
        <v>3834</v>
      </c>
      <c r="B736">
        <v>1</v>
      </c>
      <c r="D736">
        <v>1</v>
      </c>
    </row>
    <row r="737" spans="1:4">
      <c r="A737" s="2">
        <v>3839</v>
      </c>
      <c r="B737">
        <v>1</v>
      </c>
      <c r="D737">
        <v>1</v>
      </c>
    </row>
    <row r="738" spans="1:4">
      <c r="A738" s="2">
        <v>3846</v>
      </c>
      <c r="C738">
        <v>1</v>
      </c>
      <c r="D738">
        <v>1</v>
      </c>
    </row>
    <row r="739" spans="1:4">
      <c r="A739" s="2">
        <v>3850</v>
      </c>
      <c r="C739">
        <v>1</v>
      </c>
      <c r="D739">
        <v>1</v>
      </c>
    </row>
    <row r="740" spans="1:4">
      <c r="A740" s="2">
        <v>3855</v>
      </c>
      <c r="C740">
        <v>1</v>
      </c>
      <c r="D740">
        <v>1</v>
      </c>
    </row>
    <row r="741" spans="1:4">
      <c r="A741" s="2">
        <v>3856</v>
      </c>
      <c r="C741">
        <v>1</v>
      </c>
      <c r="D741">
        <v>1</v>
      </c>
    </row>
    <row r="742" spans="1:4">
      <c r="A742" s="2">
        <v>3859</v>
      </c>
      <c r="C742">
        <v>1</v>
      </c>
      <c r="D742">
        <v>1</v>
      </c>
    </row>
    <row r="743" spans="1:4">
      <c r="A743" s="2">
        <v>3865</v>
      </c>
      <c r="C743">
        <v>1</v>
      </c>
      <c r="D743">
        <v>1</v>
      </c>
    </row>
    <row r="744" spans="1:4">
      <c r="A744" s="2">
        <v>3870</v>
      </c>
      <c r="C744">
        <v>1</v>
      </c>
      <c r="D744">
        <v>1</v>
      </c>
    </row>
    <row r="745" spans="1:4">
      <c r="A745" s="2">
        <v>3878</v>
      </c>
      <c r="B745">
        <v>1</v>
      </c>
      <c r="D745">
        <v>1</v>
      </c>
    </row>
    <row r="746" spans="1:4">
      <c r="A746" s="2">
        <v>3885</v>
      </c>
      <c r="C746">
        <v>1</v>
      </c>
      <c r="D746">
        <v>1</v>
      </c>
    </row>
    <row r="747" spans="1:4">
      <c r="A747" s="2">
        <v>3887</v>
      </c>
      <c r="B747">
        <v>1</v>
      </c>
      <c r="D747">
        <v>1</v>
      </c>
    </row>
    <row r="748" spans="1:4">
      <c r="A748" s="2">
        <v>3896</v>
      </c>
      <c r="C748">
        <v>1</v>
      </c>
      <c r="D748">
        <v>1</v>
      </c>
    </row>
    <row r="749" spans="1:4">
      <c r="A749" s="2">
        <v>3900</v>
      </c>
      <c r="C749">
        <v>1</v>
      </c>
      <c r="D749">
        <v>1</v>
      </c>
    </row>
    <row r="750" spans="1:4">
      <c r="A750" s="2">
        <v>3910</v>
      </c>
      <c r="B750">
        <v>1</v>
      </c>
      <c r="D750">
        <v>1</v>
      </c>
    </row>
    <row r="751" spans="1:4">
      <c r="A751" s="2">
        <v>3916</v>
      </c>
      <c r="C751">
        <v>1</v>
      </c>
      <c r="D751">
        <v>1</v>
      </c>
    </row>
    <row r="752" spans="1:4">
      <c r="A752" s="2">
        <v>3919</v>
      </c>
      <c r="B752">
        <v>1</v>
      </c>
      <c r="D752">
        <v>1</v>
      </c>
    </row>
    <row r="753" spans="1:4">
      <c r="A753" s="2">
        <v>3921</v>
      </c>
      <c r="B753">
        <v>1</v>
      </c>
      <c r="D753">
        <v>1</v>
      </c>
    </row>
    <row r="754" spans="1:4">
      <c r="A754" s="2">
        <v>3924</v>
      </c>
      <c r="B754">
        <v>1</v>
      </c>
      <c r="D754">
        <v>1</v>
      </c>
    </row>
    <row r="755" spans="1:4">
      <c r="A755" s="2">
        <v>3933</v>
      </c>
      <c r="C755">
        <v>1</v>
      </c>
      <c r="D755">
        <v>1</v>
      </c>
    </row>
    <row r="756" spans="1:4">
      <c r="A756" s="2">
        <v>3945</v>
      </c>
      <c r="B756">
        <v>1</v>
      </c>
      <c r="D756">
        <v>1</v>
      </c>
    </row>
    <row r="757" spans="1:4">
      <c r="A757" s="2">
        <v>3955</v>
      </c>
      <c r="B757">
        <v>1</v>
      </c>
      <c r="D757">
        <v>1</v>
      </c>
    </row>
    <row r="758" spans="1:4">
      <c r="A758" s="2">
        <v>3967</v>
      </c>
      <c r="C758">
        <v>1</v>
      </c>
      <c r="D758">
        <v>1</v>
      </c>
    </row>
    <row r="759" spans="1:4">
      <c r="A759" s="2">
        <v>3968</v>
      </c>
      <c r="B759">
        <v>1</v>
      </c>
      <c r="D759">
        <v>1</v>
      </c>
    </row>
    <row r="760" spans="1:4">
      <c r="A760" s="2">
        <v>3969</v>
      </c>
      <c r="C760">
        <v>1</v>
      </c>
      <c r="D760">
        <v>1</v>
      </c>
    </row>
    <row r="761" spans="1:4">
      <c r="A761" s="2">
        <v>3972</v>
      </c>
      <c r="C761">
        <v>1</v>
      </c>
      <c r="D761">
        <v>1</v>
      </c>
    </row>
    <row r="762" spans="1:4">
      <c r="A762" s="2">
        <v>3979</v>
      </c>
      <c r="B762">
        <v>1</v>
      </c>
      <c r="D762">
        <v>1</v>
      </c>
    </row>
    <row r="763" spans="1:4">
      <c r="A763" s="2">
        <v>4001</v>
      </c>
      <c r="C763">
        <v>1</v>
      </c>
      <c r="D763">
        <v>1</v>
      </c>
    </row>
    <row r="764" spans="1:4">
      <c r="A764" s="2">
        <v>4002</v>
      </c>
      <c r="C764">
        <v>1</v>
      </c>
      <c r="D764">
        <v>1</v>
      </c>
    </row>
    <row r="765" spans="1:4">
      <c r="A765" s="2">
        <v>4012</v>
      </c>
      <c r="C765">
        <v>1</v>
      </c>
      <c r="D765">
        <v>1</v>
      </c>
    </row>
    <row r="766" spans="1:4">
      <c r="A766" s="2">
        <v>4023</v>
      </c>
      <c r="C766">
        <v>1</v>
      </c>
      <c r="D766">
        <v>1</v>
      </c>
    </row>
    <row r="767" spans="1:4">
      <c r="A767" s="2">
        <v>4037</v>
      </c>
      <c r="B767">
        <v>1</v>
      </c>
      <c r="D767">
        <v>1</v>
      </c>
    </row>
    <row r="768" spans="1:4">
      <c r="A768" s="2">
        <v>4042</v>
      </c>
      <c r="B768">
        <v>1</v>
      </c>
      <c r="D768">
        <v>1</v>
      </c>
    </row>
    <row r="769" spans="1:4">
      <c r="A769" s="2">
        <v>4047</v>
      </c>
      <c r="C769">
        <v>1</v>
      </c>
      <c r="D769">
        <v>1</v>
      </c>
    </row>
    <row r="770" spans="1:4">
      <c r="A770" s="2">
        <v>4050</v>
      </c>
      <c r="C770">
        <v>1</v>
      </c>
      <c r="D770">
        <v>1</v>
      </c>
    </row>
    <row r="771" spans="1:4">
      <c r="A771" s="2">
        <v>4055</v>
      </c>
      <c r="B771">
        <v>1</v>
      </c>
      <c r="D771">
        <v>1</v>
      </c>
    </row>
    <row r="772" spans="1:4">
      <c r="A772" s="2">
        <v>4058</v>
      </c>
      <c r="B772">
        <v>1</v>
      </c>
      <c r="D772">
        <v>1</v>
      </c>
    </row>
    <row r="773" spans="1:4">
      <c r="A773" s="2">
        <v>4065</v>
      </c>
      <c r="C773">
        <v>1</v>
      </c>
      <c r="D773">
        <v>1</v>
      </c>
    </row>
    <row r="774" spans="1:4">
      <c r="A774" s="2">
        <v>4066</v>
      </c>
      <c r="B774">
        <v>1</v>
      </c>
      <c r="D774">
        <v>1</v>
      </c>
    </row>
    <row r="775" spans="1:4">
      <c r="A775" s="2">
        <v>4070</v>
      </c>
      <c r="C775">
        <v>1</v>
      </c>
      <c r="D775">
        <v>1</v>
      </c>
    </row>
    <row r="776" spans="1:4">
      <c r="A776" s="2">
        <v>4073</v>
      </c>
      <c r="C776">
        <v>1</v>
      </c>
      <c r="D776">
        <v>1</v>
      </c>
    </row>
    <row r="777" spans="1:4">
      <c r="A777" s="2">
        <v>4084</v>
      </c>
      <c r="C777">
        <v>1</v>
      </c>
      <c r="D777">
        <v>1</v>
      </c>
    </row>
    <row r="778" spans="1:4">
      <c r="A778" s="2">
        <v>4086</v>
      </c>
      <c r="C778">
        <v>1</v>
      </c>
      <c r="D778">
        <v>1</v>
      </c>
    </row>
    <row r="779" spans="1:4">
      <c r="A779" s="2">
        <v>4088</v>
      </c>
      <c r="C779">
        <v>1</v>
      </c>
      <c r="D779">
        <v>1</v>
      </c>
    </row>
    <row r="780" spans="1:4">
      <c r="A780" s="2">
        <v>4093</v>
      </c>
      <c r="C780">
        <v>1</v>
      </c>
      <c r="D780">
        <v>1</v>
      </c>
    </row>
    <row r="781" spans="1:4">
      <c r="A781" s="2">
        <v>4094</v>
      </c>
      <c r="C781">
        <v>1</v>
      </c>
      <c r="D781">
        <v>1</v>
      </c>
    </row>
    <row r="782" spans="1:4">
      <c r="A782" s="2">
        <v>4095</v>
      </c>
      <c r="C782">
        <v>1</v>
      </c>
      <c r="D782">
        <v>1</v>
      </c>
    </row>
    <row r="783" spans="1:4">
      <c r="A783" s="2">
        <v>4098</v>
      </c>
      <c r="C783">
        <v>1</v>
      </c>
      <c r="D783">
        <v>1</v>
      </c>
    </row>
    <row r="784" spans="1:4">
      <c r="A784" s="2">
        <v>4099</v>
      </c>
      <c r="C784">
        <v>1</v>
      </c>
      <c r="D784">
        <v>1</v>
      </c>
    </row>
    <row r="785" spans="1:4">
      <c r="A785" s="2">
        <v>4107</v>
      </c>
      <c r="C785">
        <v>1</v>
      </c>
      <c r="D785">
        <v>1</v>
      </c>
    </row>
    <row r="786" spans="1:4">
      <c r="A786" s="2">
        <v>4114</v>
      </c>
      <c r="C786">
        <v>1</v>
      </c>
      <c r="D786">
        <v>1</v>
      </c>
    </row>
    <row r="787" spans="1:4">
      <c r="A787" s="2">
        <v>4120</v>
      </c>
      <c r="B787">
        <v>1</v>
      </c>
      <c r="D787">
        <v>1</v>
      </c>
    </row>
    <row r="788" spans="1:4">
      <c r="A788" s="2">
        <v>4122</v>
      </c>
      <c r="C788">
        <v>1</v>
      </c>
      <c r="D788">
        <v>1</v>
      </c>
    </row>
    <row r="789" spans="1:4">
      <c r="A789" s="2">
        <v>4127</v>
      </c>
      <c r="C789">
        <v>1</v>
      </c>
      <c r="D789">
        <v>1</v>
      </c>
    </row>
    <row r="790" spans="1:4">
      <c r="A790" s="2">
        <v>4128</v>
      </c>
      <c r="C790">
        <v>1</v>
      </c>
      <c r="D790">
        <v>1</v>
      </c>
    </row>
    <row r="791" spans="1:4">
      <c r="A791" s="2">
        <v>4136</v>
      </c>
      <c r="B791">
        <v>1</v>
      </c>
      <c r="D791">
        <v>1</v>
      </c>
    </row>
    <row r="792" spans="1:4">
      <c r="A792" s="2">
        <v>4137</v>
      </c>
      <c r="C792">
        <v>1</v>
      </c>
      <c r="D792">
        <v>1</v>
      </c>
    </row>
    <row r="793" spans="1:4">
      <c r="A793" s="2">
        <v>4138</v>
      </c>
      <c r="B793">
        <v>1</v>
      </c>
      <c r="D793">
        <v>1</v>
      </c>
    </row>
    <row r="794" spans="1:4">
      <c r="A794" s="2">
        <v>4141</v>
      </c>
      <c r="C794">
        <v>1</v>
      </c>
      <c r="D794">
        <v>1</v>
      </c>
    </row>
    <row r="795" spans="1:4">
      <c r="A795" s="2">
        <v>4148</v>
      </c>
      <c r="C795">
        <v>1</v>
      </c>
      <c r="D795">
        <v>1</v>
      </c>
    </row>
    <row r="796" spans="1:4">
      <c r="A796" s="2">
        <v>4149</v>
      </c>
      <c r="C796">
        <v>1</v>
      </c>
      <c r="D796">
        <v>1</v>
      </c>
    </row>
    <row r="797" spans="1:4">
      <c r="A797" s="2">
        <v>4168</v>
      </c>
      <c r="B797">
        <v>1</v>
      </c>
      <c r="D797">
        <v>1</v>
      </c>
    </row>
    <row r="798" spans="1:4">
      <c r="A798" s="2">
        <v>4174</v>
      </c>
      <c r="C798">
        <v>1</v>
      </c>
      <c r="D798">
        <v>1</v>
      </c>
    </row>
    <row r="799" spans="1:4">
      <c r="A799" s="2">
        <v>4179</v>
      </c>
      <c r="C799">
        <v>1</v>
      </c>
      <c r="D799">
        <v>1</v>
      </c>
    </row>
    <row r="800" spans="1:4">
      <c r="A800" s="2">
        <v>4184</v>
      </c>
      <c r="C800">
        <v>1</v>
      </c>
      <c r="D800">
        <v>1</v>
      </c>
    </row>
    <row r="801" spans="1:4">
      <c r="A801" s="2">
        <v>4188</v>
      </c>
      <c r="B801">
        <v>1</v>
      </c>
      <c r="D801">
        <v>1</v>
      </c>
    </row>
    <row r="802" spans="1:4">
      <c r="A802" s="2">
        <v>4198</v>
      </c>
      <c r="C802">
        <v>1</v>
      </c>
      <c r="D802">
        <v>1</v>
      </c>
    </row>
    <row r="803" spans="1:4">
      <c r="A803" s="2">
        <v>4200</v>
      </c>
      <c r="C803">
        <v>1</v>
      </c>
      <c r="D803">
        <v>1</v>
      </c>
    </row>
    <row r="804" spans="1:4">
      <c r="A804" s="2">
        <v>4201</v>
      </c>
      <c r="B804">
        <v>1</v>
      </c>
      <c r="D804">
        <v>1</v>
      </c>
    </row>
    <row r="805" spans="1:4">
      <c r="A805" s="2">
        <v>4207</v>
      </c>
      <c r="C805">
        <v>1</v>
      </c>
      <c r="D805">
        <v>1</v>
      </c>
    </row>
    <row r="806" spans="1:4">
      <c r="A806" s="2">
        <v>4216</v>
      </c>
      <c r="B806">
        <v>1</v>
      </c>
      <c r="D806">
        <v>1</v>
      </c>
    </row>
    <row r="807" spans="1:4">
      <c r="A807" s="2">
        <v>4220</v>
      </c>
      <c r="C807">
        <v>1</v>
      </c>
      <c r="D807">
        <v>1</v>
      </c>
    </row>
    <row r="808" spans="1:4">
      <c r="A808" s="2">
        <v>4227</v>
      </c>
      <c r="C808">
        <v>1</v>
      </c>
      <c r="D808">
        <v>1</v>
      </c>
    </row>
    <row r="809" spans="1:4">
      <c r="A809" s="2">
        <v>4240</v>
      </c>
      <c r="C809">
        <v>1</v>
      </c>
      <c r="D809">
        <v>1</v>
      </c>
    </row>
    <row r="810" spans="1:4">
      <c r="A810" s="2">
        <v>4246</v>
      </c>
      <c r="B810">
        <v>1</v>
      </c>
      <c r="D810">
        <v>1</v>
      </c>
    </row>
    <row r="811" spans="1:4">
      <c r="A811" s="2">
        <v>4248</v>
      </c>
      <c r="B811">
        <v>1</v>
      </c>
      <c r="D811">
        <v>1</v>
      </c>
    </row>
    <row r="812" spans="1:4">
      <c r="A812" s="2">
        <v>4252</v>
      </c>
      <c r="C812">
        <v>1</v>
      </c>
      <c r="D812">
        <v>1</v>
      </c>
    </row>
    <row r="813" spans="1:4">
      <c r="A813" s="2">
        <v>4259</v>
      </c>
      <c r="B813">
        <v>1</v>
      </c>
      <c r="D813">
        <v>1</v>
      </c>
    </row>
    <row r="814" spans="1:4">
      <c r="A814" s="2">
        <v>4268</v>
      </c>
      <c r="C814">
        <v>1</v>
      </c>
      <c r="D814">
        <v>1</v>
      </c>
    </row>
    <row r="815" spans="1:4">
      <c r="A815" s="2">
        <v>4271</v>
      </c>
      <c r="C815">
        <v>1</v>
      </c>
      <c r="D815">
        <v>1</v>
      </c>
    </row>
    <row r="816" spans="1:4">
      <c r="A816" s="2">
        <v>4278</v>
      </c>
      <c r="B816">
        <v>1</v>
      </c>
      <c r="D816">
        <v>1</v>
      </c>
    </row>
    <row r="817" spans="1:4">
      <c r="A817" s="2">
        <v>4279</v>
      </c>
      <c r="B817">
        <v>1</v>
      </c>
      <c r="D817">
        <v>1</v>
      </c>
    </row>
    <row r="818" spans="1:4">
      <c r="A818" s="2">
        <v>4286</v>
      </c>
      <c r="B818">
        <v>1</v>
      </c>
      <c r="D818">
        <v>1</v>
      </c>
    </row>
    <row r="819" spans="1:4">
      <c r="A819" s="2">
        <v>4290</v>
      </c>
      <c r="C819">
        <v>1</v>
      </c>
      <c r="D819">
        <v>1</v>
      </c>
    </row>
    <row r="820" spans="1:4">
      <c r="A820" s="2">
        <v>4297</v>
      </c>
      <c r="C820">
        <v>1</v>
      </c>
      <c r="D820">
        <v>1</v>
      </c>
    </row>
    <row r="821" spans="1:4">
      <c r="A821" s="2">
        <v>4298</v>
      </c>
      <c r="C821">
        <v>1</v>
      </c>
      <c r="D821">
        <v>1</v>
      </c>
    </row>
    <row r="822" spans="1:4">
      <c r="A822" s="2">
        <v>4299</v>
      </c>
      <c r="C822">
        <v>1</v>
      </c>
      <c r="D822">
        <v>1</v>
      </c>
    </row>
    <row r="823" spans="1:4">
      <c r="A823" s="2">
        <v>4303</v>
      </c>
      <c r="C823">
        <v>1</v>
      </c>
      <c r="D823">
        <v>1</v>
      </c>
    </row>
    <row r="824" spans="1:4">
      <c r="A824" s="2">
        <v>4310</v>
      </c>
      <c r="C824">
        <v>1</v>
      </c>
      <c r="D824">
        <v>1</v>
      </c>
    </row>
    <row r="825" spans="1:4">
      <c r="A825" s="2">
        <v>4320</v>
      </c>
      <c r="B825">
        <v>1</v>
      </c>
      <c r="D825">
        <v>1</v>
      </c>
    </row>
    <row r="826" spans="1:4">
      <c r="A826" s="2">
        <v>4322</v>
      </c>
      <c r="C826">
        <v>1</v>
      </c>
      <c r="D826">
        <v>1</v>
      </c>
    </row>
    <row r="827" spans="1:4">
      <c r="A827" s="2">
        <v>4324</v>
      </c>
      <c r="C827">
        <v>1</v>
      </c>
      <c r="D827">
        <v>1</v>
      </c>
    </row>
    <row r="828" spans="1:4">
      <c r="A828" s="2">
        <v>4328</v>
      </c>
      <c r="C828">
        <v>1</v>
      </c>
      <c r="D828">
        <v>1</v>
      </c>
    </row>
    <row r="829" spans="1:4">
      <c r="A829" s="2">
        <v>4329</v>
      </c>
      <c r="C829">
        <v>1</v>
      </c>
      <c r="D829">
        <v>1</v>
      </c>
    </row>
    <row r="830" spans="1:4">
      <c r="A830" s="2">
        <v>4331</v>
      </c>
      <c r="C830">
        <v>1</v>
      </c>
      <c r="D830">
        <v>1</v>
      </c>
    </row>
    <row r="831" spans="1:4">
      <c r="A831" s="2">
        <v>4333</v>
      </c>
      <c r="C831">
        <v>1</v>
      </c>
      <c r="D831">
        <v>1</v>
      </c>
    </row>
    <row r="832" spans="1:4">
      <c r="A832" s="2">
        <v>4338</v>
      </c>
      <c r="B832">
        <v>1</v>
      </c>
      <c r="D832">
        <v>1</v>
      </c>
    </row>
    <row r="833" spans="1:4">
      <c r="A833" s="2">
        <v>4339</v>
      </c>
      <c r="C833">
        <v>1</v>
      </c>
      <c r="D833">
        <v>1</v>
      </c>
    </row>
    <row r="834" spans="1:4">
      <c r="A834" s="2">
        <v>4351</v>
      </c>
      <c r="B834">
        <v>1</v>
      </c>
      <c r="D834">
        <v>1</v>
      </c>
    </row>
    <row r="835" spans="1:4">
      <c r="A835" s="2">
        <v>4356</v>
      </c>
      <c r="C835">
        <v>1</v>
      </c>
      <c r="D835">
        <v>1</v>
      </c>
    </row>
    <row r="836" spans="1:4">
      <c r="A836" s="2">
        <v>4368</v>
      </c>
      <c r="C836">
        <v>1</v>
      </c>
      <c r="D836">
        <v>1</v>
      </c>
    </row>
    <row r="837" spans="1:4">
      <c r="A837" s="2">
        <v>4369</v>
      </c>
      <c r="B837">
        <v>1</v>
      </c>
      <c r="D837">
        <v>1</v>
      </c>
    </row>
    <row r="838" spans="1:4">
      <c r="A838" s="2">
        <v>4370</v>
      </c>
      <c r="C838">
        <v>1</v>
      </c>
      <c r="D838">
        <v>1</v>
      </c>
    </row>
    <row r="839" spans="1:4">
      <c r="A839" s="2">
        <v>4376</v>
      </c>
      <c r="B839">
        <v>1</v>
      </c>
      <c r="D839">
        <v>1</v>
      </c>
    </row>
    <row r="840" spans="1:4">
      <c r="A840" s="2">
        <v>4377</v>
      </c>
      <c r="C840">
        <v>1</v>
      </c>
      <c r="D840">
        <v>1</v>
      </c>
    </row>
    <row r="841" spans="1:4">
      <c r="A841" s="2">
        <v>4381</v>
      </c>
      <c r="C841">
        <v>1</v>
      </c>
      <c r="D841">
        <v>1</v>
      </c>
    </row>
    <row r="842" spans="1:4">
      <c r="A842" s="2">
        <v>4385</v>
      </c>
      <c r="B842">
        <v>1</v>
      </c>
      <c r="D842">
        <v>1</v>
      </c>
    </row>
    <row r="843" spans="1:4">
      <c r="A843" s="2">
        <v>4390</v>
      </c>
      <c r="C843">
        <v>1</v>
      </c>
      <c r="D843">
        <v>1</v>
      </c>
    </row>
    <row r="844" spans="1:4">
      <c r="A844" s="2">
        <v>4394</v>
      </c>
      <c r="C844">
        <v>1</v>
      </c>
      <c r="D844">
        <v>1</v>
      </c>
    </row>
    <row r="845" spans="1:4">
      <c r="A845" s="2">
        <v>4399</v>
      </c>
      <c r="C845">
        <v>1</v>
      </c>
      <c r="D845">
        <v>1</v>
      </c>
    </row>
    <row r="846" spans="1:4">
      <c r="A846" s="2">
        <v>4405</v>
      </c>
      <c r="C846">
        <v>1</v>
      </c>
      <c r="D846">
        <v>1</v>
      </c>
    </row>
    <row r="847" spans="1:4">
      <c r="A847" s="2">
        <v>4406</v>
      </c>
      <c r="C847">
        <v>1</v>
      </c>
      <c r="D847">
        <v>1</v>
      </c>
    </row>
    <row r="848" spans="1:4">
      <c r="A848" s="2">
        <v>4415</v>
      </c>
      <c r="C848">
        <v>1</v>
      </c>
      <c r="D848">
        <v>1</v>
      </c>
    </row>
    <row r="849" spans="1:4">
      <c r="A849" s="2">
        <v>4418</v>
      </c>
      <c r="B849">
        <v>1</v>
      </c>
      <c r="D849">
        <v>1</v>
      </c>
    </row>
    <row r="850" spans="1:4">
      <c r="A850" s="2">
        <v>4426</v>
      </c>
      <c r="B850">
        <v>1</v>
      </c>
      <c r="D850">
        <v>1</v>
      </c>
    </row>
    <row r="851" spans="1:4">
      <c r="A851" s="2">
        <v>4427</v>
      </c>
      <c r="B851">
        <v>1</v>
      </c>
      <c r="D851">
        <v>1</v>
      </c>
    </row>
    <row r="852" spans="1:4">
      <c r="A852" s="2">
        <v>4432</v>
      </c>
      <c r="B852">
        <v>1</v>
      </c>
      <c r="D852">
        <v>1</v>
      </c>
    </row>
    <row r="853" spans="1:4">
      <c r="A853" s="2">
        <v>4437</v>
      </c>
      <c r="C853">
        <v>1</v>
      </c>
      <c r="D853">
        <v>1</v>
      </c>
    </row>
    <row r="854" spans="1:4">
      <c r="A854" s="2">
        <v>4440</v>
      </c>
      <c r="C854">
        <v>1</v>
      </c>
      <c r="D854">
        <v>1</v>
      </c>
    </row>
    <row r="855" spans="1:4">
      <c r="A855" s="2">
        <v>4442</v>
      </c>
      <c r="B855">
        <v>1</v>
      </c>
      <c r="D855">
        <v>1</v>
      </c>
    </row>
    <row r="856" spans="1:4">
      <c r="A856" s="2">
        <v>4444</v>
      </c>
      <c r="C856">
        <v>1</v>
      </c>
      <c r="D856">
        <v>1</v>
      </c>
    </row>
    <row r="857" spans="1:4">
      <c r="A857" s="2">
        <v>4452</v>
      </c>
      <c r="B857">
        <v>1</v>
      </c>
      <c r="D857">
        <v>1</v>
      </c>
    </row>
    <row r="858" spans="1:4">
      <c r="A858" s="2">
        <v>4459</v>
      </c>
      <c r="B858">
        <v>1</v>
      </c>
      <c r="D858">
        <v>1</v>
      </c>
    </row>
    <row r="859" spans="1:4">
      <c r="A859" s="2">
        <v>4470</v>
      </c>
      <c r="C859">
        <v>1</v>
      </c>
      <c r="D859">
        <v>1</v>
      </c>
    </row>
    <row r="860" spans="1:4">
      <c r="A860" s="2">
        <v>4472</v>
      </c>
      <c r="B860">
        <v>1</v>
      </c>
      <c r="D860">
        <v>1</v>
      </c>
    </row>
    <row r="861" spans="1:4">
      <c r="A861" s="2">
        <v>4475</v>
      </c>
      <c r="C861">
        <v>1</v>
      </c>
      <c r="D861">
        <v>1</v>
      </c>
    </row>
    <row r="862" spans="1:4">
      <c r="A862" s="2">
        <v>4477</v>
      </c>
      <c r="C862">
        <v>1</v>
      </c>
      <c r="D862">
        <v>1</v>
      </c>
    </row>
    <row r="863" spans="1:4">
      <c r="A863" s="2">
        <v>4478</v>
      </c>
      <c r="C863">
        <v>1</v>
      </c>
      <c r="D863">
        <v>1</v>
      </c>
    </row>
    <row r="864" spans="1:4">
      <c r="A864" s="2">
        <v>4480</v>
      </c>
      <c r="C864">
        <v>1</v>
      </c>
      <c r="D864">
        <v>1</v>
      </c>
    </row>
    <row r="865" spans="1:4">
      <c r="A865" s="2">
        <v>4483</v>
      </c>
      <c r="B865">
        <v>1</v>
      </c>
      <c r="D865">
        <v>1</v>
      </c>
    </row>
    <row r="866" spans="1:4">
      <c r="A866" s="2">
        <v>4487</v>
      </c>
      <c r="B866">
        <v>1</v>
      </c>
      <c r="D866">
        <v>1</v>
      </c>
    </row>
    <row r="867" spans="1:4">
      <c r="A867" s="2">
        <v>4501</v>
      </c>
      <c r="B867">
        <v>1</v>
      </c>
      <c r="D867">
        <v>1</v>
      </c>
    </row>
    <row r="868" spans="1:4">
      <c r="A868" s="2">
        <v>4507</v>
      </c>
      <c r="B868">
        <v>1</v>
      </c>
      <c r="D868">
        <v>1</v>
      </c>
    </row>
    <row r="869" spans="1:4">
      <c r="A869" s="2">
        <v>4508</v>
      </c>
      <c r="B869">
        <v>1</v>
      </c>
      <c r="D869">
        <v>1</v>
      </c>
    </row>
    <row r="870" spans="1:4">
      <c r="A870" s="2">
        <v>4518</v>
      </c>
      <c r="C870">
        <v>1</v>
      </c>
      <c r="D870">
        <v>1</v>
      </c>
    </row>
    <row r="871" spans="1:4">
      <c r="A871" s="2">
        <v>4530</v>
      </c>
      <c r="B871">
        <v>1</v>
      </c>
      <c r="D871">
        <v>1</v>
      </c>
    </row>
    <row r="872" spans="1:4">
      <c r="A872" s="2">
        <v>4541</v>
      </c>
      <c r="C872">
        <v>1</v>
      </c>
      <c r="D872">
        <v>1</v>
      </c>
    </row>
    <row r="873" spans="1:4">
      <c r="A873" s="2">
        <v>4543</v>
      </c>
      <c r="C873">
        <v>1</v>
      </c>
      <c r="D873">
        <v>1</v>
      </c>
    </row>
    <row r="874" spans="1:4">
      <c r="A874" s="2">
        <v>4547</v>
      </c>
      <c r="C874">
        <v>1</v>
      </c>
      <c r="D874">
        <v>1</v>
      </c>
    </row>
    <row r="875" spans="1:4">
      <c r="A875" s="2">
        <v>4548</v>
      </c>
      <c r="B875">
        <v>1</v>
      </c>
      <c r="D875">
        <v>1</v>
      </c>
    </row>
    <row r="876" spans="1:4">
      <c r="A876" s="2">
        <v>4550</v>
      </c>
      <c r="C876">
        <v>1</v>
      </c>
      <c r="D876">
        <v>1</v>
      </c>
    </row>
    <row r="877" spans="1:4">
      <c r="A877" s="2">
        <v>4552</v>
      </c>
      <c r="C877">
        <v>1</v>
      </c>
      <c r="D877">
        <v>1</v>
      </c>
    </row>
    <row r="878" spans="1:4">
      <c r="A878" s="2">
        <v>4554</v>
      </c>
      <c r="C878">
        <v>1</v>
      </c>
      <c r="D878">
        <v>1</v>
      </c>
    </row>
    <row r="879" spans="1:4">
      <c r="A879" s="2">
        <v>4557</v>
      </c>
      <c r="C879">
        <v>1</v>
      </c>
      <c r="D879">
        <v>1</v>
      </c>
    </row>
    <row r="880" spans="1:4">
      <c r="A880" s="2">
        <v>4580</v>
      </c>
      <c r="C880">
        <v>1</v>
      </c>
      <c r="D880">
        <v>1</v>
      </c>
    </row>
    <row r="881" spans="1:4">
      <c r="A881" s="2">
        <v>4587</v>
      </c>
      <c r="B881">
        <v>1</v>
      </c>
      <c r="D881">
        <v>1</v>
      </c>
    </row>
    <row r="882" spans="1:4">
      <c r="A882" s="2">
        <v>4597</v>
      </c>
      <c r="C882">
        <v>1</v>
      </c>
      <c r="D882">
        <v>1</v>
      </c>
    </row>
    <row r="883" spans="1:4">
      <c r="A883" s="2">
        <v>4603</v>
      </c>
      <c r="C883">
        <v>1</v>
      </c>
      <c r="D883">
        <v>1</v>
      </c>
    </row>
    <row r="884" spans="1:4">
      <c r="A884" s="2">
        <v>4607</v>
      </c>
      <c r="C884">
        <v>1</v>
      </c>
      <c r="D884">
        <v>1</v>
      </c>
    </row>
    <row r="885" spans="1:4">
      <c r="A885" s="2">
        <v>4609</v>
      </c>
      <c r="C885">
        <v>1</v>
      </c>
      <c r="D885">
        <v>1</v>
      </c>
    </row>
    <row r="886" spans="1:4">
      <c r="A886" s="2">
        <v>4611</v>
      </c>
      <c r="C886">
        <v>1</v>
      </c>
      <c r="D886">
        <v>1</v>
      </c>
    </row>
    <row r="887" spans="1:4">
      <c r="A887" s="2">
        <v>4619</v>
      </c>
      <c r="B887">
        <v>1</v>
      </c>
      <c r="D887">
        <v>1</v>
      </c>
    </row>
    <row r="888" spans="1:4">
      <c r="A888" s="2">
        <v>4637</v>
      </c>
      <c r="B888">
        <v>1</v>
      </c>
      <c r="D888">
        <v>1</v>
      </c>
    </row>
    <row r="889" spans="1:4">
      <c r="A889" s="2">
        <v>4640</v>
      </c>
      <c r="B889">
        <v>1</v>
      </c>
      <c r="D889">
        <v>1</v>
      </c>
    </row>
    <row r="890" spans="1:4">
      <c r="A890" s="2">
        <v>4643</v>
      </c>
      <c r="C890">
        <v>1</v>
      </c>
      <c r="D890">
        <v>1</v>
      </c>
    </row>
    <row r="891" spans="1:4">
      <c r="A891" s="2">
        <v>4646</v>
      </c>
      <c r="C891">
        <v>1</v>
      </c>
      <c r="D891">
        <v>1</v>
      </c>
    </row>
    <row r="892" spans="1:4">
      <c r="A892" s="2">
        <v>4653</v>
      </c>
      <c r="C892">
        <v>1</v>
      </c>
      <c r="D892">
        <v>1</v>
      </c>
    </row>
    <row r="893" spans="1:4">
      <c r="A893" s="2">
        <v>4654</v>
      </c>
      <c r="C893">
        <v>1</v>
      </c>
      <c r="D893">
        <v>1</v>
      </c>
    </row>
    <row r="894" spans="1:4">
      <c r="A894" s="2">
        <v>4656</v>
      </c>
      <c r="B894">
        <v>1</v>
      </c>
      <c r="D894">
        <v>1</v>
      </c>
    </row>
    <row r="895" spans="1:4">
      <c r="A895" s="2">
        <v>4669</v>
      </c>
      <c r="C895">
        <v>1</v>
      </c>
      <c r="D895">
        <v>1</v>
      </c>
    </row>
    <row r="896" spans="1:4">
      <c r="A896" s="2">
        <v>4673</v>
      </c>
      <c r="C896">
        <v>1</v>
      </c>
      <c r="D896">
        <v>1</v>
      </c>
    </row>
    <row r="897" spans="1:4">
      <c r="A897" s="2">
        <v>4676</v>
      </c>
      <c r="B897">
        <v>1</v>
      </c>
      <c r="D897">
        <v>1</v>
      </c>
    </row>
    <row r="898" spans="1:4">
      <c r="A898" s="2">
        <v>4679</v>
      </c>
      <c r="C898">
        <v>1</v>
      </c>
      <c r="D898">
        <v>1</v>
      </c>
    </row>
    <row r="899" spans="1:4">
      <c r="A899" s="2">
        <v>4682</v>
      </c>
      <c r="C899">
        <v>1</v>
      </c>
      <c r="D899">
        <v>1</v>
      </c>
    </row>
    <row r="900" spans="1:4">
      <c r="A900" s="2">
        <v>4686</v>
      </c>
      <c r="B900">
        <v>1</v>
      </c>
      <c r="D900">
        <v>1</v>
      </c>
    </row>
    <row r="901" spans="1:4">
      <c r="A901" s="2">
        <v>4687</v>
      </c>
      <c r="C901">
        <v>1</v>
      </c>
      <c r="D901">
        <v>1</v>
      </c>
    </row>
    <row r="902" spans="1:4">
      <c r="A902" s="2">
        <v>4690</v>
      </c>
      <c r="C902">
        <v>1</v>
      </c>
      <c r="D902">
        <v>1</v>
      </c>
    </row>
    <row r="903" spans="1:4">
      <c r="A903" s="2">
        <v>4692</v>
      </c>
      <c r="C903">
        <v>1</v>
      </c>
      <c r="D903">
        <v>1</v>
      </c>
    </row>
    <row r="904" spans="1:4">
      <c r="A904" s="2">
        <v>4697</v>
      </c>
      <c r="B904">
        <v>1</v>
      </c>
      <c r="D904">
        <v>1</v>
      </c>
    </row>
    <row r="905" spans="1:4">
      <c r="A905" s="2">
        <v>4702</v>
      </c>
      <c r="B905">
        <v>1</v>
      </c>
      <c r="D905">
        <v>1</v>
      </c>
    </row>
    <row r="906" spans="1:4">
      <c r="A906" s="2">
        <v>4706</v>
      </c>
      <c r="B906">
        <v>1</v>
      </c>
      <c r="D906">
        <v>1</v>
      </c>
    </row>
    <row r="907" spans="1:4">
      <c r="A907" s="2">
        <v>4712</v>
      </c>
      <c r="C907">
        <v>1</v>
      </c>
      <c r="D907">
        <v>1</v>
      </c>
    </row>
    <row r="908" spans="1:4">
      <c r="A908" s="2">
        <v>4713</v>
      </c>
      <c r="C908">
        <v>1</v>
      </c>
      <c r="D908">
        <v>1</v>
      </c>
    </row>
    <row r="909" spans="1:4">
      <c r="A909" s="2">
        <v>4725</v>
      </c>
      <c r="C909">
        <v>1</v>
      </c>
      <c r="D909">
        <v>1</v>
      </c>
    </row>
    <row r="910" spans="1:4">
      <c r="A910" s="2">
        <v>4741</v>
      </c>
      <c r="C910">
        <v>1</v>
      </c>
      <c r="D910">
        <v>1</v>
      </c>
    </row>
    <row r="911" spans="1:4">
      <c r="A911" s="2">
        <v>4743</v>
      </c>
      <c r="C911">
        <v>1</v>
      </c>
      <c r="D911">
        <v>1</v>
      </c>
    </row>
    <row r="912" spans="1:4">
      <c r="A912" s="2">
        <v>4754</v>
      </c>
      <c r="C912">
        <v>1</v>
      </c>
      <c r="D912">
        <v>1</v>
      </c>
    </row>
    <row r="913" spans="1:4">
      <c r="A913" s="2">
        <v>4756</v>
      </c>
      <c r="B913">
        <v>1</v>
      </c>
      <c r="D913">
        <v>1</v>
      </c>
    </row>
    <row r="914" spans="1:4">
      <c r="A914" s="2">
        <v>4764</v>
      </c>
      <c r="C914">
        <v>1</v>
      </c>
      <c r="D914">
        <v>1</v>
      </c>
    </row>
    <row r="915" spans="1:4">
      <c r="A915" s="2">
        <v>4767</v>
      </c>
      <c r="C915">
        <v>1</v>
      </c>
      <c r="D915">
        <v>1</v>
      </c>
    </row>
    <row r="916" spans="1:4">
      <c r="A916" s="2">
        <v>4769</v>
      </c>
      <c r="C916">
        <v>1</v>
      </c>
      <c r="D916">
        <v>1</v>
      </c>
    </row>
    <row r="917" spans="1:4">
      <c r="A917" s="2">
        <v>4785</v>
      </c>
      <c r="C917">
        <v>1</v>
      </c>
      <c r="D917">
        <v>1</v>
      </c>
    </row>
    <row r="918" spans="1:4">
      <c r="A918" s="2">
        <v>4786</v>
      </c>
      <c r="C918">
        <v>1</v>
      </c>
      <c r="D918">
        <v>1</v>
      </c>
    </row>
    <row r="919" spans="1:4">
      <c r="A919" s="2">
        <v>4789</v>
      </c>
      <c r="C919">
        <v>1</v>
      </c>
      <c r="D919">
        <v>1</v>
      </c>
    </row>
    <row r="920" spans="1:4">
      <c r="A920" s="2">
        <v>4790</v>
      </c>
      <c r="B920">
        <v>1</v>
      </c>
      <c r="D920">
        <v>1</v>
      </c>
    </row>
    <row r="921" spans="1:4">
      <c r="A921" s="2">
        <v>4791</v>
      </c>
      <c r="C921">
        <v>1</v>
      </c>
      <c r="D921">
        <v>1</v>
      </c>
    </row>
    <row r="922" spans="1:4">
      <c r="A922" s="2">
        <v>4796</v>
      </c>
      <c r="B922">
        <v>1</v>
      </c>
      <c r="D922">
        <v>1</v>
      </c>
    </row>
    <row r="923" spans="1:4">
      <c r="A923" s="2">
        <v>4808</v>
      </c>
      <c r="C923">
        <v>1</v>
      </c>
      <c r="D923">
        <v>1</v>
      </c>
    </row>
    <row r="924" spans="1:4">
      <c r="A924" s="2">
        <v>4817</v>
      </c>
      <c r="B924">
        <v>1</v>
      </c>
      <c r="D924">
        <v>1</v>
      </c>
    </row>
    <row r="925" spans="1:4">
      <c r="A925" s="2">
        <v>4827</v>
      </c>
      <c r="B925">
        <v>1</v>
      </c>
      <c r="D925">
        <v>1</v>
      </c>
    </row>
    <row r="926" spans="1:4">
      <c r="A926" s="2">
        <v>4828</v>
      </c>
      <c r="B926">
        <v>1</v>
      </c>
      <c r="D926">
        <v>1</v>
      </c>
    </row>
    <row r="927" spans="1:4">
      <c r="A927" s="2">
        <v>4832</v>
      </c>
      <c r="C927">
        <v>1</v>
      </c>
      <c r="D927">
        <v>1</v>
      </c>
    </row>
    <row r="928" spans="1:4">
      <c r="A928" s="2">
        <v>4837</v>
      </c>
      <c r="C928">
        <v>1</v>
      </c>
      <c r="D928">
        <v>1</v>
      </c>
    </row>
    <row r="929" spans="1:4">
      <c r="A929" s="2">
        <v>4838</v>
      </c>
      <c r="C929">
        <v>1</v>
      </c>
      <c r="D929">
        <v>1</v>
      </c>
    </row>
    <row r="930" spans="1:4">
      <c r="A930" s="2">
        <v>4855</v>
      </c>
      <c r="C930">
        <v>1</v>
      </c>
      <c r="D930">
        <v>1</v>
      </c>
    </row>
    <row r="931" spans="1:4">
      <c r="A931" s="2">
        <v>4856</v>
      </c>
      <c r="C931">
        <v>1</v>
      </c>
      <c r="D931">
        <v>1</v>
      </c>
    </row>
    <row r="932" spans="1:4">
      <c r="A932" s="2">
        <v>4860</v>
      </c>
      <c r="B932">
        <v>1</v>
      </c>
      <c r="D932">
        <v>1</v>
      </c>
    </row>
    <row r="933" spans="1:4">
      <c r="A933" s="2">
        <v>4864</v>
      </c>
      <c r="C933">
        <v>1</v>
      </c>
      <c r="D933">
        <v>1</v>
      </c>
    </row>
    <row r="934" spans="1:4">
      <c r="A934" s="2">
        <v>4865</v>
      </c>
      <c r="B934">
        <v>1</v>
      </c>
      <c r="D934">
        <v>1</v>
      </c>
    </row>
    <row r="935" spans="1:4">
      <c r="A935" s="2">
        <v>4867</v>
      </c>
      <c r="B935">
        <v>1</v>
      </c>
      <c r="D935">
        <v>1</v>
      </c>
    </row>
    <row r="936" spans="1:4">
      <c r="A936" s="2">
        <v>4877</v>
      </c>
      <c r="C936">
        <v>1</v>
      </c>
      <c r="D936">
        <v>1</v>
      </c>
    </row>
    <row r="937" spans="1:4">
      <c r="A937" s="2">
        <v>4887</v>
      </c>
      <c r="B937">
        <v>1</v>
      </c>
      <c r="D937">
        <v>1</v>
      </c>
    </row>
    <row r="938" spans="1:4">
      <c r="A938" s="2">
        <v>4910</v>
      </c>
      <c r="B938">
        <v>1</v>
      </c>
      <c r="D938">
        <v>1</v>
      </c>
    </row>
    <row r="939" spans="1:4">
      <c r="A939" s="2">
        <v>4915</v>
      </c>
      <c r="C939">
        <v>1</v>
      </c>
      <c r="D939">
        <v>1</v>
      </c>
    </row>
    <row r="940" spans="1:4">
      <c r="A940" s="2">
        <v>4927</v>
      </c>
      <c r="C940">
        <v>1</v>
      </c>
      <c r="D940">
        <v>1</v>
      </c>
    </row>
    <row r="941" spans="1:4">
      <c r="A941" s="2">
        <v>4931</v>
      </c>
      <c r="C941">
        <v>1</v>
      </c>
      <c r="D941">
        <v>1</v>
      </c>
    </row>
    <row r="942" spans="1:4">
      <c r="A942" s="2">
        <v>4937</v>
      </c>
      <c r="C942">
        <v>1</v>
      </c>
      <c r="D942">
        <v>1</v>
      </c>
    </row>
    <row r="943" spans="1:4">
      <c r="A943" s="2">
        <v>4939</v>
      </c>
      <c r="C943">
        <v>1</v>
      </c>
      <c r="D943">
        <v>1</v>
      </c>
    </row>
    <row r="944" spans="1:4">
      <c r="A944" s="2">
        <v>4943</v>
      </c>
      <c r="C944">
        <v>1</v>
      </c>
      <c r="D944">
        <v>1</v>
      </c>
    </row>
    <row r="945" spans="1:4">
      <c r="A945" s="2">
        <v>4945</v>
      </c>
      <c r="B945">
        <v>1</v>
      </c>
      <c r="D945">
        <v>1</v>
      </c>
    </row>
    <row r="946" spans="1:4">
      <c r="A946" s="2">
        <v>4947</v>
      </c>
      <c r="B946">
        <v>1</v>
      </c>
      <c r="D946">
        <v>1</v>
      </c>
    </row>
    <row r="947" spans="1:4">
      <c r="A947" s="2">
        <v>4954</v>
      </c>
      <c r="C947">
        <v>1</v>
      </c>
      <c r="D947">
        <v>1</v>
      </c>
    </row>
    <row r="948" spans="1:4">
      <c r="A948" s="2">
        <v>4961</v>
      </c>
      <c r="C948">
        <v>1</v>
      </c>
      <c r="D948">
        <v>1</v>
      </c>
    </row>
    <row r="949" spans="1:4">
      <c r="A949" s="2">
        <v>4964</v>
      </c>
      <c r="C949">
        <v>1</v>
      </c>
      <c r="D949">
        <v>1</v>
      </c>
    </row>
    <row r="950" spans="1:4">
      <c r="A950" s="2">
        <v>4967</v>
      </c>
      <c r="C950">
        <v>1</v>
      </c>
      <c r="D950">
        <v>1</v>
      </c>
    </row>
    <row r="951" spans="1:4">
      <c r="A951" s="2">
        <v>4974</v>
      </c>
      <c r="B951">
        <v>1</v>
      </c>
      <c r="D951">
        <v>1</v>
      </c>
    </row>
    <row r="952" spans="1:4">
      <c r="A952" s="2">
        <v>4988</v>
      </c>
      <c r="C952">
        <v>1</v>
      </c>
      <c r="D952">
        <v>1</v>
      </c>
    </row>
    <row r="953" spans="1:4">
      <c r="A953" s="2">
        <v>4990</v>
      </c>
      <c r="C953">
        <v>1</v>
      </c>
      <c r="D953">
        <v>1</v>
      </c>
    </row>
    <row r="954" spans="1:4">
      <c r="A954" s="2">
        <v>4992</v>
      </c>
      <c r="C954">
        <v>1</v>
      </c>
      <c r="D954">
        <v>1</v>
      </c>
    </row>
    <row r="955" spans="1:4">
      <c r="A955" s="2">
        <v>4994</v>
      </c>
      <c r="B955">
        <v>1</v>
      </c>
      <c r="D955">
        <v>1</v>
      </c>
    </row>
    <row r="956" spans="1:4">
      <c r="A956" s="2">
        <v>4998</v>
      </c>
      <c r="C956">
        <v>1</v>
      </c>
      <c r="D956">
        <v>1</v>
      </c>
    </row>
    <row r="957" spans="1:4">
      <c r="A957" s="2">
        <v>5010</v>
      </c>
      <c r="B957">
        <v>1</v>
      </c>
      <c r="D957">
        <v>1</v>
      </c>
    </row>
    <row r="958" spans="1:4">
      <c r="A958" s="2">
        <v>5012</v>
      </c>
      <c r="C958">
        <v>1</v>
      </c>
      <c r="D958">
        <v>1</v>
      </c>
    </row>
    <row r="959" spans="1:4">
      <c r="A959" s="2">
        <v>5015</v>
      </c>
      <c r="C959">
        <v>1</v>
      </c>
      <c r="D959">
        <v>1</v>
      </c>
    </row>
    <row r="960" spans="1:4">
      <c r="A960" s="2">
        <v>5025</v>
      </c>
      <c r="B960">
        <v>1</v>
      </c>
      <c r="D960">
        <v>1</v>
      </c>
    </row>
    <row r="961" spans="1:4">
      <c r="A961" s="2">
        <v>5029</v>
      </c>
      <c r="C961">
        <v>1</v>
      </c>
      <c r="D961">
        <v>1</v>
      </c>
    </row>
    <row r="962" spans="1:4">
      <c r="A962" s="2">
        <v>5031</v>
      </c>
      <c r="C962">
        <v>1</v>
      </c>
      <c r="D962">
        <v>1</v>
      </c>
    </row>
    <row r="963" spans="1:4">
      <c r="A963" s="2">
        <v>5036</v>
      </c>
      <c r="B963">
        <v>1</v>
      </c>
      <c r="D963">
        <v>1</v>
      </c>
    </row>
    <row r="964" spans="1:4">
      <c r="A964" s="2">
        <v>5043</v>
      </c>
      <c r="C964">
        <v>1</v>
      </c>
      <c r="D964">
        <v>1</v>
      </c>
    </row>
    <row r="965" spans="1:4">
      <c r="A965" s="2">
        <v>5046</v>
      </c>
      <c r="B965">
        <v>1</v>
      </c>
      <c r="D965">
        <v>1</v>
      </c>
    </row>
    <row r="966" spans="1:4">
      <c r="A966" s="2">
        <v>5048</v>
      </c>
      <c r="B966">
        <v>1</v>
      </c>
      <c r="D966">
        <v>1</v>
      </c>
    </row>
    <row r="967" spans="1:4">
      <c r="A967" s="2">
        <v>5057</v>
      </c>
      <c r="C967">
        <v>1</v>
      </c>
      <c r="D967">
        <v>1</v>
      </c>
    </row>
    <row r="968" spans="1:4">
      <c r="A968" s="2">
        <v>5062</v>
      </c>
      <c r="C968">
        <v>1</v>
      </c>
      <c r="D968">
        <v>1</v>
      </c>
    </row>
    <row r="969" spans="1:4">
      <c r="A969" s="2">
        <v>5063</v>
      </c>
      <c r="B969">
        <v>1</v>
      </c>
      <c r="D969">
        <v>1</v>
      </c>
    </row>
    <row r="970" spans="1:4">
      <c r="A970" s="2">
        <v>5067</v>
      </c>
      <c r="C970">
        <v>1</v>
      </c>
      <c r="D970">
        <v>1</v>
      </c>
    </row>
    <row r="971" spans="1:4">
      <c r="A971" s="2">
        <v>5068</v>
      </c>
      <c r="B971">
        <v>1</v>
      </c>
      <c r="D971">
        <v>1</v>
      </c>
    </row>
    <row r="972" spans="1:4">
      <c r="A972" s="2">
        <v>5074</v>
      </c>
      <c r="C972">
        <v>1</v>
      </c>
      <c r="D972">
        <v>1</v>
      </c>
    </row>
    <row r="973" spans="1:4">
      <c r="A973" s="2">
        <v>5077</v>
      </c>
      <c r="C973">
        <v>1</v>
      </c>
      <c r="D973">
        <v>1</v>
      </c>
    </row>
    <row r="974" spans="1:4">
      <c r="A974" s="2">
        <v>5080</v>
      </c>
      <c r="B974">
        <v>1</v>
      </c>
      <c r="D974">
        <v>1</v>
      </c>
    </row>
    <row r="975" spans="1:4">
      <c r="A975" s="2">
        <v>5081</v>
      </c>
      <c r="C975">
        <v>1</v>
      </c>
      <c r="D975">
        <v>1</v>
      </c>
    </row>
    <row r="976" spans="1:4">
      <c r="A976" s="2">
        <v>5084</v>
      </c>
      <c r="B976">
        <v>1</v>
      </c>
      <c r="D976">
        <v>1</v>
      </c>
    </row>
    <row r="977" spans="1:4">
      <c r="A977" s="2">
        <v>5092</v>
      </c>
      <c r="B977">
        <v>1</v>
      </c>
      <c r="D977">
        <v>1</v>
      </c>
    </row>
    <row r="978" spans="1:4">
      <c r="A978" s="2">
        <v>5093</v>
      </c>
      <c r="B978">
        <v>1</v>
      </c>
      <c r="D978">
        <v>1</v>
      </c>
    </row>
    <row r="979" spans="1:4">
      <c r="A979" s="2">
        <v>5113</v>
      </c>
      <c r="B979">
        <v>1</v>
      </c>
      <c r="D979">
        <v>1</v>
      </c>
    </row>
    <row r="980" spans="1:4">
      <c r="A980" s="2">
        <v>5114</v>
      </c>
      <c r="C980">
        <v>1</v>
      </c>
      <c r="D980">
        <v>1</v>
      </c>
    </row>
    <row r="981" spans="1:4">
      <c r="A981" s="2">
        <v>5117</v>
      </c>
      <c r="C981">
        <v>1</v>
      </c>
      <c r="D981">
        <v>1</v>
      </c>
    </row>
    <row r="982" spans="1:4">
      <c r="A982" s="2">
        <v>5120</v>
      </c>
      <c r="C982">
        <v>1</v>
      </c>
      <c r="D982">
        <v>1</v>
      </c>
    </row>
    <row r="983" spans="1:4">
      <c r="A983" s="2">
        <v>5121</v>
      </c>
      <c r="B983">
        <v>1</v>
      </c>
      <c r="D983">
        <v>1</v>
      </c>
    </row>
    <row r="984" spans="1:4">
      <c r="A984" s="2">
        <v>5123</v>
      </c>
      <c r="C984">
        <v>1</v>
      </c>
      <c r="D984">
        <v>1</v>
      </c>
    </row>
    <row r="985" spans="1:4">
      <c r="A985" s="2">
        <v>5125</v>
      </c>
      <c r="C985">
        <v>1</v>
      </c>
      <c r="D985">
        <v>1</v>
      </c>
    </row>
    <row r="986" spans="1:4">
      <c r="A986" s="2">
        <v>5136</v>
      </c>
      <c r="B986">
        <v>1</v>
      </c>
      <c r="D986">
        <v>1</v>
      </c>
    </row>
    <row r="987" spans="1:4">
      <c r="A987" s="2">
        <v>5138</v>
      </c>
      <c r="C987">
        <v>1</v>
      </c>
      <c r="D987">
        <v>1</v>
      </c>
    </row>
    <row r="988" spans="1:4">
      <c r="A988" s="2">
        <v>5140</v>
      </c>
      <c r="C988">
        <v>1</v>
      </c>
      <c r="D988">
        <v>1</v>
      </c>
    </row>
    <row r="989" spans="1:4">
      <c r="A989" s="2">
        <v>5147</v>
      </c>
      <c r="B989">
        <v>1</v>
      </c>
      <c r="D989">
        <v>1</v>
      </c>
    </row>
    <row r="990" spans="1:4">
      <c r="A990" s="2">
        <v>5150</v>
      </c>
      <c r="B990">
        <v>1</v>
      </c>
      <c r="D990">
        <v>1</v>
      </c>
    </row>
    <row r="991" spans="1:4">
      <c r="A991" s="2">
        <v>5154</v>
      </c>
      <c r="B991">
        <v>1</v>
      </c>
      <c r="D991">
        <v>1</v>
      </c>
    </row>
    <row r="992" spans="1:4">
      <c r="A992" s="2">
        <v>5156</v>
      </c>
      <c r="C992">
        <v>1</v>
      </c>
      <c r="D992">
        <v>1</v>
      </c>
    </row>
    <row r="993" spans="1:4">
      <c r="A993" s="2">
        <v>5172</v>
      </c>
      <c r="C993">
        <v>1</v>
      </c>
      <c r="D993">
        <v>1</v>
      </c>
    </row>
    <row r="994" spans="1:4">
      <c r="A994" s="2">
        <v>5176</v>
      </c>
      <c r="C994">
        <v>1</v>
      </c>
      <c r="D994">
        <v>1</v>
      </c>
    </row>
    <row r="995" spans="1:4">
      <c r="A995" s="2">
        <v>5177</v>
      </c>
      <c r="C995">
        <v>1</v>
      </c>
      <c r="D995">
        <v>1</v>
      </c>
    </row>
    <row r="996" spans="1:4">
      <c r="A996" s="2">
        <v>5180</v>
      </c>
      <c r="B996">
        <v>1</v>
      </c>
      <c r="D996">
        <v>1</v>
      </c>
    </row>
    <row r="997" spans="1:4">
      <c r="A997" s="2">
        <v>5181</v>
      </c>
      <c r="B997">
        <v>1</v>
      </c>
      <c r="D997">
        <v>1</v>
      </c>
    </row>
    <row r="998" spans="1:4">
      <c r="A998" s="2">
        <v>5184</v>
      </c>
      <c r="B998">
        <v>1</v>
      </c>
      <c r="D998">
        <v>1</v>
      </c>
    </row>
    <row r="999" spans="1:4">
      <c r="A999" s="2">
        <v>5185</v>
      </c>
      <c r="C999">
        <v>1</v>
      </c>
      <c r="D999">
        <v>1</v>
      </c>
    </row>
    <row r="1000" spans="1:4">
      <c r="A1000" s="2">
        <v>5186</v>
      </c>
      <c r="C1000">
        <v>1</v>
      </c>
      <c r="D1000">
        <v>1</v>
      </c>
    </row>
    <row r="1001" spans="1:4">
      <c r="A1001" s="2">
        <v>5204</v>
      </c>
      <c r="C1001">
        <v>1</v>
      </c>
      <c r="D1001">
        <v>1</v>
      </c>
    </row>
    <row r="1002" spans="1:4">
      <c r="A1002" s="2">
        <v>5207</v>
      </c>
      <c r="C1002">
        <v>1</v>
      </c>
      <c r="D1002">
        <v>1</v>
      </c>
    </row>
    <row r="1003" spans="1:4">
      <c r="A1003" s="2">
        <v>5209</v>
      </c>
      <c r="B1003">
        <v>1</v>
      </c>
      <c r="D1003">
        <v>1</v>
      </c>
    </row>
    <row r="1004" spans="1:4">
      <c r="A1004" s="2">
        <v>5221</v>
      </c>
      <c r="C1004">
        <v>1</v>
      </c>
      <c r="D1004">
        <v>1</v>
      </c>
    </row>
    <row r="1005" spans="1:4">
      <c r="A1005" s="2">
        <v>5223</v>
      </c>
      <c r="C1005">
        <v>1</v>
      </c>
      <c r="D1005">
        <v>1</v>
      </c>
    </row>
    <row r="1006" spans="1:4">
      <c r="A1006" s="2">
        <v>5229</v>
      </c>
      <c r="C1006">
        <v>1</v>
      </c>
      <c r="D1006">
        <v>1</v>
      </c>
    </row>
    <row r="1007" spans="1:4">
      <c r="A1007" s="2">
        <v>5231</v>
      </c>
      <c r="C1007">
        <v>1</v>
      </c>
      <c r="D1007">
        <v>1</v>
      </c>
    </row>
    <row r="1008" spans="1:4">
      <c r="A1008" s="2">
        <v>5234</v>
      </c>
      <c r="C1008">
        <v>1</v>
      </c>
      <c r="D1008">
        <v>1</v>
      </c>
    </row>
    <row r="1009" spans="1:4">
      <c r="A1009" s="2">
        <v>5236</v>
      </c>
      <c r="C1009">
        <v>1</v>
      </c>
      <c r="D1009">
        <v>1</v>
      </c>
    </row>
    <row r="1010" spans="1:4">
      <c r="A1010" s="2">
        <v>5237</v>
      </c>
      <c r="B1010">
        <v>1</v>
      </c>
      <c r="D1010">
        <v>1</v>
      </c>
    </row>
    <row r="1011" spans="1:4">
      <c r="A1011" s="2">
        <v>5247</v>
      </c>
      <c r="C1011">
        <v>1</v>
      </c>
      <c r="D1011">
        <v>1</v>
      </c>
    </row>
    <row r="1012" spans="1:4">
      <c r="A1012" s="2">
        <v>5252</v>
      </c>
      <c r="B1012">
        <v>1</v>
      </c>
      <c r="D1012">
        <v>1</v>
      </c>
    </row>
    <row r="1013" spans="1:4">
      <c r="A1013" s="2">
        <v>5253</v>
      </c>
      <c r="C1013">
        <v>1</v>
      </c>
      <c r="D1013">
        <v>1</v>
      </c>
    </row>
    <row r="1014" spans="1:4">
      <c r="A1014" s="2">
        <v>5263</v>
      </c>
      <c r="C1014">
        <v>1</v>
      </c>
      <c r="D1014">
        <v>1</v>
      </c>
    </row>
    <row r="1015" spans="1:4">
      <c r="A1015" s="2">
        <v>5267</v>
      </c>
      <c r="B1015">
        <v>1</v>
      </c>
      <c r="D1015">
        <v>1</v>
      </c>
    </row>
    <row r="1016" spans="1:4">
      <c r="A1016" s="2">
        <v>5268</v>
      </c>
      <c r="C1016">
        <v>1</v>
      </c>
      <c r="D1016">
        <v>1</v>
      </c>
    </row>
    <row r="1017" spans="1:4">
      <c r="A1017" s="2">
        <v>5272</v>
      </c>
      <c r="C1017">
        <v>1</v>
      </c>
      <c r="D1017">
        <v>1</v>
      </c>
    </row>
    <row r="1018" spans="1:4">
      <c r="A1018" s="2">
        <v>5278</v>
      </c>
      <c r="C1018">
        <v>1</v>
      </c>
      <c r="D1018">
        <v>1</v>
      </c>
    </row>
    <row r="1019" spans="1:4">
      <c r="A1019" s="2">
        <v>5283</v>
      </c>
      <c r="B1019">
        <v>1</v>
      </c>
      <c r="D1019">
        <v>1</v>
      </c>
    </row>
    <row r="1020" spans="1:4">
      <c r="A1020" s="2">
        <v>5286</v>
      </c>
      <c r="B1020">
        <v>1</v>
      </c>
      <c r="D1020">
        <v>1</v>
      </c>
    </row>
    <row r="1021" spans="1:4">
      <c r="A1021" s="2">
        <v>5287</v>
      </c>
      <c r="C1021">
        <v>1</v>
      </c>
      <c r="D1021">
        <v>1</v>
      </c>
    </row>
    <row r="1022" spans="1:4">
      <c r="A1022" s="2">
        <v>5289</v>
      </c>
      <c r="B1022">
        <v>1</v>
      </c>
      <c r="D1022">
        <v>1</v>
      </c>
    </row>
    <row r="1023" spans="1:4">
      <c r="A1023" s="2">
        <v>5290</v>
      </c>
      <c r="C1023">
        <v>1</v>
      </c>
      <c r="D1023">
        <v>1</v>
      </c>
    </row>
    <row r="1024" spans="1:4">
      <c r="A1024" s="2">
        <v>5294</v>
      </c>
      <c r="B1024">
        <v>1</v>
      </c>
      <c r="D1024">
        <v>1</v>
      </c>
    </row>
    <row r="1025" spans="1:4">
      <c r="A1025" s="2">
        <v>5299</v>
      </c>
      <c r="C1025">
        <v>1</v>
      </c>
      <c r="D1025">
        <v>1</v>
      </c>
    </row>
    <row r="1026" spans="1:4">
      <c r="A1026" s="2">
        <v>5300</v>
      </c>
      <c r="C1026">
        <v>1</v>
      </c>
      <c r="D1026">
        <v>1</v>
      </c>
    </row>
    <row r="1027" spans="1:4">
      <c r="A1027" s="2">
        <v>5302</v>
      </c>
      <c r="C1027">
        <v>1</v>
      </c>
      <c r="D1027">
        <v>1</v>
      </c>
    </row>
    <row r="1028" spans="1:4">
      <c r="A1028" s="2">
        <v>5303</v>
      </c>
      <c r="C1028">
        <v>1</v>
      </c>
      <c r="D1028">
        <v>1</v>
      </c>
    </row>
    <row r="1029" spans="1:4">
      <c r="A1029" s="2">
        <v>5304</v>
      </c>
      <c r="B1029">
        <v>1</v>
      </c>
      <c r="D1029">
        <v>1</v>
      </c>
    </row>
    <row r="1030" spans="1:4">
      <c r="A1030" s="2">
        <v>5313</v>
      </c>
      <c r="C1030">
        <v>1</v>
      </c>
      <c r="D1030">
        <v>1</v>
      </c>
    </row>
    <row r="1031" spans="1:4">
      <c r="A1031" s="2">
        <v>5316</v>
      </c>
      <c r="C1031">
        <v>1</v>
      </c>
      <c r="D1031">
        <v>1</v>
      </c>
    </row>
    <row r="1032" spans="1:4">
      <c r="A1032" s="2">
        <v>5320</v>
      </c>
      <c r="B1032">
        <v>1</v>
      </c>
      <c r="D1032">
        <v>1</v>
      </c>
    </row>
    <row r="1033" spans="1:4">
      <c r="A1033" s="2">
        <v>5324</v>
      </c>
      <c r="C1033">
        <v>1</v>
      </c>
      <c r="D1033">
        <v>1</v>
      </c>
    </row>
    <row r="1034" spans="1:4">
      <c r="A1034" s="2">
        <v>5329</v>
      </c>
      <c r="B1034">
        <v>1</v>
      </c>
      <c r="D1034">
        <v>1</v>
      </c>
    </row>
    <row r="1035" spans="1:4">
      <c r="A1035" s="2">
        <v>5331</v>
      </c>
      <c r="C1035">
        <v>1</v>
      </c>
      <c r="D1035">
        <v>1</v>
      </c>
    </row>
    <row r="1036" spans="1:4">
      <c r="A1036" s="2">
        <v>5332</v>
      </c>
      <c r="C1036">
        <v>1</v>
      </c>
      <c r="D1036">
        <v>1</v>
      </c>
    </row>
    <row r="1037" spans="1:4">
      <c r="A1037" s="2">
        <v>5336</v>
      </c>
      <c r="C1037">
        <v>1</v>
      </c>
      <c r="D1037">
        <v>1</v>
      </c>
    </row>
    <row r="1038" spans="1:4">
      <c r="A1038" s="2">
        <v>5341</v>
      </c>
      <c r="B1038">
        <v>1</v>
      </c>
      <c r="D1038">
        <v>1</v>
      </c>
    </row>
    <row r="1039" spans="1:4">
      <c r="A1039" s="2">
        <v>5342</v>
      </c>
      <c r="B1039">
        <v>1</v>
      </c>
      <c r="D1039">
        <v>1</v>
      </c>
    </row>
    <row r="1040" spans="1:4">
      <c r="A1040" s="2">
        <v>5346</v>
      </c>
      <c r="C1040">
        <v>1</v>
      </c>
      <c r="D1040">
        <v>1</v>
      </c>
    </row>
    <row r="1041" spans="1:4">
      <c r="A1041" s="2">
        <v>5350</v>
      </c>
      <c r="B1041">
        <v>1</v>
      </c>
      <c r="D1041">
        <v>1</v>
      </c>
    </row>
    <row r="1042" spans="1:4">
      <c r="A1042" s="2">
        <v>5370</v>
      </c>
      <c r="C1042">
        <v>1</v>
      </c>
      <c r="D1042">
        <v>1</v>
      </c>
    </row>
    <row r="1043" spans="1:4">
      <c r="A1043" s="2">
        <v>5371</v>
      </c>
      <c r="B1043">
        <v>1</v>
      </c>
      <c r="D1043">
        <v>1</v>
      </c>
    </row>
    <row r="1044" spans="1:4">
      <c r="A1044" s="2">
        <v>5376</v>
      </c>
      <c r="C1044">
        <v>1</v>
      </c>
      <c r="D1044">
        <v>1</v>
      </c>
    </row>
    <row r="1045" spans="1:4">
      <c r="A1045" s="2">
        <v>5386</v>
      </c>
      <c r="C1045">
        <v>1</v>
      </c>
      <c r="D1045">
        <v>1</v>
      </c>
    </row>
    <row r="1046" spans="1:4">
      <c r="A1046" s="2">
        <v>5389</v>
      </c>
      <c r="C1046">
        <v>1</v>
      </c>
      <c r="D1046">
        <v>1</v>
      </c>
    </row>
    <row r="1047" spans="1:4">
      <c r="A1047" s="2">
        <v>5393</v>
      </c>
      <c r="B1047">
        <v>1</v>
      </c>
      <c r="D1047">
        <v>1</v>
      </c>
    </row>
    <row r="1048" spans="1:4">
      <c r="A1048" s="2">
        <v>5394</v>
      </c>
      <c r="B1048">
        <v>1</v>
      </c>
      <c r="D1048">
        <v>1</v>
      </c>
    </row>
    <row r="1049" spans="1:4">
      <c r="A1049" s="2">
        <v>5396</v>
      </c>
      <c r="C1049">
        <v>1</v>
      </c>
      <c r="D1049">
        <v>1</v>
      </c>
    </row>
    <row r="1050" spans="1:4">
      <c r="A1050" s="2">
        <v>5407</v>
      </c>
      <c r="C1050">
        <v>1</v>
      </c>
      <c r="D1050">
        <v>1</v>
      </c>
    </row>
    <row r="1051" spans="1:4">
      <c r="A1051" s="2">
        <v>5423</v>
      </c>
      <c r="C1051">
        <v>1</v>
      </c>
      <c r="D1051">
        <v>1</v>
      </c>
    </row>
    <row r="1052" spans="1:4">
      <c r="A1052" s="2">
        <v>5429</v>
      </c>
      <c r="C1052">
        <v>1</v>
      </c>
      <c r="D1052">
        <v>1</v>
      </c>
    </row>
    <row r="1053" spans="1:4">
      <c r="A1053" s="2">
        <v>5430</v>
      </c>
      <c r="C1053">
        <v>1</v>
      </c>
      <c r="D1053">
        <v>1</v>
      </c>
    </row>
    <row r="1054" spans="1:4">
      <c r="A1054" s="2">
        <v>5441</v>
      </c>
      <c r="B1054">
        <v>1</v>
      </c>
      <c r="D1054">
        <v>1</v>
      </c>
    </row>
    <row r="1055" spans="1:4">
      <c r="A1055" s="2">
        <v>5453</v>
      </c>
      <c r="C1055">
        <v>1</v>
      </c>
      <c r="D1055">
        <v>1</v>
      </c>
    </row>
    <row r="1056" spans="1:4">
      <c r="A1056" s="2">
        <v>5454</v>
      </c>
      <c r="C1056">
        <v>1</v>
      </c>
      <c r="D1056">
        <v>1</v>
      </c>
    </row>
    <row r="1057" spans="1:4">
      <c r="A1057" s="2">
        <v>5455</v>
      </c>
      <c r="C1057">
        <v>1</v>
      </c>
      <c r="D1057">
        <v>1</v>
      </c>
    </row>
    <row r="1058" spans="1:4">
      <c r="A1058" s="2">
        <v>5462</v>
      </c>
      <c r="C1058">
        <v>1</v>
      </c>
      <c r="D1058">
        <v>1</v>
      </c>
    </row>
    <row r="1059" spans="1:4">
      <c r="A1059" s="2">
        <v>5474</v>
      </c>
      <c r="B1059">
        <v>1</v>
      </c>
      <c r="D1059">
        <v>1</v>
      </c>
    </row>
    <row r="1060" spans="1:4">
      <c r="A1060" s="2">
        <v>5491</v>
      </c>
      <c r="C1060">
        <v>1</v>
      </c>
      <c r="D1060">
        <v>1</v>
      </c>
    </row>
    <row r="1061" spans="1:4">
      <c r="A1061" s="2">
        <v>5493</v>
      </c>
      <c r="C1061">
        <v>1</v>
      </c>
      <c r="D1061">
        <v>1</v>
      </c>
    </row>
    <row r="1062" spans="1:4">
      <c r="A1062" s="2">
        <v>5510</v>
      </c>
      <c r="C1062">
        <v>1</v>
      </c>
      <c r="D1062">
        <v>1</v>
      </c>
    </row>
    <row r="1063" spans="1:4">
      <c r="A1063" s="2">
        <v>5512</v>
      </c>
      <c r="C1063">
        <v>1</v>
      </c>
      <c r="D1063">
        <v>1</v>
      </c>
    </row>
    <row r="1064" spans="1:4">
      <c r="A1064" s="2">
        <v>5519</v>
      </c>
      <c r="C1064">
        <v>1</v>
      </c>
      <c r="D1064">
        <v>1</v>
      </c>
    </row>
    <row r="1065" spans="1:4">
      <c r="A1065" s="2">
        <v>5524</v>
      </c>
      <c r="B1065">
        <v>1</v>
      </c>
      <c r="D1065">
        <v>1</v>
      </c>
    </row>
    <row r="1066" spans="1:4">
      <c r="A1066" s="2">
        <v>5527</v>
      </c>
      <c r="C1066">
        <v>1</v>
      </c>
      <c r="D1066">
        <v>1</v>
      </c>
    </row>
    <row r="1067" spans="1:4">
      <c r="A1067" s="2">
        <v>5534</v>
      </c>
      <c r="C1067">
        <v>1</v>
      </c>
      <c r="D1067">
        <v>1</v>
      </c>
    </row>
    <row r="1068" spans="1:4">
      <c r="A1068" s="2">
        <v>5543</v>
      </c>
      <c r="C1068">
        <v>1</v>
      </c>
      <c r="D1068">
        <v>1</v>
      </c>
    </row>
    <row r="1069" spans="1:4">
      <c r="A1069" s="2">
        <v>5544</v>
      </c>
      <c r="B1069">
        <v>1</v>
      </c>
      <c r="D1069">
        <v>1</v>
      </c>
    </row>
    <row r="1070" spans="1:4">
      <c r="A1070" s="2">
        <v>5545</v>
      </c>
      <c r="C1070">
        <v>1</v>
      </c>
      <c r="D1070">
        <v>1</v>
      </c>
    </row>
    <row r="1071" spans="1:4">
      <c r="A1071" s="2">
        <v>5547</v>
      </c>
      <c r="C1071">
        <v>1</v>
      </c>
      <c r="D1071">
        <v>1</v>
      </c>
    </row>
    <row r="1072" spans="1:4">
      <c r="A1072" s="2">
        <v>5552</v>
      </c>
      <c r="B1072">
        <v>1</v>
      </c>
      <c r="D1072">
        <v>1</v>
      </c>
    </row>
    <row r="1073" spans="1:4">
      <c r="A1073" s="2">
        <v>5555</v>
      </c>
      <c r="B1073">
        <v>1</v>
      </c>
      <c r="D1073">
        <v>1</v>
      </c>
    </row>
    <row r="1074" spans="1:4">
      <c r="A1074" s="2">
        <v>5558</v>
      </c>
      <c r="B1074">
        <v>1</v>
      </c>
      <c r="D1074">
        <v>1</v>
      </c>
    </row>
    <row r="1075" spans="1:4">
      <c r="A1075" s="2">
        <v>5562</v>
      </c>
      <c r="C1075">
        <v>1</v>
      </c>
      <c r="D1075">
        <v>1</v>
      </c>
    </row>
    <row r="1076" spans="1:4">
      <c r="A1076" s="2">
        <v>5564</v>
      </c>
      <c r="C1076">
        <v>1</v>
      </c>
      <c r="D1076">
        <v>1</v>
      </c>
    </row>
    <row r="1077" spans="1:4">
      <c r="A1077" s="2">
        <v>5577</v>
      </c>
      <c r="C1077">
        <v>1</v>
      </c>
      <c r="D1077">
        <v>1</v>
      </c>
    </row>
    <row r="1078" spans="1:4">
      <c r="A1078" s="2">
        <v>5585</v>
      </c>
      <c r="B1078">
        <v>1</v>
      </c>
      <c r="D1078">
        <v>1</v>
      </c>
    </row>
    <row r="1079" spans="1:4">
      <c r="A1079" s="2">
        <v>5589</v>
      </c>
      <c r="B1079">
        <v>1</v>
      </c>
      <c r="D1079">
        <v>1</v>
      </c>
    </row>
    <row r="1080" spans="1:4">
      <c r="A1080" s="2">
        <v>5596</v>
      </c>
      <c r="C1080">
        <v>1</v>
      </c>
      <c r="D1080">
        <v>1</v>
      </c>
    </row>
    <row r="1081" spans="1:4">
      <c r="A1081" s="2">
        <v>5602</v>
      </c>
      <c r="C1081">
        <v>1</v>
      </c>
      <c r="D1081">
        <v>1</v>
      </c>
    </row>
    <row r="1082" spans="1:4">
      <c r="A1082" s="2">
        <v>5610</v>
      </c>
      <c r="C1082">
        <v>1</v>
      </c>
      <c r="D1082">
        <v>1</v>
      </c>
    </row>
    <row r="1083" spans="1:4">
      <c r="A1083" s="2">
        <v>5621</v>
      </c>
      <c r="C1083">
        <v>1</v>
      </c>
      <c r="D1083">
        <v>1</v>
      </c>
    </row>
    <row r="1084" spans="1:4">
      <c r="A1084" s="2">
        <v>5623</v>
      </c>
      <c r="C1084">
        <v>1</v>
      </c>
      <c r="D1084">
        <v>1</v>
      </c>
    </row>
    <row r="1085" spans="1:4">
      <c r="A1085" s="2">
        <v>5626</v>
      </c>
      <c r="B1085">
        <v>1</v>
      </c>
      <c r="D1085">
        <v>1</v>
      </c>
    </row>
    <row r="1086" spans="1:4">
      <c r="A1086" s="2">
        <v>5628</v>
      </c>
      <c r="C1086">
        <v>1</v>
      </c>
      <c r="D1086">
        <v>1</v>
      </c>
    </row>
    <row r="1087" spans="1:4">
      <c r="A1087" s="2">
        <v>5631</v>
      </c>
      <c r="B1087">
        <v>1</v>
      </c>
      <c r="D1087">
        <v>1</v>
      </c>
    </row>
    <row r="1088" spans="1:4">
      <c r="A1088" s="2">
        <v>5633</v>
      </c>
      <c r="C1088">
        <v>1</v>
      </c>
      <c r="D1088">
        <v>1</v>
      </c>
    </row>
    <row r="1089" spans="1:4">
      <c r="A1089" s="2">
        <v>5636</v>
      </c>
      <c r="B1089">
        <v>1</v>
      </c>
      <c r="D1089">
        <v>1</v>
      </c>
    </row>
    <row r="1090" spans="1:4">
      <c r="A1090" s="2">
        <v>5642</v>
      </c>
      <c r="C1090">
        <v>1</v>
      </c>
      <c r="D1090">
        <v>1</v>
      </c>
    </row>
    <row r="1091" spans="1:4">
      <c r="A1091" s="2">
        <v>5644</v>
      </c>
      <c r="C1091">
        <v>1</v>
      </c>
      <c r="D1091">
        <v>1</v>
      </c>
    </row>
    <row r="1092" spans="1:4">
      <c r="A1092" s="2">
        <v>5654</v>
      </c>
      <c r="C1092">
        <v>1</v>
      </c>
      <c r="D1092">
        <v>1</v>
      </c>
    </row>
    <row r="1093" spans="1:4">
      <c r="A1093" s="2">
        <v>5667</v>
      </c>
      <c r="C1093">
        <v>1</v>
      </c>
      <c r="D1093">
        <v>1</v>
      </c>
    </row>
    <row r="1094" spans="1:4">
      <c r="A1094" s="2">
        <v>5675</v>
      </c>
      <c r="B1094">
        <v>1</v>
      </c>
      <c r="D1094">
        <v>1</v>
      </c>
    </row>
    <row r="1095" spans="1:4">
      <c r="A1095" s="2">
        <v>5680</v>
      </c>
      <c r="C1095">
        <v>1</v>
      </c>
      <c r="D1095">
        <v>1</v>
      </c>
    </row>
    <row r="1096" spans="1:4">
      <c r="A1096" s="2">
        <v>5682</v>
      </c>
      <c r="B1096">
        <v>1</v>
      </c>
      <c r="D1096">
        <v>1</v>
      </c>
    </row>
    <row r="1097" spans="1:4">
      <c r="A1097" s="2">
        <v>5684</v>
      </c>
      <c r="B1097">
        <v>1</v>
      </c>
      <c r="D1097">
        <v>1</v>
      </c>
    </row>
    <row r="1098" spans="1:4">
      <c r="A1098" s="2">
        <v>5687</v>
      </c>
      <c r="B1098">
        <v>1</v>
      </c>
      <c r="D1098">
        <v>1</v>
      </c>
    </row>
    <row r="1099" spans="1:4">
      <c r="A1099" s="2">
        <v>5692</v>
      </c>
      <c r="C1099">
        <v>1</v>
      </c>
      <c r="D1099">
        <v>1</v>
      </c>
    </row>
    <row r="1100" spans="1:4">
      <c r="A1100" s="2">
        <v>5710</v>
      </c>
      <c r="C1100">
        <v>1</v>
      </c>
      <c r="D1100">
        <v>1</v>
      </c>
    </row>
    <row r="1101" spans="1:4">
      <c r="A1101" s="2">
        <v>5718</v>
      </c>
      <c r="C1101">
        <v>1</v>
      </c>
      <c r="D1101">
        <v>1</v>
      </c>
    </row>
    <row r="1102" spans="1:4">
      <c r="A1102" s="2">
        <v>5721</v>
      </c>
      <c r="C1102">
        <v>1</v>
      </c>
      <c r="D1102">
        <v>1</v>
      </c>
    </row>
    <row r="1103" spans="1:4">
      <c r="A1103" s="2">
        <v>5723</v>
      </c>
      <c r="C1103">
        <v>1</v>
      </c>
      <c r="D1103">
        <v>1</v>
      </c>
    </row>
    <row r="1104" spans="1:4">
      <c r="A1104" s="2">
        <v>5726</v>
      </c>
      <c r="B1104">
        <v>1</v>
      </c>
      <c r="D1104">
        <v>1</v>
      </c>
    </row>
    <row r="1105" spans="1:4">
      <c r="A1105" s="2">
        <v>5731</v>
      </c>
      <c r="C1105">
        <v>1</v>
      </c>
      <c r="D1105">
        <v>1</v>
      </c>
    </row>
    <row r="1106" spans="1:4">
      <c r="A1106" s="2">
        <v>5734</v>
      </c>
      <c r="C1106">
        <v>1</v>
      </c>
      <c r="D1106">
        <v>1</v>
      </c>
    </row>
    <row r="1107" spans="1:4">
      <c r="A1107" s="2">
        <v>5740</v>
      </c>
      <c r="B1107">
        <v>1</v>
      </c>
      <c r="D1107">
        <v>1</v>
      </c>
    </row>
    <row r="1108" spans="1:4">
      <c r="A1108" s="2">
        <v>5748</v>
      </c>
      <c r="C1108">
        <v>1</v>
      </c>
      <c r="D1108">
        <v>1</v>
      </c>
    </row>
    <row r="1109" spans="1:4">
      <c r="A1109" s="2">
        <v>5751</v>
      </c>
      <c r="B1109">
        <v>1</v>
      </c>
      <c r="D1109">
        <v>1</v>
      </c>
    </row>
    <row r="1110" spans="1:4">
      <c r="A1110" s="2">
        <v>5756</v>
      </c>
      <c r="C1110">
        <v>1</v>
      </c>
      <c r="D1110">
        <v>1</v>
      </c>
    </row>
    <row r="1111" spans="1:4">
      <c r="A1111" s="2">
        <v>5758</v>
      </c>
      <c r="C1111">
        <v>1</v>
      </c>
      <c r="D1111">
        <v>1</v>
      </c>
    </row>
    <row r="1112" spans="1:4">
      <c r="A1112" s="2">
        <v>5763</v>
      </c>
      <c r="C1112">
        <v>1</v>
      </c>
      <c r="D1112">
        <v>1</v>
      </c>
    </row>
    <row r="1113" spans="1:4">
      <c r="A1113" s="2">
        <v>5782</v>
      </c>
      <c r="C1113">
        <v>1</v>
      </c>
      <c r="D1113">
        <v>1</v>
      </c>
    </row>
    <row r="1114" spans="1:4">
      <c r="A1114" s="2">
        <v>5788</v>
      </c>
      <c r="C1114">
        <v>1</v>
      </c>
      <c r="D1114">
        <v>1</v>
      </c>
    </row>
    <row r="1115" spans="1:4">
      <c r="A1115" s="2">
        <v>5790</v>
      </c>
      <c r="C1115">
        <v>1</v>
      </c>
      <c r="D1115">
        <v>1</v>
      </c>
    </row>
    <row r="1116" spans="1:4">
      <c r="A1116" s="2">
        <v>5794</v>
      </c>
      <c r="C1116">
        <v>1</v>
      </c>
      <c r="D1116">
        <v>1</v>
      </c>
    </row>
    <row r="1117" spans="1:4">
      <c r="A1117" s="2">
        <v>5796</v>
      </c>
      <c r="C1117">
        <v>1</v>
      </c>
      <c r="D1117">
        <v>1</v>
      </c>
    </row>
    <row r="1118" spans="1:4">
      <c r="A1118" s="2">
        <v>5802</v>
      </c>
      <c r="C1118">
        <v>1</v>
      </c>
      <c r="D1118">
        <v>1</v>
      </c>
    </row>
    <row r="1119" spans="1:4">
      <c r="A1119" s="2">
        <v>5823</v>
      </c>
      <c r="B1119">
        <v>1</v>
      </c>
      <c r="D1119">
        <v>1</v>
      </c>
    </row>
    <row r="1120" spans="1:4">
      <c r="A1120" s="2">
        <v>5824</v>
      </c>
      <c r="C1120">
        <v>1</v>
      </c>
      <c r="D1120">
        <v>1</v>
      </c>
    </row>
    <row r="1121" spans="1:4">
      <c r="A1121" s="2">
        <v>5827</v>
      </c>
      <c r="B1121">
        <v>1</v>
      </c>
      <c r="D1121">
        <v>1</v>
      </c>
    </row>
    <row r="1122" spans="1:4">
      <c r="A1122" s="2">
        <v>5830</v>
      </c>
      <c r="B1122">
        <v>1</v>
      </c>
      <c r="D1122">
        <v>1</v>
      </c>
    </row>
    <row r="1123" spans="1:4">
      <c r="A1123" s="2">
        <v>5831</v>
      </c>
      <c r="C1123">
        <v>1</v>
      </c>
      <c r="D1123">
        <v>1</v>
      </c>
    </row>
    <row r="1124" spans="1:4">
      <c r="A1124" s="2">
        <v>5832</v>
      </c>
      <c r="C1124">
        <v>1</v>
      </c>
      <c r="D1124">
        <v>1</v>
      </c>
    </row>
    <row r="1125" spans="1:4">
      <c r="A1125" s="2">
        <v>5835</v>
      </c>
      <c r="B1125">
        <v>1</v>
      </c>
      <c r="D1125">
        <v>1</v>
      </c>
    </row>
    <row r="1126" spans="1:4">
      <c r="A1126" s="2">
        <v>5837</v>
      </c>
      <c r="C1126">
        <v>1</v>
      </c>
      <c r="D1126">
        <v>1</v>
      </c>
    </row>
    <row r="1127" spans="1:4">
      <c r="A1127" s="2">
        <v>5841</v>
      </c>
      <c r="C1127">
        <v>1</v>
      </c>
      <c r="D1127">
        <v>1</v>
      </c>
    </row>
    <row r="1128" spans="1:4">
      <c r="A1128" s="2">
        <v>5846</v>
      </c>
      <c r="B1128">
        <v>1</v>
      </c>
      <c r="D1128">
        <v>1</v>
      </c>
    </row>
    <row r="1129" spans="1:4">
      <c r="A1129" s="2">
        <v>5847</v>
      </c>
      <c r="B1129">
        <v>1</v>
      </c>
      <c r="D1129">
        <v>1</v>
      </c>
    </row>
    <row r="1130" spans="1:4">
      <c r="A1130" s="2">
        <v>5848</v>
      </c>
      <c r="C1130">
        <v>1</v>
      </c>
      <c r="D1130">
        <v>1</v>
      </c>
    </row>
    <row r="1131" spans="1:4">
      <c r="A1131" s="2">
        <v>5863</v>
      </c>
      <c r="C1131">
        <v>1</v>
      </c>
      <c r="D1131">
        <v>1</v>
      </c>
    </row>
    <row r="1132" spans="1:4">
      <c r="A1132" s="2">
        <v>5866</v>
      </c>
      <c r="C1132">
        <v>1</v>
      </c>
      <c r="D1132">
        <v>1</v>
      </c>
    </row>
    <row r="1133" spans="1:4">
      <c r="A1133" s="2">
        <v>5868</v>
      </c>
      <c r="C1133">
        <v>1</v>
      </c>
      <c r="D1133">
        <v>1</v>
      </c>
    </row>
    <row r="1134" spans="1:4">
      <c r="A1134" s="2">
        <v>5871</v>
      </c>
      <c r="C1134">
        <v>1</v>
      </c>
      <c r="D1134">
        <v>1</v>
      </c>
    </row>
    <row r="1135" spans="1:4">
      <c r="A1135" s="2">
        <v>5872</v>
      </c>
      <c r="B1135">
        <v>1</v>
      </c>
      <c r="D1135">
        <v>1</v>
      </c>
    </row>
    <row r="1136" spans="1:4">
      <c r="A1136" s="2">
        <v>5883</v>
      </c>
      <c r="C1136">
        <v>1</v>
      </c>
      <c r="D1136">
        <v>1</v>
      </c>
    </row>
    <row r="1137" spans="1:4">
      <c r="A1137" s="2">
        <v>5892</v>
      </c>
      <c r="C1137">
        <v>1</v>
      </c>
      <c r="D1137">
        <v>1</v>
      </c>
    </row>
    <row r="1138" spans="1:4">
      <c r="A1138" s="2">
        <v>5896</v>
      </c>
      <c r="C1138">
        <v>1</v>
      </c>
      <c r="D1138">
        <v>1</v>
      </c>
    </row>
    <row r="1139" spans="1:4">
      <c r="A1139" s="2">
        <v>5899</v>
      </c>
      <c r="C1139">
        <v>1</v>
      </c>
      <c r="D1139">
        <v>1</v>
      </c>
    </row>
    <row r="1140" spans="1:4">
      <c r="A1140" s="2">
        <v>5907</v>
      </c>
      <c r="C1140">
        <v>1</v>
      </c>
      <c r="D1140">
        <v>1</v>
      </c>
    </row>
    <row r="1141" spans="1:4">
      <c r="A1141" s="2">
        <v>5909</v>
      </c>
      <c r="C1141">
        <v>1</v>
      </c>
      <c r="D1141">
        <v>1</v>
      </c>
    </row>
    <row r="1142" spans="1:4">
      <c r="A1142" s="2">
        <v>5922</v>
      </c>
      <c r="C1142">
        <v>1</v>
      </c>
      <c r="D1142">
        <v>1</v>
      </c>
    </row>
    <row r="1143" spans="1:4">
      <c r="A1143" s="2">
        <v>5929</v>
      </c>
      <c r="C1143">
        <v>1</v>
      </c>
      <c r="D1143">
        <v>1</v>
      </c>
    </row>
    <row r="1144" spans="1:4">
      <c r="A1144" s="2">
        <v>5935</v>
      </c>
      <c r="B1144">
        <v>1</v>
      </c>
      <c r="D1144">
        <v>1</v>
      </c>
    </row>
    <row r="1145" spans="1:4">
      <c r="A1145" s="2">
        <v>5939</v>
      </c>
      <c r="C1145">
        <v>1</v>
      </c>
      <c r="D1145">
        <v>1</v>
      </c>
    </row>
    <row r="1146" spans="1:4">
      <c r="A1146" s="2">
        <v>5948</v>
      </c>
      <c r="B1146">
        <v>1</v>
      </c>
      <c r="D1146">
        <v>1</v>
      </c>
    </row>
    <row r="1147" spans="1:4">
      <c r="A1147" s="2">
        <v>5954</v>
      </c>
      <c r="B1147">
        <v>1</v>
      </c>
      <c r="D1147">
        <v>1</v>
      </c>
    </row>
    <row r="1148" spans="1:4">
      <c r="A1148" s="2">
        <v>5955</v>
      </c>
      <c r="C1148">
        <v>1</v>
      </c>
      <c r="D1148">
        <v>1</v>
      </c>
    </row>
    <row r="1149" spans="1:4">
      <c r="A1149" s="2">
        <v>5956</v>
      </c>
      <c r="B1149">
        <v>1</v>
      </c>
      <c r="D1149">
        <v>1</v>
      </c>
    </row>
    <row r="1150" spans="1:4">
      <c r="A1150" s="2">
        <v>5959</v>
      </c>
      <c r="B1150">
        <v>1</v>
      </c>
      <c r="D1150">
        <v>1</v>
      </c>
    </row>
    <row r="1151" spans="1:4">
      <c r="A1151" s="2">
        <v>5961</v>
      </c>
      <c r="C1151">
        <v>1</v>
      </c>
      <c r="D1151">
        <v>1</v>
      </c>
    </row>
    <row r="1152" spans="1:4">
      <c r="A1152" s="2">
        <v>5966</v>
      </c>
      <c r="C1152">
        <v>1</v>
      </c>
      <c r="D1152">
        <v>1</v>
      </c>
    </row>
    <row r="1153" spans="1:4">
      <c r="A1153" s="2">
        <v>5967</v>
      </c>
      <c r="C1153">
        <v>1</v>
      </c>
      <c r="D1153">
        <v>1</v>
      </c>
    </row>
    <row r="1154" spans="1:4">
      <c r="A1154" s="2">
        <v>5975</v>
      </c>
      <c r="B1154">
        <v>1</v>
      </c>
      <c r="D1154">
        <v>1</v>
      </c>
    </row>
    <row r="1155" spans="1:4">
      <c r="A1155" s="2">
        <v>5985</v>
      </c>
      <c r="B1155">
        <v>1</v>
      </c>
      <c r="D1155">
        <v>1</v>
      </c>
    </row>
    <row r="1156" spans="1:4">
      <c r="A1156" s="2">
        <v>5987</v>
      </c>
      <c r="C1156">
        <v>1</v>
      </c>
      <c r="D1156">
        <v>1</v>
      </c>
    </row>
    <row r="1157" spans="1:4">
      <c r="A1157" s="2">
        <v>5989</v>
      </c>
      <c r="B1157">
        <v>1</v>
      </c>
      <c r="D1157">
        <v>1</v>
      </c>
    </row>
    <row r="1158" spans="1:4">
      <c r="A1158" s="2">
        <v>5991</v>
      </c>
      <c r="C1158">
        <v>1</v>
      </c>
      <c r="D1158">
        <v>1</v>
      </c>
    </row>
    <row r="1159" spans="1:4">
      <c r="A1159" s="2">
        <v>5995</v>
      </c>
      <c r="B1159">
        <v>1</v>
      </c>
      <c r="D1159">
        <v>1</v>
      </c>
    </row>
    <row r="1160" spans="1:4">
      <c r="A1160" s="2">
        <v>6001</v>
      </c>
      <c r="C1160">
        <v>1</v>
      </c>
      <c r="D1160">
        <v>1</v>
      </c>
    </row>
    <row r="1161" spans="1:4">
      <c r="A1161" s="2">
        <v>6019</v>
      </c>
      <c r="C1161">
        <v>1</v>
      </c>
      <c r="D1161">
        <v>1</v>
      </c>
    </row>
    <row r="1162" spans="1:4">
      <c r="A1162" s="2">
        <v>6036</v>
      </c>
      <c r="C1162">
        <v>1</v>
      </c>
      <c r="D1162">
        <v>1</v>
      </c>
    </row>
    <row r="1163" spans="1:4">
      <c r="A1163" s="2">
        <v>6049</v>
      </c>
      <c r="C1163">
        <v>1</v>
      </c>
      <c r="D1163">
        <v>1</v>
      </c>
    </row>
    <row r="1164" spans="1:4">
      <c r="A1164" s="2">
        <v>6050</v>
      </c>
      <c r="C1164">
        <v>1</v>
      </c>
      <c r="D1164">
        <v>1</v>
      </c>
    </row>
    <row r="1165" spans="1:4">
      <c r="A1165" s="2">
        <v>6055</v>
      </c>
      <c r="C1165">
        <v>1</v>
      </c>
      <c r="D1165">
        <v>1</v>
      </c>
    </row>
    <row r="1166" spans="1:4">
      <c r="A1166" s="2">
        <v>6059</v>
      </c>
      <c r="C1166">
        <v>1</v>
      </c>
      <c r="D1166">
        <v>1</v>
      </c>
    </row>
    <row r="1167" spans="1:4">
      <c r="A1167" s="2">
        <v>6072</v>
      </c>
      <c r="B1167">
        <v>1</v>
      </c>
      <c r="D1167">
        <v>1</v>
      </c>
    </row>
    <row r="1168" spans="1:4">
      <c r="A1168" s="2">
        <v>6086</v>
      </c>
      <c r="C1168">
        <v>1</v>
      </c>
      <c r="D1168">
        <v>1</v>
      </c>
    </row>
    <row r="1169" spans="1:4">
      <c r="A1169" s="2">
        <v>6097</v>
      </c>
      <c r="B1169">
        <v>1</v>
      </c>
      <c r="D1169">
        <v>1</v>
      </c>
    </row>
    <row r="1170" spans="1:4">
      <c r="A1170" s="2">
        <v>6103</v>
      </c>
      <c r="C1170">
        <v>1</v>
      </c>
      <c r="D1170">
        <v>1</v>
      </c>
    </row>
    <row r="1171" spans="1:4">
      <c r="A1171" s="2">
        <v>6116</v>
      </c>
      <c r="C1171">
        <v>1</v>
      </c>
      <c r="D1171">
        <v>1</v>
      </c>
    </row>
    <row r="1172" spans="1:4">
      <c r="A1172" s="2">
        <v>6119</v>
      </c>
      <c r="B1172">
        <v>1</v>
      </c>
      <c r="D1172">
        <v>1</v>
      </c>
    </row>
    <row r="1173" spans="1:4">
      <c r="A1173" s="2">
        <v>6131</v>
      </c>
      <c r="C1173">
        <v>1</v>
      </c>
      <c r="D1173">
        <v>1</v>
      </c>
    </row>
    <row r="1174" spans="1:4">
      <c r="A1174" s="2">
        <v>6141</v>
      </c>
      <c r="B1174">
        <v>1</v>
      </c>
      <c r="D1174">
        <v>1</v>
      </c>
    </row>
    <row r="1175" spans="1:4">
      <c r="A1175" s="2">
        <v>6142</v>
      </c>
      <c r="C1175">
        <v>1</v>
      </c>
      <c r="D1175">
        <v>1</v>
      </c>
    </row>
    <row r="1176" spans="1:4">
      <c r="A1176" s="2">
        <v>6147</v>
      </c>
      <c r="B1176">
        <v>1</v>
      </c>
      <c r="D1176">
        <v>1</v>
      </c>
    </row>
    <row r="1177" spans="1:4">
      <c r="A1177" s="2">
        <v>6168</v>
      </c>
      <c r="B1177">
        <v>1</v>
      </c>
      <c r="D1177">
        <v>1</v>
      </c>
    </row>
    <row r="1178" spans="1:4">
      <c r="A1178" s="2">
        <v>6177</v>
      </c>
      <c r="C1178">
        <v>1</v>
      </c>
      <c r="D1178">
        <v>1</v>
      </c>
    </row>
    <row r="1179" spans="1:4">
      <c r="A1179" s="2">
        <v>6181</v>
      </c>
      <c r="C1179">
        <v>1</v>
      </c>
      <c r="D1179">
        <v>1</v>
      </c>
    </row>
    <row r="1180" spans="1:4">
      <c r="A1180" s="2">
        <v>6182</v>
      </c>
      <c r="C1180">
        <v>1</v>
      </c>
      <c r="D1180">
        <v>1</v>
      </c>
    </row>
    <row r="1181" spans="1:4">
      <c r="A1181" s="2">
        <v>6184</v>
      </c>
      <c r="C1181">
        <v>1</v>
      </c>
      <c r="D1181">
        <v>1</v>
      </c>
    </row>
    <row r="1182" spans="1:4">
      <c r="A1182" s="2">
        <v>6197</v>
      </c>
      <c r="B1182">
        <v>1</v>
      </c>
      <c r="D1182">
        <v>1</v>
      </c>
    </row>
    <row r="1183" spans="1:4">
      <c r="A1183" s="2">
        <v>6200</v>
      </c>
      <c r="C1183">
        <v>1</v>
      </c>
      <c r="D1183">
        <v>1</v>
      </c>
    </row>
    <row r="1184" spans="1:4">
      <c r="A1184" s="2">
        <v>6201</v>
      </c>
      <c r="B1184">
        <v>1</v>
      </c>
      <c r="D1184">
        <v>1</v>
      </c>
    </row>
    <row r="1185" spans="1:4">
      <c r="A1185" s="2">
        <v>6203</v>
      </c>
      <c r="C1185">
        <v>1</v>
      </c>
      <c r="D1185">
        <v>1</v>
      </c>
    </row>
    <row r="1186" spans="1:4">
      <c r="A1186" s="2">
        <v>6205</v>
      </c>
      <c r="B1186">
        <v>1</v>
      </c>
      <c r="D1186">
        <v>1</v>
      </c>
    </row>
    <row r="1187" spans="1:4">
      <c r="A1187" s="2">
        <v>6211</v>
      </c>
      <c r="C1187">
        <v>1</v>
      </c>
      <c r="D1187">
        <v>1</v>
      </c>
    </row>
    <row r="1188" spans="1:4">
      <c r="A1188" s="2">
        <v>6214</v>
      </c>
      <c r="C1188">
        <v>1</v>
      </c>
      <c r="D1188">
        <v>1</v>
      </c>
    </row>
    <row r="1189" spans="1:4">
      <c r="A1189" s="2">
        <v>6215</v>
      </c>
      <c r="C1189">
        <v>1</v>
      </c>
      <c r="D1189">
        <v>1</v>
      </c>
    </row>
    <row r="1190" spans="1:4">
      <c r="A1190" s="2">
        <v>6218</v>
      </c>
      <c r="C1190">
        <v>1</v>
      </c>
      <c r="D1190">
        <v>1</v>
      </c>
    </row>
    <row r="1191" spans="1:4">
      <c r="A1191" s="2">
        <v>6230</v>
      </c>
      <c r="B1191">
        <v>1</v>
      </c>
      <c r="D1191">
        <v>1</v>
      </c>
    </row>
    <row r="1192" spans="1:4">
      <c r="A1192" s="2">
        <v>6233</v>
      </c>
      <c r="C1192">
        <v>1</v>
      </c>
      <c r="D1192">
        <v>1</v>
      </c>
    </row>
    <row r="1193" spans="1:4">
      <c r="A1193" s="2">
        <v>6237</v>
      </c>
      <c r="B1193">
        <v>1</v>
      </c>
      <c r="D1193">
        <v>1</v>
      </c>
    </row>
    <row r="1194" spans="1:4">
      <c r="A1194" s="2">
        <v>6245</v>
      </c>
      <c r="C1194">
        <v>1</v>
      </c>
      <c r="D1194">
        <v>1</v>
      </c>
    </row>
    <row r="1195" spans="1:4">
      <c r="A1195" s="2">
        <v>6246</v>
      </c>
      <c r="B1195">
        <v>1</v>
      </c>
      <c r="D1195">
        <v>1</v>
      </c>
    </row>
    <row r="1196" spans="1:4">
      <c r="A1196" s="2">
        <v>6248</v>
      </c>
      <c r="B1196">
        <v>1</v>
      </c>
      <c r="D1196">
        <v>1</v>
      </c>
    </row>
    <row r="1197" spans="1:4">
      <c r="A1197" s="2">
        <v>6250</v>
      </c>
      <c r="B1197">
        <v>1</v>
      </c>
      <c r="D1197">
        <v>1</v>
      </c>
    </row>
    <row r="1198" spans="1:4">
      <c r="A1198" s="2">
        <v>6255</v>
      </c>
      <c r="C1198">
        <v>1</v>
      </c>
      <c r="D1198">
        <v>1</v>
      </c>
    </row>
    <row r="1199" spans="1:4">
      <c r="A1199" s="2">
        <v>6257</v>
      </c>
      <c r="B1199">
        <v>1</v>
      </c>
      <c r="D1199">
        <v>1</v>
      </c>
    </row>
    <row r="1200" spans="1:4">
      <c r="A1200" s="2">
        <v>6260</v>
      </c>
      <c r="C1200">
        <v>1</v>
      </c>
      <c r="D1200">
        <v>1</v>
      </c>
    </row>
    <row r="1201" spans="1:4">
      <c r="A1201" s="2">
        <v>6261</v>
      </c>
      <c r="C1201">
        <v>1</v>
      </c>
      <c r="D1201">
        <v>1</v>
      </c>
    </row>
    <row r="1202" spans="1:4">
      <c r="A1202" s="2">
        <v>6262</v>
      </c>
      <c r="B1202">
        <v>1</v>
      </c>
      <c r="D1202">
        <v>1</v>
      </c>
    </row>
    <row r="1203" spans="1:4">
      <c r="A1203" s="2">
        <v>6263</v>
      </c>
      <c r="C1203">
        <v>1</v>
      </c>
      <c r="D1203">
        <v>1</v>
      </c>
    </row>
    <row r="1204" spans="1:4">
      <c r="A1204" s="2">
        <v>6271</v>
      </c>
      <c r="C1204">
        <v>1</v>
      </c>
      <c r="D1204">
        <v>1</v>
      </c>
    </row>
    <row r="1205" spans="1:4">
      <c r="A1205" s="2">
        <v>6274</v>
      </c>
      <c r="C1205">
        <v>1</v>
      </c>
      <c r="D1205">
        <v>1</v>
      </c>
    </row>
    <row r="1206" spans="1:4">
      <c r="A1206" s="2">
        <v>6281</v>
      </c>
      <c r="B1206">
        <v>1</v>
      </c>
      <c r="D1206">
        <v>1</v>
      </c>
    </row>
    <row r="1207" spans="1:4">
      <c r="A1207" s="2">
        <v>6287</v>
      </c>
      <c r="C1207">
        <v>1</v>
      </c>
      <c r="D1207">
        <v>1</v>
      </c>
    </row>
    <row r="1208" spans="1:4">
      <c r="A1208" s="2">
        <v>6289</v>
      </c>
      <c r="C1208">
        <v>1</v>
      </c>
      <c r="D1208">
        <v>1</v>
      </c>
    </row>
    <row r="1209" spans="1:4">
      <c r="A1209" s="2">
        <v>6292</v>
      </c>
      <c r="C1209">
        <v>1</v>
      </c>
      <c r="D1209">
        <v>1</v>
      </c>
    </row>
    <row r="1210" spans="1:4">
      <c r="A1210" s="2">
        <v>6295</v>
      </c>
      <c r="C1210">
        <v>1</v>
      </c>
      <c r="D1210">
        <v>1</v>
      </c>
    </row>
    <row r="1211" spans="1:4">
      <c r="A1211" s="2">
        <v>6299</v>
      </c>
      <c r="B1211">
        <v>1</v>
      </c>
      <c r="D1211">
        <v>1</v>
      </c>
    </row>
    <row r="1212" spans="1:4">
      <c r="A1212" s="2">
        <v>6303</v>
      </c>
      <c r="C1212">
        <v>1</v>
      </c>
      <c r="D1212">
        <v>1</v>
      </c>
    </row>
    <row r="1213" spans="1:4">
      <c r="A1213" s="2">
        <v>6310</v>
      </c>
      <c r="C1213">
        <v>1</v>
      </c>
      <c r="D1213">
        <v>1</v>
      </c>
    </row>
    <row r="1214" spans="1:4">
      <c r="A1214" s="2">
        <v>6312</v>
      </c>
      <c r="C1214">
        <v>1</v>
      </c>
      <c r="D1214">
        <v>1</v>
      </c>
    </row>
    <row r="1215" spans="1:4">
      <c r="A1215" s="2">
        <v>6320</v>
      </c>
      <c r="B1215">
        <v>1</v>
      </c>
      <c r="D1215">
        <v>1</v>
      </c>
    </row>
    <row r="1216" spans="1:4">
      <c r="A1216" s="2">
        <v>6327</v>
      </c>
      <c r="C1216">
        <v>1</v>
      </c>
      <c r="D1216">
        <v>1</v>
      </c>
    </row>
    <row r="1217" spans="1:4">
      <c r="A1217" s="2">
        <v>6336</v>
      </c>
      <c r="C1217">
        <v>1</v>
      </c>
      <c r="D1217">
        <v>1</v>
      </c>
    </row>
    <row r="1218" spans="1:4">
      <c r="A1218" s="2">
        <v>6340</v>
      </c>
      <c r="B1218">
        <v>1</v>
      </c>
      <c r="D1218">
        <v>1</v>
      </c>
    </row>
    <row r="1219" spans="1:4">
      <c r="A1219" s="2">
        <v>6343</v>
      </c>
      <c r="C1219">
        <v>1</v>
      </c>
      <c r="D1219">
        <v>1</v>
      </c>
    </row>
    <row r="1220" spans="1:4">
      <c r="A1220" s="2">
        <v>6347</v>
      </c>
      <c r="B1220">
        <v>1</v>
      </c>
      <c r="D1220">
        <v>1</v>
      </c>
    </row>
    <row r="1221" spans="1:4">
      <c r="A1221" s="2">
        <v>6349</v>
      </c>
      <c r="B1221">
        <v>1</v>
      </c>
      <c r="D1221">
        <v>1</v>
      </c>
    </row>
    <row r="1222" spans="1:4">
      <c r="A1222" s="2">
        <v>6354</v>
      </c>
      <c r="C1222">
        <v>1</v>
      </c>
      <c r="D1222">
        <v>1</v>
      </c>
    </row>
    <row r="1223" spans="1:4">
      <c r="A1223" s="2">
        <v>6355</v>
      </c>
      <c r="C1223">
        <v>1</v>
      </c>
      <c r="D1223">
        <v>1</v>
      </c>
    </row>
    <row r="1224" spans="1:4">
      <c r="A1224" s="2">
        <v>6357</v>
      </c>
      <c r="B1224">
        <v>1</v>
      </c>
      <c r="D1224">
        <v>1</v>
      </c>
    </row>
    <row r="1225" spans="1:4">
      <c r="A1225" s="2">
        <v>6365</v>
      </c>
      <c r="C1225">
        <v>1</v>
      </c>
      <c r="D1225">
        <v>1</v>
      </c>
    </row>
    <row r="1226" spans="1:4">
      <c r="A1226" s="2">
        <v>6374</v>
      </c>
      <c r="C1226">
        <v>1</v>
      </c>
      <c r="D1226">
        <v>1</v>
      </c>
    </row>
    <row r="1227" spans="1:4">
      <c r="A1227" s="2">
        <v>6376</v>
      </c>
      <c r="B1227">
        <v>1</v>
      </c>
      <c r="D1227">
        <v>1</v>
      </c>
    </row>
    <row r="1228" spans="1:4">
      <c r="A1228" s="2">
        <v>6379</v>
      </c>
      <c r="B1228">
        <v>1</v>
      </c>
      <c r="D1228">
        <v>1</v>
      </c>
    </row>
    <row r="1229" spans="1:4">
      <c r="A1229" s="2">
        <v>6382</v>
      </c>
      <c r="C1229">
        <v>1</v>
      </c>
      <c r="D1229">
        <v>1</v>
      </c>
    </row>
    <row r="1230" spans="1:4">
      <c r="A1230" s="2">
        <v>6383</v>
      </c>
      <c r="C1230">
        <v>1</v>
      </c>
      <c r="D1230">
        <v>1</v>
      </c>
    </row>
    <row r="1231" spans="1:4">
      <c r="A1231" s="2">
        <v>6384</v>
      </c>
      <c r="B1231">
        <v>1</v>
      </c>
      <c r="D1231">
        <v>1</v>
      </c>
    </row>
    <row r="1232" spans="1:4">
      <c r="A1232" s="2">
        <v>6387</v>
      </c>
      <c r="C1232">
        <v>1</v>
      </c>
      <c r="D1232">
        <v>1</v>
      </c>
    </row>
    <row r="1233" spans="1:4">
      <c r="A1233" s="2">
        <v>6398</v>
      </c>
      <c r="C1233">
        <v>1</v>
      </c>
      <c r="D1233">
        <v>1</v>
      </c>
    </row>
    <row r="1234" spans="1:4">
      <c r="A1234" s="2">
        <v>6404</v>
      </c>
      <c r="C1234">
        <v>1</v>
      </c>
      <c r="D1234">
        <v>1</v>
      </c>
    </row>
    <row r="1235" spans="1:4">
      <c r="A1235" s="2">
        <v>6406</v>
      </c>
      <c r="C1235">
        <v>1</v>
      </c>
      <c r="D1235">
        <v>1</v>
      </c>
    </row>
    <row r="1236" spans="1:4">
      <c r="A1236" s="2">
        <v>6409</v>
      </c>
      <c r="B1236">
        <v>1</v>
      </c>
      <c r="D1236">
        <v>1</v>
      </c>
    </row>
    <row r="1237" spans="1:4">
      <c r="A1237" s="2">
        <v>6417</v>
      </c>
      <c r="C1237">
        <v>1</v>
      </c>
      <c r="D1237">
        <v>1</v>
      </c>
    </row>
    <row r="1238" spans="1:4">
      <c r="A1238" s="2">
        <v>6421</v>
      </c>
      <c r="C1238">
        <v>1</v>
      </c>
      <c r="D1238">
        <v>1</v>
      </c>
    </row>
    <row r="1239" spans="1:4">
      <c r="A1239" s="2">
        <v>6422</v>
      </c>
      <c r="C1239">
        <v>1</v>
      </c>
      <c r="D1239">
        <v>1</v>
      </c>
    </row>
    <row r="1240" spans="1:4">
      <c r="A1240" s="2">
        <v>6424</v>
      </c>
      <c r="C1240">
        <v>1</v>
      </c>
      <c r="D1240">
        <v>1</v>
      </c>
    </row>
    <row r="1241" spans="1:4">
      <c r="A1241" s="2">
        <v>6428</v>
      </c>
      <c r="B1241">
        <v>1</v>
      </c>
      <c r="D1241">
        <v>1</v>
      </c>
    </row>
    <row r="1242" spans="1:4">
      <c r="A1242" s="2">
        <v>6431</v>
      </c>
      <c r="C1242">
        <v>1</v>
      </c>
      <c r="D1242">
        <v>1</v>
      </c>
    </row>
    <row r="1243" spans="1:4">
      <c r="A1243" s="2">
        <v>6437</v>
      </c>
      <c r="B1243">
        <v>1</v>
      </c>
      <c r="D1243">
        <v>1</v>
      </c>
    </row>
    <row r="1244" spans="1:4">
      <c r="A1244" s="2">
        <v>6439</v>
      </c>
      <c r="C1244">
        <v>1</v>
      </c>
      <c r="D1244">
        <v>1</v>
      </c>
    </row>
    <row r="1245" spans="1:4">
      <c r="A1245" s="2">
        <v>6445</v>
      </c>
      <c r="C1245">
        <v>1</v>
      </c>
      <c r="D1245">
        <v>1</v>
      </c>
    </row>
    <row r="1246" spans="1:4">
      <c r="A1246" s="2">
        <v>6457</v>
      </c>
      <c r="B1246">
        <v>1</v>
      </c>
      <c r="D1246">
        <v>1</v>
      </c>
    </row>
    <row r="1247" spans="1:4">
      <c r="A1247" s="2">
        <v>6460</v>
      </c>
      <c r="C1247">
        <v>1</v>
      </c>
      <c r="D1247">
        <v>1</v>
      </c>
    </row>
    <row r="1248" spans="1:4">
      <c r="A1248" s="2">
        <v>6461</v>
      </c>
      <c r="B1248">
        <v>1</v>
      </c>
      <c r="D1248">
        <v>1</v>
      </c>
    </row>
    <row r="1249" spans="1:4">
      <c r="A1249" s="2">
        <v>6466</v>
      </c>
      <c r="C1249">
        <v>1</v>
      </c>
      <c r="D1249">
        <v>1</v>
      </c>
    </row>
    <row r="1250" spans="1:4">
      <c r="A1250" s="2">
        <v>6471</v>
      </c>
      <c r="B1250">
        <v>1</v>
      </c>
      <c r="D1250">
        <v>1</v>
      </c>
    </row>
    <row r="1251" spans="1:4">
      <c r="A1251" s="2">
        <v>6488</v>
      </c>
      <c r="C1251">
        <v>1</v>
      </c>
      <c r="D1251">
        <v>1</v>
      </c>
    </row>
    <row r="1252" spans="1:4">
      <c r="A1252" s="2">
        <v>6497</v>
      </c>
      <c r="C1252">
        <v>1</v>
      </c>
      <c r="D1252">
        <v>1</v>
      </c>
    </row>
    <row r="1253" spans="1:4">
      <c r="A1253" s="2">
        <v>6504</v>
      </c>
      <c r="C1253">
        <v>1</v>
      </c>
      <c r="D1253">
        <v>1</v>
      </c>
    </row>
    <row r="1254" spans="1:4">
      <c r="A1254" s="2">
        <v>6507</v>
      </c>
      <c r="B1254">
        <v>1</v>
      </c>
      <c r="D1254">
        <v>1</v>
      </c>
    </row>
    <row r="1255" spans="1:4">
      <c r="A1255" s="2">
        <v>6515</v>
      </c>
      <c r="C1255">
        <v>1</v>
      </c>
      <c r="D1255">
        <v>1</v>
      </c>
    </row>
    <row r="1256" spans="1:4">
      <c r="A1256" s="2">
        <v>6516</v>
      </c>
      <c r="C1256">
        <v>1</v>
      </c>
      <c r="D1256">
        <v>1</v>
      </c>
    </row>
    <row r="1257" spans="1:4">
      <c r="A1257" s="2">
        <v>6518</v>
      </c>
      <c r="B1257">
        <v>1</v>
      </c>
      <c r="D1257">
        <v>1</v>
      </c>
    </row>
    <row r="1258" spans="1:4">
      <c r="A1258" s="2">
        <v>6521</v>
      </c>
      <c r="C1258">
        <v>1</v>
      </c>
      <c r="D1258">
        <v>1</v>
      </c>
    </row>
    <row r="1259" spans="1:4">
      <c r="A1259" s="2">
        <v>6528</v>
      </c>
      <c r="C1259">
        <v>1</v>
      </c>
      <c r="D1259">
        <v>1</v>
      </c>
    </row>
    <row r="1260" spans="1:4">
      <c r="A1260" s="2">
        <v>6534</v>
      </c>
      <c r="C1260">
        <v>1</v>
      </c>
      <c r="D1260">
        <v>1</v>
      </c>
    </row>
    <row r="1261" spans="1:4">
      <c r="A1261" s="2">
        <v>6543</v>
      </c>
      <c r="C1261">
        <v>1</v>
      </c>
      <c r="D1261">
        <v>1</v>
      </c>
    </row>
    <row r="1262" spans="1:4">
      <c r="A1262" s="2">
        <v>6565</v>
      </c>
      <c r="C1262">
        <v>1</v>
      </c>
      <c r="D1262">
        <v>1</v>
      </c>
    </row>
    <row r="1263" spans="1:4">
      <c r="A1263" s="2">
        <v>6566</v>
      </c>
      <c r="C1263">
        <v>1</v>
      </c>
      <c r="D1263">
        <v>1</v>
      </c>
    </row>
    <row r="1264" spans="1:4">
      <c r="A1264" s="2">
        <v>6568</v>
      </c>
      <c r="C1264">
        <v>1</v>
      </c>
      <c r="D1264">
        <v>1</v>
      </c>
    </row>
    <row r="1265" spans="1:4">
      <c r="A1265" s="2">
        <v>6575</v>
      </c>
      <c r="C1265">
        <v>1</v>
      </c>
      <c r="D1265">
        <v>1</v>
      </c>
    </row>
    <row r="1266" spans="1:4">
      <c r="A1266" s="2">
        <v>6605</v>
      </c>
      <c r="B1266">
        <v>1</v>
      </c>
      <c r="D1266">
        <v>1</v>
      </c>
    </row>
    <row r="1267" spans="1:4">
      <c r="A1267" s="2">
        <v>6606</v>
      </c>
      <c r="C1267">
        <v>1</v>
      </c>
      <c r="D1267">
        <v>1</v>
      </c>
    </row>
    <row r="1268" spans="1:4">
      <c r="A1268" s="2">
        <v>6609</v>
      </c>
      <c r="B1268">
        <v>1</v>
      </c>
      <c r="D1268">
        <v>1</v>
      </c>
    </row>
    <row r="1269" spans="1:4">
      <c r="A1269" s="2">
        <v>6613</v>
      </c>
      <c r="C1269">
        <v>1</v>
      </c>
      <c r="D1269">
        <v>1</v>
      </c>
    </row>
    <row r="1270" spans="1:4">
      <c r="A1270" s="2">
        <v>6616</v>
      </c>
      <c r="C1270">
        <v>1</v>
      </c>
      <c r="D1270">
        <v>1</v>
      </c>
    </row>
    <row r="1271" spans="1:4">
      <c r="A1271" s="2">
        <v>6619</v>
      </c>
      <c r="C1271">
        <v>1</v>
      </c>
      <c r="D1271">
        <v>1</v>
      </c>
    </row>
    <row r="1272" spans="1:4">
      <c r="A1272" s="2">
        <v>6634</v>
      </c>
      <c r="B1272">
        <v>1</v>
      </c>
      <c r="D1272">
        <v>1</v>
      </c>
    </row>
    <row r="1273" spans="1:4">
      <c r="A1273" s="2">
        <v>6637</v>
      </c>
      <c r="B1273">
        <v>1</v>
      </c>
      <c r="D1273">
        <v>1</v>
      </c>
    </row>
    <row r="1274" spans="1:4">
      <c r="A1274" s="2">
        <v>6642</v>
      </c>
      <c r="B1274">
        <v>1</v>
      </c>
      <c r="D1274">
        <v>1</v>
      </c>
    </row>
    <row r="1275" spans="1:4">
      <c r="A1275" s="2">
        <v>6646</v>
      </c>
      <c r="C1275">
        <v>1</v>
      </c>
      <c r="D1275">
        <v>1</v>
      </c>
    </row>
    <row r="1276" spans="1:4">
      <c r="A1276" s="2">
        <v>6652</v>
      </c>
      <c r="C1276">
        <v>1</v>
      </c>
      <c r="D1276">
        <v>1</v>
      </c>
    </row>
    <row r="1277" spans="1:4">
      <c r="A1277" s="2">
        <v>6653</v>
      </c>
      <c r="C1277">
        <v>1</v>
      </c>
      <c r="D1277">
        <v>1</v>
      </c>
    </row>
    <row r="1278" spans="1:4">
      <c r="A1278" s="2">
        <v>6658</v>
      </c>
      <c r="C1278">
        <v>1</v>
      </c>
      <c r="D1278">
        <v>1</v>
      </c>
    </row>
    <row r="1279" spans="1:4">
      <c r="A1279" s="2">
        <v>6663</v>
      </c>
      <c r="B1279">
        <v>1</v>
      </c>
      <c r="D1279">
        <v>1</v>
      </c>
    </row>
    <row r="1280" spans="1:4">
      <c r="A1280" s="2">
        <v>6673</v>
      </c>
      <c r="B1280">
        <v>1</v>
      </c>
      <c r="D1280">
        <v>1</v>
      </c>
    </row>
    <row r="1281" spans="1:4">
      <c r="A1281" s="2">
        <v>6678</v>
      </c>
      <c r="C1281">
        <v>1</v>
      </c>
      <c r="D1281">
        <v>1</v>
      </c>
    </row>
    <row r="1282" spans="1:4">
      <c r="A1282" s="2">
        <v>6679</v>
      </c>
      <c r="B1282">
        <v>1</v>
      </c>
      <c r="D1282">
        <v>1</v>
      </c>
    </row>
    <row r="1283" spans="1:4">
      <c r="A1283" s="2">
        <v>6682</v>
      </c>
      <c r="C1283">
        <v>1</v>
      </c>
      <c r="D1283">
        <v>1</v>
      </c>
    </row>
    <row r="1284" spans="1:4">
      <c r="A1284" s="2">
        <v>6690</v>
      </c>
      <c r="C1284">
        <v>1</v>
      </c>
      <c r="D1284">
        <v>1</v>
      </c>
    </row>
    <row r="1285" spans="1:4">
      <c r="A1285" s="2">
        <v>6694</v>
      </c>
      <c r="C1285">
        <v>1</v>
      </c>
      <c r="D1285">
        <v>1</v>
      </c>
    </row>
    <row r="1286" spans="1:4">
      <c r="A1286" s="2">
        <v>6710</v>
      </c>
      <c r="B1286">
        <v>1</v>
      </c>
      <c r="D1286">
        <v>1</v>
      </c>
    </row>
    <row r="1287" spans="1:4">
      <c r="A1287" s="2">
        <v>6715</v>
      </c>
      <c r="B1287">
        <v>1</v>
      </c>
      <c r="D1287">
        <v>1</v>
      </c>
    </row>
    <row r="1288" spans="1:4">
      <c r="A1288" s="2">
        <v>6720</v>
      </c>
      <c r="C1288">
        <v>1</v>
      </c>
      <c r="D1288">
        <v>1</v>
      </c>
    </row>
    <row r="1289" spans="1:4">
      <c r="A1289" s="2">
        <v>6721</v>
      </c>
      <c r="C1289">
        <v>1</v>
      </c>
      <c r="D1289">
        <v>1</v>
      </c>
    </row>
    <row r="1290" spans="1:4">
      <c r="A1290" s="2">
        <v>6722</v>
      </c>
      <c r="C1290">
        <v>1</v>
      </c>
      <c r="D1290">
        <v>1</v>
      </c>
    </row>
    <row r="1291" spans="1:4">
      <c r="A1291" s="2">
        <v>6728</v>
      </c>
      <c r="C1291">
        <v>1</v>
      </c>
      <c r="D1291">
        <v>1</v>
      </c>
    </row>
    <row r="1292" spans="1:4">
      <c r="A1292" s="2">
        <v>6729</v>
      </c>
      <c r="B1292">
        <v>1</v>
      </c>
      <c r="D1292">
        <v>1</v>
      </c>
    </row>
    <row r="1293" spans="1:4">
      <c r="A1293" s="2">
        <v>6730</v>
      </c>
      <c r="C1293">
        <v>1</v>
      </c>
      <c r="D1293">
        <v>1</v>
      </c>
    </row>
    <row r="1294" spans="1:4">
      <c r="A1294" s="2">
        <v>6742</v>
      </c>
      <c r="C1294">
        <v>1</v>
      </c>
      <c r="D1294">
        <v>1</v>
      </c>
    </row>
    <row r="1295" spans="1:4">
      <c r="A1295" s="2">
        <v>6749</v>
      </c>
      <c r="B1295">
        <v>1</v>
      </c>
      <c r="D1295">
        <v>1</v>
      </c>
    </row>
    <row r="1296" spans="1:4">
      <c r="A1296" s="2">
        <v>6768</v>
      </c>
      <c r="B1296">
        <v>1</v>
      </c>
      <c r="D1296">
        <v>1</v>
      </c>
    </row>
    <row r="1297" spans="1:4">
      <c r="A1297" s="2">
        <v>6770</v>
      </c>
      <c r="C1297">
        <v>1</v>
      </c>
      <c r="D1297">
        <v>1</v>
      </c>
    </row>
    <row r="1298" spans="1:4">
      <c r="A1298" s="2">
        <v>6810</v>
      </c>
      <c r="B1298">
        <v>1</v>
      </c>
      <c r="D1298">
        <v>1</v>
      </c>
    </row>
    <row r="1299" spans="1:4">
      <c r="A1299" s="2">
        <v>6815</v>
      </c>
      <c r="C1299">
        <v>1</v>
      </c>
      <c r="D1299">
        <v>1</v>
      </c>
    </row>
    <row r="1300" spans="1:4">
      <c r="A1300" s="2">
        <v>6818</v>
      </c>
      <c r="C1300">
        <v>1</v>
      </c>
      <c r="D1300">
        <v>1</v>
      </c>
    </row>
    <row r="1301" spans="1:4">
      <c r="A1301" s="2">
        <v>6825</v>
      </c>
      <c r="C1301">
        <v>1</v>
      </c>
      <c r="D1301">
        <v>1</v>
      </c>
    </row>
    <row r="1302" spans="1:4">
      <c r="A1302" s="2">
        <v>6853</v>
      </c>
      <c r="B1302">
        <v>1</v>
      </c>
      <c r="D1302">
        <v>1</v>
      </c>
    </row>
    <row r="1303" spans="1:4">
      <c r="A1303" s="2">
        <v>6856</v>
      </c>
      <c r="C1303">
        <v>1</v>
      </c>
      <c r="D1303">
        <v>1</v>
      </c>
    </row>
    <row r="1304" spans="1:4">
      <c r="A1304" s="2">
        <v>6859</v>
      </c>
      <c r="B1304">
        <v>1</v>
      </c>
      <c r="D1304">
        <v>1</v>
      </c>
    </row>
    <row r="1305" spans="1:4">
      <c r="A1305" s="2">
        <v>6862</v>
      </c>
      <c r="B1305">
        <v>1</v>
      </c>
      <c r="D1305">
        <v>1</v>
      </c>
    </row>
    <row r="1306" spans="1:4">
      <c r="A1306" s="2">
        <v>6864</v>
      </c>
      <c r="B1306">
        <v>1</v>
      </c>
      <c r="D1306">
        <v>1</v>
      </c>
    </row>
    <row r="1307" spans="1:4">
      <c r="A1307" s="2">
        <v>6866</v>
      </c>
      <c r="C1307">
        <v>1</v>
      </c>
      <c r="D1307">
        <v>1</v>
      </c>
    </row>
    <row r="1308" spans="1:4">
      <c r="A1308" s="2">
        <v>6870</v>
      </c>
      <c r="B1308">
        <v>1</v>
      </c>
      <c r="D1308">
        <v>1</v>
      </c>
    </row>
    <row r="1309" spans="1:4">
      <c r="A1309" s="2">
        <v>6872</v>
      </c>
      <c r="C1309">
        <v>1</v>
      </c>
      <c r="D1309">
        <v>1</v>
      </c>
    </row>
    <row r="1310" spans="1:4">
      <c r="A1310" s="2">
        <v>6875</v>
      </c>
      <c r="C1310">
        <v>1</v>
      </c>
      <c r="D1310">
        <v>1</v>
      </c>
    </row>
    <row r="1311" spans="1:4">
      <c r="A1311" s="2">
        <v>6878</v>
      </c>
      <c r="B1311">
        <v>1</v>
      </c>
      <c r="D1311">
        <v>1</v>
      </c>
    </row>
    <row r="1312" spans="1:4">
      <c r="A1312" s="2">
        <v>6885</v>
      </c>
      <c r="B1312">
        <v>1</v>
      </c>
      <c r="D1312">
        <v>1</v>
      </c>
    </row>
    <row r="1313" spans="1:4">
      <c r="A1313" s="2">
        <v>6887</v>
      </c>
      <c r="B1313">
        <v>1</v>
      </c>
      <c r="D1313">
        <v>1</v>
      </c>
    </row>
    <row r="1314" spans="1:4">
      <c r="A1314" s="2">
        <v>6892</v>
      </c>
      <c r="B1314">
        <v>1</v>
      </c>
      <c r="D1314">
        <v>1</v>
      </c>
    </row>
    <row r="1315" spans="1:4">
      <c r="A1315" s="2">
        <v>6905</v>
      </c>
      <c r="C1315">
        <v>1</v>
      </c>
      <c r="D1315">
        <v>1</v>
      </c>
    </row>
    <row r="1316" spans="1:4">
      <c r="A1316" s="2">
        <v>6906</v>
      </c>
      <c r="B1316">
        <v>1</v>
      </c>
      <c r="D1316">
        <v>1</v>
      </c>
    </row>
    <row r="1317" spans="1:4">
      <c r="A1317" s="2">
        <v>6912</v>
      </c>
      <c r="C1317">
        <v>1</v>
      </c>
      <c r="D1317">
        <v>1</v>
      </c>
    </row>
    <row r="1318" spans="1:4">
      <c r="A1318" s="2">
        <v>6919</v>
      </c>
      <c r="C1318">
        <v>1</v>
      </c>
      <c r="D1318">
        <v>1</v>
      </c>
    </row>
    <row r="1319" spans="1:4">
      <c r="A1319" s="2">
        <v>6927</v>
      </c>
      <c r="C1319">
        <v>1</v>
      </c>
      <c r="D1319">
        <v>1</v>
      </c>
    </row>
    <row r="1320" spans="1:4">
      <c r="A1320" s="2">
        <v>6931</v>
      </c>
      <c r="B1320">
        <v>1</v>
      </c>
      <c r="D1320">
        <v>1</v>
      </c>
    </row>
    <row r="1321" spans="1:4">
      <c r="A1321" s="2">
        <v>6932</v>
      </c>
      <c r="C1321">
        <v>1</v>
      </c>
      <c r="D1321">
        <v>1</v>
      </c>
    </row>
    <row r="1322" spans="1:4">
      <c r="A1322" s="2">
        <v>6940</v>
      </c>
      <c r="B1322">
        <v>1</v>
      </c>
      <c r="D1322">
        <v>1</v>
      </c>
    </row>
    <row r="1323" spans="1:4">
      <c r="A1323" s="2">
        <v>6941</v>
      </c>
      <c r="B1323">
        <v>1</v>
      </c>
      <c r="D1323">
        <v>1</v>
      </c>
    </row>
    <row r="1324" spans="1:4">
      <c r="A1324" s="2">
        <v>6945</v>
      </c>
      <c r="B1324">
        <v>1</v>
      </c>
      <c r="D1324">
        <v>1</v>
      </c>
    </row>
    <row r="1325" spans="1:4">
      <c r="A1325" s="2">
        <v>6950</v>
      </c>
      <c r="C1325">
        <v>1</v>
      </c>
      <c r="D1325">
        <v>1</v>
      </c>
    </row>
    <row r="1326" spans="1:4">
      <c r="A1326" s="2">
        <v>6958</v>
      </c>
      <c r="C1326">
        <v>1</v>
      </c>
      <c r="D1326">
        <v>1</v>
      </c>
    </row>
    <row r="1327" spans="1:4">
      <c r="A1327" s="2">
        <v>6961</v>
      </c>
      <c r="C1327">
        <v>1</v>
      </c>
      <c r="D1327">
        <v>1</v>
      </c>
    </row>
    <row r="1328" spans="1:4">
      <c r="A1328" s="2">
        <v>6963</v>
      </c>
      <c r="B1328">
        <v>1</v>
      </c>
      <c r="D1328">
        <v>1</v>
      </c>
    </row>
    <row r="1329" spans="1:4">
      <c r="A1329" s="2">
        <v>6969</v>
      </c>
      <c r="C1329">
        <v>1</v>
      </c>
      <c r="D1329">
        <v>1</v>
      </c>
    </row>
    <row r="1330" spans="1:4">
      <c r="A1330" s="2">
        <v>6974</v>
      </c>
      <c r="C1330">
        <v>1</v>
      </c>
      <c r="D1330">
        <v>1</v>
      </c>
    </row>
    <row r="1331" spans="1:4">
      <c r="A1331" s="2">
        <v>6977</v>
      </c>
      <c r="C1331">
        <v>1</v>
      </c>
      <c r="D1331">
        <v>1</v>
      </c>
    </row>
    <row r="1332" spans="1:4">
      <c r="A1332" s="2">
        <v>6982</v>
      </c>
      <c r="C1332">
        <v>1</v>
      </c>
      <c r="D1332">
        <v>1</v>
      </c>
    </row>
    <row r="1333" spans="1:4">
      <c r="A1333" s="2">
        <v>6983</v>
      </c>
      <c r="B1333">
        <v>1</v>
      </c>
      <c r="D1333">
        <v>1</v>
      </c>
    </row>
    <row r="1334" spans="1:4">
      <c r="A1334" s="2">
        <v>6991</v>
      </c>
      <c r="B1334">
        <v>1</v>
      </c>
      <c r="D1334">
        <v>1</v>
      </c>
    </row>
    <row r="1335" spans="1:4">
      <c r="A1335" s="2">
        <v>6999</v>
      </c>
      <c r="C1335">
        <v>1</v>
      </c>
      <c r="D1335">
        <v>1</v>
      </c>
    </row>
    <row r="1336" spans="1:4">
      <c r="A1336" s="2">
        <v>7000</v>
      </c>
      <c r="B1336">
        <v>1</v>
      </c>
      <c r="D1336">
        <v>1</v>
      </c>
    </row>
    <row r="1337" spans="1:4">
      <c r="A1337" s="2">
        <v>7002</v>
      </c>
      <c r="B1337">
        <v>1</v>
      </c>
      <c r="D1337">
        <v>1</v>
      </c>
    </row>
    <row r="1338" spans="1:4">
      <c r="A1338" s="2">
        <v>7004</v>
      </c>
      <c r="B1338">
        <v>1</v>
      </c>
      <c r="D1338">
        <v>1</v>
      </c>
    </row>
    <row r="1339" spans="1:4">
      <c r="A1339" s="2">
        <v>7005</v>
      </c>
      <c r="B1339">
        <v>1</v>
      </c>
      <c r="D1339">
        <v>1</v>
      </c>
    </row>
    <row r="1340" spans="1:4">
      <c r="A1340" s="2">
        <v>7007</v>
      </c>
      <c r="C1340">
        <v>1</v>
      </c>
      <c r="D1340">
        <v>1</v>
      </c>
    </row>
    <row r="1341" spans="1:4">
      <c r="A1341" s="2">
        <v>7011</v>
      </c>
      <c r="C1341">
        <v>1</v>
      </c>
      <c r="D1341">
        <v>1</v>
      </c>
    </row>
    <row r="1342" spans="1:4">
      <c r="A1342" s="2">
        <v>7019</v>
      </c>
      <c r="C1342">
        <v>1</v>
      </c>
      <c r="D1342">
        <v>1</v>
      </c>
    </row>
    <row r="1343" spans="1:4">
      <c r="A1343" s="2">
        <v>7022</v>
      </c>
      <c r="C1343">
        <v>1</v>
      </c>
      <c r="D1343">
        <v>1</v>
      </c>
    </row>
    <row r="1344" spans="1:4">
      <c r="A1344" s="2">
        <v>7023</v>
      </c>
      <c r="B1344">
        <v>1</v>
      </c>
      <c r="D1344">
        <v>1</v>
      </c>
    </row>
    <row r="1345" spans="1:4">
      <c r="A1345" s="2">
        <v>7030</v>
      </c>
      <c r="C1345">
        <v>1</v>
      </c>
      <c r="D1345">
        <v>1</v>
      </c>
    </row>
    <row r="1346" spans="1:4">
      <c r="A1346" s="2">
        <v>7034</v>
      </c>
      <c r="C1346">
        <v>1</v>
      </c>
      <c r="D1346">
        <v>1</v>
      </c>
    </row>
    <row r="1347" spans="1:4">
      <c r="A1347" s="2">
        <v>7037</v>
      </c>
      <c r="C1347">
        <v>1</v>
      </c>
      <c r="D1347">
        <v>1</v>
      </c>
    </row>
    <row r="1348" spans="1:4">
      <c r="A1348" s="2">
        <v>7042</v>
      </c>
      <c r="C1348">
        <v>1</v>
      </c>
      <c r="D1348">
        <v>1</v>
      </c>
    </row>
    <row r="1349" spans="1:4">
      <c r="A1349" s="2">
        <v>7053</v>
      </c>
      <c r="B1349">
        <v>1</v>
      </c>
      <c r="D1349">
        <v>1</v>
      </c>
    </row>
    <row r="1350" spans="1:4">
      <c r="A1350" s="2">
        <v>7055</v>
      </c>
      <c r="C1350">
        <v>1</v>
      </c>
      <c r="D1350">
        <v>1</v>
      </c>
    </row>
    <row r="1351" spans="1:4">
      <c r="A1351" s="2">
        <v>7072</v>
      </c>
      <c r="C1351">
        <v>1</v>
      </c>
      <c r="D1351">
        <v>1</v>
      </c>
    </row>
    <row r="1352" spans="1:4">
      <c r="A1352" s="2">
        <v>7079</v>
      </c>
      <c r="B1352">
        <v>1</v>
      </c>
      <c r="D1352">
        <v>1</v>
      </c>
    </row>
    <row r="1353" spans="1:4">
      <c r="A1353" s="2">
        <v>7093</v>
      </c>
      <c r="C1353">
        <v>1</v>
      </c>
      <c r="D1353">
        <v>1</v>
      </c>
    </row>
    <row r="1354" spans="1:4">
      <c r="A1354" s="2">
        <v>7101</v>
      </c>
      <c r="B1354">
        <v>1</v>
      </c>
      <c r="D1354">
        <v>1</v>
      </c>
    </row>
    <row r="1355" spans="1:4">
      <c r="A1355" s="2">
        <v>7106</v>
      </c>
      <c r="C1355">
        <v>1</v>
      </c>
      <c r="D1355">
        <v>1</v>
      </c>
    </row>
    <row r="1356" spans="1:4">
      <c r="A1356" s="2">
        <v>7108</v>
      </c>
      <c r="B1356">
        <v>1</v>
      </c>
      <c r="D1356">
        <v>1</v>
      </c>
    </row>
    <row r="1357" spans="1:4">
      <c r="A1357" s="2">
        <v>7118</v>
      </c>
      <c r="C1357">
        <v>1</v>
      </c>
      <c r="D1357">
        <v>1</v>
      </c>
    </row>
    <row r="1358" spans="1:4">
      <c r="A1358" s="2">
        <v>7119</v>
      </c>
      <c r="B1358">
        <v>1</v>
      </c>
      <c r="D1358">
        <v>1</v>
      </c>
    </row>
    <row r="1359" spans="1:4">
      <c r="A1359" s="2">
        <v>7124</v>
      </c>
      <c r="B1359">
        <v>1</v>
      </c>
      <c r="D1359">
        <v>1</v>
      </c>
    </row>
    <row r="1360" spans="1:4">
      <c r="A1360" s="2">
        <v>7128</v>
      </c>
      <c r="B1360">
        <v>1</v>
      </c>
      <c r="D1360">
        <v>1</v>
      </c>
    </row>
    <row r="1361" spans="1:4">
      <c r="A1361" s="2">
        <v>7129</v>
      </c>
      <c r="C1361">
        <v>1</v>
      </c>
      <c r="D1361">
        <v>1</v>
      </c>
    </row>
    <row r="1362" spans="1:4">
      <c r="A1362" s="2">
        <v>7141</v>
      </c>
      <c r="B1362">
        <v>1</v>
      </c>
      <c r="D1362">
        <v>1</v>
      </c>
    </row>
    <row r="1363" spans="1:4">
      <c r="A1363" s="2">
        <v>7143</v>
      </c>
      <c r="C1363">
        <v>1</v>
      </c>
      <c r="D1363">
        <v>1</v>
      </c>
    </row>
    <row r="1364" spans="1:4">
      <c r="A1364" s="2">
        <v>7165</v>
      </c>
      <c r="C1364">
        <v>1</v>
      </c>
      <c r="D1364">
        <v>1</v>
      </c>
    </row>
    <row r="1365" spans="1:4">
      <c r="A1365" s="2">
        <v>7181</v>
      </c>
      <c r="C1365">
        <v>1</v>
      </c>
      <c r="D1365">
        <v>1</v>
      </c>
    </row>
    <row r="1366" spans="1:4">
      <c r="A1366" s="2">
        <v>7186</v>
      </c>
      <c r="C1366">
        <v>1</v>
      </c>
      <c r="D1366">
        <v>1</v>
      </c>
    </row>
    <row r="1367" spans="1:4">
      <c r="A1367" s="2">
        <v>7192</v>
      </c>
      <c r="C1367">
        <v>1</v>
      </c>
      <c r="D1367">
        <v>1</v>
      </c>
    </row>
    <row r="1368" spans="1:4">
      <c r="A1368" s="2">
        <v>7196</v>
      </c>
      <c r="C1368">
        <v>1</v>
      </c>
      <c r="D1368">
        <v>1</v>
      </c>
    </row>
    <row r="1369" spans="1:4">
      <c r="A1369" s="2">
        <v>7214</v>
      </c>
      <c r="C1369">
        <v>1</v>
      </c>
      <c r="D1369">
        <v>1</v>
      </c>
    </row>
    <row r="1370" spans="1:4">
      <c r="A1370" s="2">
        <v>7215</v>
      </c>
      <c r="B1370">
        <v>1</v>
      </c>
      <c r="D1370">
        <v>1</v>
      </c>
    </row>
    <row r="1371" spans="1:4">
      <c r="A1371" s="2">
        <v>7232</v>
      </c>
      <c r="B1371">
        <v>1</v>
      </c>
      <c r="D1371">
        <v>1</v>
      </c>
    </row>
    <row r="1372" spans="1:4">
      <c r="A1372" s="2">
        <v>7233</v>
      </c>
      <c r="C1372">
        <v>1</v>
      </c>
      <c r="D1372">
        <v>1</v>
      </c>
    </row>
    <row r="1373" spans="1:4">
      <c r="A1373" s="2">
        <v>7235</v>
      </c>
      <c r="C1373">
        <v>1</v>
      </c>
      <c r="D1373">
        <v>1</v>
      </c>
    </row>
    <row r="1374" spans="1:4">
      <c r="A1374" s="2">
        <v>7247</v>
      </c>
      <c r="B1374">
        <v>1</v>
      </c>
      <c r="D1374">
        <v>1</v>
      </c>
    </row>
    <row r="1375" spans="1:4">
      <c r="A1375" s="2">
        <v>7250</v>
      </c>
      <c r="C1375">
        <v>1</v>
      </c>
      <c r="D1375">
        <v>1</v>
      </c>
    </row>
    <row r="1376" spans="1:4">
      <c r="A1376" s="2">
        <v>7254</v>
      </c>
      <c r="C1376">
        <v>1</v>
      </c>
      <c r="D1376">
        <v>1</v>
      </c>
    </row>
    <row r="1377" spans="1:4">
      <c r="A1377" s="2">
        <v>7264</v>
      </c>
      <c r="B1377">
        <v>1</v>
      </c>
      <c r="D1377">
        <v>1</v>
      </c>
    </row>
    <row r="1378" spans="1:4">
      <c r="A1378" s="2">
        <v>7270</v>
      </c>
      <c r="B1378">
        <v>1</v>
      </c>
      <c r="D1378">
        <v>1</v>
      </c>
    </row>
    <row r="1379" spans="1:4">
      <c r="A1379" s="2">
        <v>7274</v>
      </c>
      <c r="C1379">
        <v>1</v>
      </c>
      <c r="D1379">
        <v>1</v>
      </c>
    </row>
    <row r="1380" spans="1:4">
      <c r="A1380" s="2">
        <v>7275</v>
      </c>
      <c r="B1380">
        <v>1</v>
      </c>
      <c r="D1380">
        <v>1</v>
      </c>
    </row>
    <row r="1381" spans="1:4">
      <c r="A1381" s="2">
        <v>7279</v>
      </c>
      <c r="C1381">
        <v>1</v>
      </c>
      <c r="D1381">
        <v>1</v>
      </c>
    </row>
    <row r="1382" spans="1:4">
      <c r="A1382" s="2">
        <v>7284</v>
      </c>
      <c r="C1382">
        <v>1</v>
      </c>
      <c r="D1382">
        <v>1</v>
      </c>
    </row>
    <row r="1383" spans="1:4">
      <c r="A1383" s="2">
        <v>7286</v>
      </c>
      <c r="C1383">
        <v>1</v>
      </c>
      <c r="D1383">
        <v>1</v>
      </c>
    </row>
    <row r="1384" spans="1:4">
      <c r="A1384" s="2">
        <v>7290</v>
      </c>
      <c r="B1384">
        <v>1</v>
      </c>
      <c r="D1384">
        <v>1</v>
      </c>
    </row>
    <row r="1385" spans="1:4">
      <c r="A1385" s="2">
        <v>7297</v>
      </c>
      <c r="B1385">
        <v>1</v>
      </c>
      <c r="D1385">
        <v>1</v>
      </c>
    </row>
    <row r="1386" spans="1:4">
      <c r="A1386" s="2">
        <v>7300</v>
      </c>
      <c r="B1386">
        <v>1</v>
      </c>
      <c r="D1386">
        <v>1</v>
      </c>
    </row>
    <row r="1387" spans="1:4">
      <c r="A1387" s="2">
        <v>7301</v>
      </c>
      <c r="B1387">
        <v>1</v>
      </c>
      <c r="D1387">
        <v>1</v>
      </c>
    </row>
    <row r="1388" spans="1:4">
      <c r="A1388" s="2">
        <v>7313</v>
      </c>
      <c r="B1388">
        <v>1</v>
      </c>
      <c r="D1388">
        <v>1</v>
      </c>
    </row>
    <row r="1389" spans="1:4">
      <c r="A1389" s="2">
        <v>7325</v>
      </c>
      <c r="C1389">
        <v>1</v>
      </c>
      <c r="D1389">
        <v>1</v>
      </c>
    </row>
    <row r="1390" spans="1:4">
      <c r="A1390" s="2">
        <v>7326</v>
      </c>
      <c r="C1390">
        <v>1</v>
      </c>
      <c r="D1390">
        <v>1</v>
      </c>
    </row>
    <row r="1391" spans="1:4">
      <c r="A1391" s="2">
        <v>7327</v>
      </c>
      <c r="C1391">
        <v>1</v>
      </c>
      <c r="D1391">
        <v>1</v>
      </c>
    </row>
    <row r="1392" spans="1:4">
      <c r="A1392" s="2">
        <v>7342</v>
      </c>
      <c r="B1392">
        <v>1</v>
      </c>
      <c r="D1392">
        <v>1</v>
      </c>
    </row>
    <row r="1393" spans="1:4">
      <c r="A1393" s="2">
        <v>7348</v>
      </c>
      <c r="B1393">
        <v>1</v>
      </c>
      <c r="D1393">
        <v>1</v>
      </c>
    </row>
    <row r="1394" spans="1:4">
      <c r="A1394" s="2">
        <v>7349</v>
      </c>
      <c r="C1394">
        <v>1</v>
      </c>
      <c r="D1394">
        <v>1</v>
      </c>
    </row>
    <row r="1395" spans="1:4">
      <c r="A1395" s="2">
        <v>7352</v>
      </c>
      <c r="C1395">
        <v>1</v>
      </c>
      <c r="D1395">
        <v>1</v>
      </c>
    </row>
    <row r="1396" spans="1:4">
      <c r="A1396" s="2">
        <v>7369</v>
      </c>
      <c r="C1396">
        <v>1</v>
      </c>
      <c r="D1396">
        <v>1</v>
      </c>
    </row>
    <row r="1397" spans="1:4">
      <c r="A1397" s="2">
        <v>7373</v>
      </c>
      <c r="B1397">
        <v>1</v>
      </c>
      <c r="D1397">
        <v>1</v>
      </c>
    </row>
    <row r="1398" spans="1:4">
      <c r="A1398" s="2">
        <v>7375</v>
      </c>
      <c r="C1398">
        <v>1</v>
      </c>
      <c r="D1398">
        <v>1</v>
      </c>
    </row>
    <row r="1399" spans="1:4">
      <c r="A1399" s="2">
        <v>7378</v>
      </c>
      <c r="C1399">
        <v>1</v>
      </c>
      <c r="D1399">
        <v>1</v>
      </c>
    </row>
    <row r="1400" spans="1:4">
      <c r="A1400" s="2">
        <v>7381</v>
      </c>
      <c r="B1400">
        <v>1</v>
      </c>
      <c r="D1400">
        <v>1</v>
      </c>
    </row>
    <row r="1401" spans="1:4">
      <c r="A1401" s="2">
        <v>7384</v>
      </c>
      <c r="C1401">
        <v>1</v>
      </c>
      <c r="D1401">
        <v>1</v>
      </c>
    </row>
    <row r="1402" spans="1:4">
      <c r="A1402" s="2">
        <v>7393</v>
      </c>
      <c r="C1402">
        <v>1</v>
      </c>
      <c r="D1402">
        <v>1</v>
      </c>
    </row>
    <row r="1403" spans="1:4">
      <c r="A1403" s="2">
        <v>7396</v>
      </c>
      <c r="C1403">
        <v>1</v>
      </c>
      <c r="D1403">
        <v>1</v>
      </c>
    </row>
    <row r="1404" spans="1:4">
      <c r="A1404" s="2">
        <v>7397</v>
      </c>
      <c r="B1404">
        <v>1</v>
      </c>
      <c r="D1404">
        <v>1</v>
      </c>
    </row>
    <row r="1405" spans="1:4">
      <c r="A1405" s="2">
        <v>7408</v>
      </c>
      <c r="C1405">
        <v>1</v>
      </c>
      <c r="D1405">
        <v>1</v>
      </c>
    </row>
    <row r="1406" spans="1:4">
      <c r="A1406" s="2">
        <v>7409</v>
      </c>
      <c r="C1406">
        <v>1</v>
      </c>
      <c r="D1406">
        <v>1</v>
      </c>
    </row>
    <row r="1407" spans="1:4">
      <c r="A1407" s="2">
        <v>7411</v>
      </c>
      <c r="C1407">
        <v>1</v>
      </c>
      <c r="D1407">
        <v>1</v>
      </c>
    </row>
    <row r="1408" spans="1:4">
      <c r="A1408" s="2">
        <v>7414</v>
      </c>
      <c r="C1408">
        <v>1</v>
      </c>
      <c r="D1408">
        <v>1</v>
      </c>
    </row>
    <row r="1409" spans="1:4">
      <c r="A1409" s="2">
        <v>7419</v>
      </c>
      <c r="B1409">
        <v>1</v>
      </c>
      <c r="D1409">
        <v>1</v>
      </c>
    </row>
    <row r="1410" spans="1:4">
      <c r="A1410" s="2">
        <v>7422</v>
      </c>
      <c r="B1410">
        <v>1</v>
      </c>
      <c r="D1410">
        <v>1</v>
      </c>
    </row>
    <row r="1411" spans="1:4">
      <c r="A1411" s="2">
        <v>7426</v>
      </c>
      <c r="C1411">
        <v>1</v>
      </c>
      <c r="D1411">
        <v>1</v>
      </c>
    </row>
    <row r="1412" spans="1:4">
      <c r="A1412" s="2">
        <v>7428</v>
      </c>
      <c r="C1412">
        <v>1</v>
      </c>
      <c r="D1412">
        <v>1</v>
      </c>
    </row>
    <row r="1413" spans="1:4">
      <c r="A1413" s="2">
        <v>7431</v>
      </c>
      <c r="B1413">
        <v>1</v>
      </c>
      <c r="D1413">
        <v>1</v>
      </c>
    </row>
    <row r="1414" spans="1:4">
      <c r="A1414" s="2">
        <v>7437</v>
      </c>
      <c r="B1414">
        <v>1</v>
      </c>
      <c r="D1414">
        <v>1</v>
      </c>
    </row>
    <row r="1415" spans="1:4">
      <c r="A1415" s="2">
        <v>7441</v>
      </c>
      <c r="B1415">
        <v>1</v>
      </c>
      <c r="D1415">
        <v>1</v>
      </c>
    </row>
    <row r="1416" spans="1:4">
      <c r="A1416" s="2">
        <v>7444</v>
      </c>
      <c r="C1416">
        <v>1</v>
      </c>
      <c r="D1416">
        <v>1</v>
      </c>
    </row>
    <row r="1417" spans="1:4">
      <c r="A1417" s="2">
        <v>7446</v>
      </c>
      <c r="C1417">
        <v>1</v>
      </c>
      <c r="D1417">
        <v>1</v>
      </c>
    </row>
    <row r="1418" spans="1:4">
      <c r="A1418" s="2">
        <v>7453</v>
      </c>
      <c r="B1418">
        <v>1</v>
      </c>
      <c r="D1418">
        <v>1</v>
      </c>
    </row>
    <row r="1419" spans="1:4">
      <c r="A1419" s="2">
        <v>7458</v>
      </c>
      <c r="C1419">
        <v>1</v>
      </c>
      <c r="D1419">
        <v>1</v>
      </c>
    </row>
    <row r="1420" spans="1:4">
      <c r="A1420" s="2">
        <v>7462</v>
      </c>
      <c r="B1420">
        <v>1</v>
      </c>
      <c r="D1420">
        <v>1</v>
      </c>
    </row>
    <row r="1421" spans="1:4">
      <c r="A1421" s="2">
        <v>7476</v>
      </c>
      <c r="B1421">
        <v>1</v>
      </c>
      <c r="D1421">
        <v>1</v>
      </c>
    </row>
    <row r="1422" spans="1:4">
      <c r="A1422" s="2">
        <v>7485</v>
      </c>
      <c r="B1422">
        <v>1</v>
      </c>
      <c r="D1422">
        <v>1</v>
      </c>
    </row>
    <row r="1423" spans="1:4">
      <c r="A1423" s="2">
        <v>7488</v>
      </c>
      <c r="B1423">
        <v>1</v>
      </c>
      <c r="D1423">
        <v>1</v>
      </c>
    </row>
    <row r="1424" spans="1:4">
      <c r="A1424" s="2">
        <v>7494</v>
      </c>
      <c r="B1424">
        <v>1</v>
      </c>
      <c r="D1424">
        <v>1</v>
      </c>
    </row>
    <row r="1425" spans="1:4">
      <c r="A1425" s="2">
        <v>7495</v>
      </c>
      <c r="C1425">
        <v>1</v>
      </c>
      <c r="D1425">
        <v>1</v>
      </c>
    </row>
    <row r="1426" spans="1:4">
      <c r="A1426" s="2">
        <v>7503</v>
      </c>
      <c r="B1426">
        <v>1</v>
      </c>
      <c r="D1426">
        <v>1</v>
      </c>
    </row>
    <row r="1427" spans="1:4">
      <c r="A1427" s="2">
        <v>7505</v>
      </c>
      <c r="C1427">
        <v>1</v>
      </c>
      <c r="D1427">
        <v>1</v>
      </c>
    </row>
    <row r="1428" spans="1:4">
      <c r="A1428" s="2">
        <v>7514</v>
      </c>
      <c r="C1428">
        <v>1</v>
      </c>
      <c r="D1428">
        <v>1</v>
      </c>
    </row>
    <row r="1429" spans="1:4">
      <c r="A1429" s="2">
        <v>7527</v>
      </c>
      <c r="B1429">
        <v>1</v>
      </c>
      <c r="D1429">
        <v>1</v>
      </c>
    </row>
    <row r="1430" spans="1:4">
      <c r="A1430" s="2">
        <v>7532</v>
      </c>
      <c r="C1430">
        <v>1</v>
      </c>
      <c r="D1430">
        <v>1</v>
      </c>
    </row>
    <row r="1431" spans="1:4">
      <c r="A1431" s="2">
        <v>7533</v>
      </c>
      <c r="C1431">
        <v>1</v>
      </c>
      <c r="D1431">
        <v>1</v>
      </c>
    </row>
    <row r="1432" spans="1:4">
      <c r="A1432" s="2">
        <v>7540</v>
      </c>
      <c r="C1432">
        <v>1</v>
      </c>
      <c r="D1432">
        <v>1</v>
      </c>
    </row>
    <row r="1433" spans="1:4">
      <c r="A1433" s="2">
        <v>7573</v>
      </c>
      <c r="B1433">
        <v>1</v>
      </c>
      <c r="D1433">
        <v>1</v>
      </c>
    </row>
    <row r="1434" spans="1:4">
      <c r="A1434" s="2">
        <v>7574</v>
      </c>
      <c r="C1434">
        <v>1</v>
      </c>
      <c r="D1434">
        <v>1</v>
      </c>
    </row>
    <row r="1435" spans="1:4">
      <c r="A1435" s="2">
        <v>7600</v>
      </c>
      <c r="B1435">
        <v>1</v>
      </c>
      <c r="D1435">
        <v>1</v>
      </c>
    </row>
    <row r="1436" spans="1:4">
      <c r="A1436" s="2">
        <v>7610</v>
      </c>
      <c r="C1436">
        <v>1</v>
      </c>
      <c r="D1436">
        <v>1</v>
      </c>
    </row>
    <row r="1437" spans="1:4">
      <c r="A1437" s="2">
        <v>7613</v>
      </c>
      <c r="C1437">
        <v>1</v>
      </c>
      <c r="D1437">
        <v>1</v>
      </c>
    </row>
    <row r="1438" spans="1:4">
      <c r="A1438" s="2">
        <v>7617</v>
      </c>
      <c r="B1438">
        <v>1</v>
      </c>
      <c r="D1438">
        <v>1</v>
      </c>
    </row>
    <row r="1439" spans="1:4">
      <c r="A1439" s="2">
        <v>7620</v>
      </c>
      <c r="B1439">
        <v>1</v>
      </c>
      <c r="D1439">
        <v>1</v>
      </c>
    </row>
    <row r="1440" spans="1:4">
      <c r="A1440" s="2">
        <v>7627</v>
      </c>
      <c r="C1440">
        <v>1</v>
      </c>
      <c r="D1440">
        <v>1</v>
      </c>
    </row>
    <row r="1441" spans="1:4">
      <c r="A1441" s="2">
        <v>7628</v>
      </c>
      <c r="C1441">
        <v>1</v>
      </c>
      <c r="D1441">
        <v>1</v>
      </c>
    </row>
    <row r="1442" spans="1:4">
      <c r="A1442" s="2">
        <v>7629</v>
      </c>
      <c r="C1442">
        <v>1</v>
      </c>
      <c r="D1442">
        <v>1</v>
      </c>
    </row>
    <row r="1443" spans="1:4">
      <c r="A1443" s="2">
        <v>7631</v>
      </c>
      <c r="C1443">
        <v>1</v>
      </c>
      <c r="D1443">
        <v>1</v>
      </c>
    </row>
    <row r="1444" spans="1:4">
      <c r="A1444" s="2">
        <v>7646</v>
      </c>
      <c r="B1444">
        <v>1</v>
      </c>
      <c r="D1444">
        <v>1</v>
      </c>
    </row>
    <row r="1445" spans="1:4">
      <c r="A1445" s="2">
        <v>7660</v>
      </c>
      <c r="B1445">
        <v>1</v>
      </c>
      <c r="D1445">
        <v>1</v>
      </c>
    </row>
    <row r="1446" spans="1:4">
      <c r="A1446" s="2">
        <v>7679</v>
      </c>
      <c r="B1446">
        <v>1</v>
      </c>
      <c r="D1446">
        <v>1</v>
      </c>
    </row>
    <row r="1447" spans="1:4">
      <c r="A1447" s="2">
        <v>7683</v>
      </c>
      <c r="C1447">
        <v>1</v>
      </c>
      <c r="D1447">
        <v>1</v>
      </c>
    </row>
    <row r="1448" spans="1:4">
      <c r="A1448" s="2">
        <v>7698</v>
      </c>
      <c r="C1448">
        <v>1</v>
      </c>
      <c r="D1448">
        <v>1</v>
      </c>
    </row>
    <row r="1449" spans="1:4">
      <c r="A1449" s="2">
        <v>7706</v>
      </c>
      <c r="C1449">
        <v>1</v>
      </c>
      <c r="D1449">
        <v>1</v>
      </c>
    </row>
    <row r="1450" spans="1:4">
      <c r="A1450" s="2">
        <v>7712</v>
      </c>
      <c r="B1450">
        <v>1</v>
      </c>
      <c r="D1450">
        <v>1</v>
      </c>
    </row>
    <row r="1451" spans="1:4">
      <c r="A1451" s="2">
        <v>7718</v>
      </c>
      <c r="C1451">
        <v>1</v>
      </c>
      <c r="D1451">
        <v>1</v>
      </c>
    </row>
    <row r="1452" spans="1:4">
      <c r="A1452" s="2">
        <v>7725</v>
      </c>
      <c r="C1452">
        <v>1</v>
      </c>
      <c r="D1452">
        <v>1</v>
      </c>
    </row>
    <row r="1453" spans="1:4">
      <c r="A1453" s="2">
        <v>7732</v>
      </c>
      <c r="C1453">
        <v>1</v>
      </c>
      <c r="D1453">
        <v>1</v>
      </c>
    </row>
    <row r="1454" spans="1:4">
      <c r="A1454" s="2">
        <v>7734</v>
      </c>
      <c r="B1454">
        <v>1</v>
      </c>
      <c r="D1454">
        <v>1</v>
      </c>
    </row>
    <row r="1455" spans="1:4">
      <c r="A1455" s="2">
        <v>7736</v>
      </c>
      <c r="C1455">
        <v>1</v>
      </c>
      <c r="D1455">
        <v>1</v>
      </c>
    </row>
    <row r="1456" spans="1:4">
      <c r="A1456" s="2">
        <v>7755</v>
      </c>
      <c r="C1456">
        <v>1</v>
      </c>
      <c r="D1456">
        <v>1</v>
      </c>
    </row>
    <row r="1457" spans="1:4">
      <c r="A1457" s="2">
        <v>7761</v>
      </c>
      <c r="C1457">
        <v>1</v>
      </c>
      <c r="D1457">
        <v>1</v>
      </c>
    </row>
    <row r="1458" spans="1:4">
      <c r="A1458" s="2">
        <v>7786</v>
      </c>
      <c r="B1458">
        <v>1</v>
      </c>
      <c r="D1458">
        <v>1</v>
      </c>
    </row>
    <row r="1459" spans="1:4">
      <c r="A1459" s="2">
        <v>7788</v>
      </c>
      <c r="C1459">
        <v>1</v>
      </c>
      <c r="D1459">
        <v>1</v>
      </c>
    </row>
    <row r="1460" spans="1:4">
      <c r="A1460" s="2">
        <v>7791</v>
      </c>
      <c r="C1460">
        <v>1</v>
      </c>
      <c r="D1460">
        <v>1</v>
      </c>
    </row>
    <row r="1461" spans="1:4">
      <c r="A1461" s="2">
        <v>7793</v>
      </c>
      <c r="C1461">
        <v>1</v>
      </c>
      <c r="D1461">
        <v>1</v>
      </c>
    </row>
    <row r="1462" spans="1:4">
      <c r="A1462" s="2">
        <v>7798</v>
      </c>
      <c r="C1462">
        <v>1</v>
      </c>
      <c r="D1462">
        <v>1</v>
      </c>
    </row>
    <row r="1463" spans="1:4">
      <c r="A1463" s="2">
        <v>7801</v>
      </c>
      <c r="C1463">
        <v>1</v>
      </c>
      <c r="D1463">
        <v>1</v>
      </c>
    </row>
    <row r="1464" spans="1:4">
      <c r="A1464" s="2">
        <v>7822</v>
      </c>
      <c r="C1464">
        <v>1</v>
      </c>
      <c r="D1464">
        <v>1</v>
      </c>
    </row>
    <row r="1465" spans="1:4">
      <c r="A1465" s="2">
        <v>7828</v>
      </c>
      <c r="C1465">
        <v>1</v>
      </c>
      <c r="D1465">
        <v>1</v>
      </c>
    </row>
    <row r="1466" spans="1:4">
      <c r="A1466" s="2">
        <v>7829</v>
      </c>
      <c r="B1466">
        <v>1</v>
      </c>
      <c r="D1466">
        <v>1</v>
      </c>
    </row>
    <row r="1467" spans="1:4">
      <c r="A1467" s="2">
        <v>7832</v>
      </c>
      <c r="C1467">
        <v>1</v>
      </c>
      <c r="D1467">
        <v>1</v>
      </c>
    </row>
    <row r="1468" spans="1:4">
      <c r="A1468" s="2">
        <v>7842</v>
      </c>
      <c r="B1468">
        <v>1</v>
      </c>
      <c r="D1468">
        <v>1</v>
      </c>
    </row>
    <row r="1469" spans="1:4">
      <c r="A1469" s="2">
        <v>7848</v>
      </c>
      <c r="B1469">
        <v>1</v>
      </c>
      <c r="D1469">
        <v>1</v>
      </c>
    </row>
    <row r="1470" spans="1:4">
      <c r="A1470" s="2">
        <v>7849</v>
      </c>
      <c r="C1470">
        <v>1</v>
      </c>
      <c r="D1470">
        <v>1</v>
      </c>
    </row>
    <row r="1471" spans="1:4">
      <c r="A1471" s="2">
        <v>7851</v>
      </c>
      <c r="B1471">
        <v>1</v>
      </c>
      <c r="D1471">
        <v>1</v>
      </c>
    </row>
    <row r="1472" spans="1:4">
      <c r="A1472" s="2">
        <v>7861</v>
      </c>
      <c r="C1472">
        <v>1</v>
      </c>
      <c r="D1472">
        <v>1</v>
      </c>
    </row>
    <row r="1473" spans="1:4">
      <c r="A1473" s="2">
        <v>7872</v>
      </c>
      <c r="C1473">
        <v>1</v>
      </c>
      <c r="D1473">
        <v>1</v>
      </c>
    </row>
    <row r="1474" spans="1:4">
      <c r="A1474" s="2">
        <v>7873</v>
      </c>
      <c r="C1474">
        <v>1</v>
      </c>
      <c r="D1474">
        <v>1</v>
      </c>
    </row>
    <row r="1475" spans="1:4">
      <c r="A1475" s="2">
        <v>7875</v>
      </c>
      <c r="C1475">
        <v>1</v>
      </c>
      <c r="D1475">
        <v>1</v>
      </c>
    </row>
    <row r="1476" spans="1:4">
      <c r="A1476" s="2">
        <v>7881</v>
      </c>
      <c r="C1476">
        <v>1</v>
      </c>
      <c r="D1476">
        <v>1</v>
      </c>
    </row>
    <row r="1477" spans="1:4">
      <c r="A1477" s="2">
        <v>7892</v>
      </c>
      <c r="B1477">
        <v>1</v>
      </c>
      <c r="D1477">
        <v>1</v>
      </c>
    </row>
    <row r="1478" spans="1:4">
      <c r="A1478" s="2">
        <v>7899</v>
      </c>
      <c r="C1478">
        <v>1</v>
      </c>
      <c r="D1478">
        <v>1</v>
      </c>
    </row>
    <row r="1479" spans="1:4">
      <c r="A1479" s="2">
        <v>7901</v>
      </c>
      <c r="C1479">
        <v>1</v>
      </c>
      <c r="D1479">
        <v>1</v>
      </c>
    </row>
    <row r="1480" spans="1:4">
      <c r="A1480" s="2">
        <v>7912</v>
      </c>
      <c r="C1480">
        <v>1</v>
      </c>
      <c r="D1480">
        <v>1</v>
      </c>
    </row>
    <row r="1481" spans="1:4">
      <c r="A1481" s="2">
        <v>7919</v>
      </c>
      <c r="C1481">
        <v>1</v>
      </c>
      <c r="D1481">
        <v>1</v>
      </c>
    </row>
    <row r="1482" spans="1:4">
      <c r="A1482" s="2">
        <v>7922</v>
      </c>
      <c r="B1482">
        <v>1</v>
      </c>
      <c r="D1482">
        <v>1</v>
      </c>
    </row>
    <row r="1483" spans="1:4">
      <c r="A1483" s="2">
        <v>7930</v>
      </c>
      <c r="B1483">
        <v>1</v>
      </c>
      <c r="D1483">
        <v>1</v>
      </c>
    </row>
    <row r="1484" spans="1:4">
      <c r="A1484" s="2">
        <v>7937</v>
      </c>
      <c r="C1484">
        <v>1</v>
      </c>
      <c r="D1484">
        <v>1</v>
      </c>
    </row>
    <row r="1485" spans="1:4">
      <c r="A1485" s="2">
        <v>7938</v>
      </c>
      <c r="C1485">
        <v>1</v>
      </c>
      <c r="D1485">
        <v>1</v>
      </c>
    </row>
    <row r="1486" spans="1:4">
      <c r="A1486" s="2">
        <v>7943</v>
      </c>
      <c r="C1486">
        <v>1</v>
      </c>
      <c r="D1486">
        <v>1</v>
      </c>
    </row>
    <row r="1487" spans="1:4">
      <c r="A1487" s="2">
        <v>7947</v>
      </c>
      <c r="C1487">
        <v>1</v>
      </c>
      <c r="D1487">
        <v>1</v>
      </c>
    </row>
    <row r="1488" spans="1:4">
      <c r="A1488" s="2">
        <v>7959</v>
      </c>
      <c r="C1488">
        <v>1</v>
      </c>
      <c r="D1488">
        <v>1</v>
      </c>
    </row>
    <row r="1489" spans="1:4">
      <c r="A1489" s="2">
        <v>7960</v>
      </c>
      <c r="C1489">
        <v>1</v>
      </c>
      <c r="D1489">
        <v>1</v>
      </c>
    </row>
    <row r="1490" spans="1:4">
      <c r="A1490" s="2">
        <v>7962</v>
      </c>
      <c r="B1490">
        <v>1</v>
      </c>
      <c r="D1490">
        <v>1</v>
      </c>
    </row>
    <row r="1491" spans="1:4">
      <c r="A1491" s="2">
        <v>7966</v>
      </c>
      <c r="B1491">
        <v>1</v>
      </c>
      <c r="D1491">
        <v>1</v>
      </c>
    </row>
    <row r="1492" spans="1:4">
      <c r="A1492" s="2">
        <v>7972</v>
      </c>
      <c r="B1492">
        <v>1</v>
      </c>
      <c r="D1492">
        <v>1</v>
      </c>
    </row>
    <row r="1493" spans="1:4">
      <c r="A1493" s="2">
        <v>7987</v>
      </c>
      <c r="C1493">
        <v>1</v>
      </c>
      <c r="D1493">
        <v>1</v>
      </c>
    </row>
    <row r="1494" spans="1:4">
      <c r="A1494" s="2">
        <v>7990</v>
      </c>
      <c r="C1494">
        <v>1</v>
      </c>
      <c r="D1494">
        <v>1</v>
      </c>
    </row>
    <row r="1495" spans="1:4">
      <c r="A1495" s="2">
        <v>7998</v>
      </c>
      <c r="C1495">
        <v>1</v>
      </c>
      <c r="D1495">
        <v>1</v>
      </c>
    </row>
    <row r="1496" spans="1:4">
      <c r="A1496" s="2">
        <v>7999</v>
      </c>
      <c r="C1496">
        <v>1</v>
      </c>
      <c r="D1496">
        <v>1</v>
      </c>
    </row>
    <row r="1497" spans="1:4">
      <c r="A1497" s="2">
        <v>8008</v>
      </c>
      <c r="C1497">
        <v>1</v>
      </c>
      <c r="D1497">
        <v>1</v>
      </c>
    </row>
    <row r="1498" spans="1:4">
      <c r="A1498" s="2">
        <v>8017</v>
      </c>
      <c r="C1498">
        <v>1</v>
      </c>
      <c r="D1498">
        <v>1</v>
      </c>
    </row>
    <row r="1499" spans="1:4">
      <c r="A1499" s="2">
        <v>8026</v>
      </c>
      <c r="C1499">
        <v>1</v>
      </c>
      <c r="D1499">
        <v>1</v>
      </c>
    </row>
    <row r="1500" spans="1:4">
      <c r="A1500" s="2">
        <v>8029</v>
      </c>
      <c r="B1500">
        <v>1</v>
      </c>
      <c r="D1500">
        <v>1</v>
      </c>
    </row>
    <row r="1501" spans="1:4">
      <c r="A1501" s="2">
        <v>8036</v>
      </c>
      <c r="C1501">
        <v>1</v>
      </c>
      <c r="D1501">
        <v>1</v>
      </c>
    </row>
    <row r="1502" spans="1:4">
      <c r="A1502" s="2">
        <v>8041</v>
      </c>
      <c r="B1502">
        <v>1</v>
      </c>
      <c r="D1502">
        <v>1</v>
      </c>
    </row>
    <row r="1503" spans="1:4">
      <c r="A1503" s="2">
        <v>8070</v>
      </c>
      <c r="C1503">
        <v>1</v>
      </c>
      <c r="D1503">
        <v>1</v>
      </c>
    </row>
    <row r="1504" spans="1:4">
      <c r="A1504" s="2">
        <v>8079</v>
      </c>
      <c r="C1504">
        <v>1</v>
      </c>
      <c r="D1504">
        <v>1</v>
      </c>
    </row>
    <row r="1505" spans="1:4">
      <c r="A1505" s="2">
        <v>8080</v>
      </c>
      <c r="B1505">
        <v>1</v>
      </c>
      <c r="D1505">
        <v>1</v>
      </c>
    </row>
    <row r="1506" spans="1:4">
      <c r="A1506" s="2">
        <v>8082</v>
      </c>
      <c r="C1506">
        <v>1</v>
      </c>
      <c r="D1506">
        <v>1</v>
      </c>
    </row>
    <row r="1507" spans="1:4">
      <c r="A1507" s="2">
        <v>8086</v>
      </c>
      <c r="C1507">
        <v>1</v>
      </c>
      <c r="D1507">
        <v>1</v>
      </c>
    </row>
    <row r="1508" spans="1:4">
      <c r="A1508" s="2">
        <v>8091</v>
      </c>
      <c r="C1508">
        <v>1</v>
      </c>
      <c r="D1508">
        <v>1</v>
      </c>
    </row>
    <row r="1509" spans="1:4">
      <c r="A1509" s="2">
        <v>8093</v>
      </c>
      <c r="C1509">
        <v>1</v>
      </c>
      <c r="D1509">
        <v>1</v>
      </c>
    </row>
    <row r="1510" spans="1:4">
      <c r="A1510" s="2">
        <v>8104</v>
      </c>
      <c r="C1510">
        <v>1</v>
      </c>
      <c r="D1510">
        <v>1</v>
      </c>
    </row>
    <row r="1511" spans="1:4">
      <c r="A1511" s="2">
        <v>8132</v>
      </c>
      <c r="C1511">
        <v>1</v>
      </c>
      <c r="D1511">
        <v>1</v>
      </c>
    </row>
    <row r="1512" spans="1:4">
      <c r="A1512" s="2">
        <v>8135</v>
      </c>
      <c r="C1512">
        <v>1</v>
      </c>
      <c r="D1512">
        <v>1</v>
      </c>
    </row>
    <row r="1513" spans="1:4">
      <c r="A1513" s="2">
        <v>8140</v>
      </c>
      <c r="C1513">
        <v>1</v>
      </c>
      <c r="D1513">
        <v>1</v>
      </c>
    </row>
    <row r="1514" spans="1:4">
      <c r="A1514" s="2">
        <v>8143</v>
      </c>
      <c r="B1514">
        <v>1</v>
      </c>
      <c r="D1514">
        <v>1</v>
      </c>
    </row>
    <row r="1515" spans="1:4">
      <c r="A1515" s="2">
        <v>8146</v>
      </c>
      <c r="C1515">
        <v>1</v>
      </c>
      <c r="D1515">
        <v>1</v>
      </c>
    </row>
    <row r="1516" spans="1:4">
      <c r="A1516" s="2">
        <v>8147</v>
      </c>
      <c r="C1516">
        <v>1</v>
      </c>
      <c r="D1516">
        <v>1</v>
      </c>
    </row>
    <row r="1517" spans="1:4">
      <c r="A1517" s="2">
        <v>8148</v>
      </c>
      <c r="C1517">
        <v>1</v>
      </c>
      <c r="D1517">
        <v>1</v>
      </c>
    </row>
    <row r="1518" spans="1:4">
      <c r="A1518" s="2">
        <v>8151</v>
      </c>
      <c r="C1518">
        <v>1</v>
      </c>
      <c r="D1518">
        <v>1</v>
      </c>
    </row>
    <row r="1519" spans="1:4">
      <c r="A1519" s="2">
        <v>8159</v>
      </c>
      <c r="C1519">
        <v>1</v>
      </c>
      <c r="D1519">
        <v>1</v>
      </c>
    </row>
    <row r="1520" spans="1:4">
      <c r="A1520" s="2">
        <v>8162</v>
      </c>
      <c r="C1520">
        <v>1</v>
      </c>
      <c r="D1520">
        <v>1</v>
      </c>
    </row>
    <row r="1521" spans="1:4">
      <c r="A1521" s="2">
        <v>8164</v>
      </c>
      <c r="C1521">
        <v>1</v>
      </c>
      <c r="D1521">
        <v>1</v>
      </c>
    </row>
    <row r="1522" spans="1:4">
      <c r="A1522" s="2">
        <v>8180</v>
      </c>
      <c r="B1522">
        <v>1</v>
      </c>
      <c r="D1522">
        <v>1</v>
      </c>
    </row>
    <row r="1523" spans="1:4">
      <c r="A1523" s="2">
        <v>8181</v>
      </c>
      <c r="B1523">
        <v>1</v>
      </c>
      <c r="D1523">
        <v>1</v>
      </c>
    </row>
    <row r="1524" spans="1:4">
      <c r="A1524" s="2">
        <v>8182</v>
      </c>
      <c r="C1524">
        <v>1</v>
      </c>
      <c r="D1524">
        <v>1</v>
      </c>
    </row>
    <row r="1525" spans="1:4">
      <c r="A1525" s="2">
        <v>8204</v>
      </c>
      <c r="C1525">
        <v>1</v>
      </c>
      <c r="D1525">
        <v>1</v>
      </c>
    </row>
    <row r="1526" spans="1:4">
      <c r="A1526" s="2">
        <v>8207</v>
      </c>
      <c r="C1526">
        <v>1</v>
      </c>
      <c r="D1526">
        <v>1</v>
      </c>
    </row>
    <row r="1527" spans="1:4">
      <c r="A1527" s="2">
        <v>8210</v>
      </c>
      <c r="C1527">
        <v>1</v>
      </c>
      <c r="D1527">
        <v>1</v>
      </c>
    </row>
    <row r="1528" spans="1:4">
      <c r="A1528" s="2">
        <v>8212</v>
      </c>
      <c r="C1528">
        <v>1</v>
      </c>
      <c r="D1528">
        <v>1</v>
      </c>
    </row>
    <row r="1529" spans="1:4">
      <c r="A1529" s="2">
        <v>8213</v>
      </c>
      <c r="C1529">
        <v>1</v>
      </c>
      <c r="D1529">
        <v>1</v>
      </c>
    </row>
    <row r="1530" spans="1:4">
      <c r="A1530" s="2">
        <v>8216</v>
      </c>
      <c r="C1530">
        <v>1</v>
      </c>
      <c r="D1530">
        <v>1</v>
      </c>
    </row>
    <row r="1531" spans="1:4">
      <c r="A1531" s="2">
        <v>8230</v>
      </c>
      <c r="C1531">
        <v>1</v>
      </c>
      <c r="D1531">
        <v>1</v>
      </c>
    </row>
    <row r="1532" spans="1:4">
      <c r="A1532" s="2">
        <v>8233</v>
      </c>
      <c r="B1532">
        <v>1</v>
      </c>
      <c r="D1532">
        <v>1</v>
      </c>
    </row>
    <row r="1533" spans="1:4">
      <c r="A1533" s="2">
        <v>8234</v>
      </c>
      <c r="C1533">
        <v>1</v>
      </c>
      <c r="D1533">
        <v>1</v>
      </c>
    </row>
    <row r="1534" spans="1:4">
      <c r="A1534" s="2">
        <v>8235</v>
      </c>
      <c r="C1534">
        <v>1</v>
      </c>
      <c r="D1534">
        <v>1</v>
      </c>
    </row>
    <row r="1535" spans="1:4">
      <c r="A1535" s="2">
        <v>8275</v>
      </c>
      <c r="B1535">
        <v>1</v>
      </c>
      <c r="D1535">
        <v>1</v>
      </c>
    </row>
    <row r="1536" spans="1:4">
      <c r="A1536" s="2">
        <v>8278</v>
      </c>
      <c r="C1536">
        <v>1</v>
      </c>
      <c r="D1536">
        <v>1</v>
      </c>
    </row>
    <row r="1537" spans="1:4">
      <c r="A1537" s="2">
        <v>8286</v>
      </c>
      <c r="C1537">
        <v>1</v>
      </c>
      <c r="D1537">
        <v>1</v>
      </c>
    </row>
    <row r="1538" spans="1:4">
      <c r="A1538" s="2">
        <v>8310</v>
      </c>
      <c r="C1538">
        <v>1</v>
      </c>
      <c r="D1538">
        <v>1</v>
      </c>
    </row>
    <row r="1539" spans="1:4">
      <c r="A1539" s="2">
        <v>8314</v>
      </c>
      <c r="C1539">
        <v>1</v>
      </c>
      <c r="D1539">
        <v>1</v>
      </c>
    </row>
    <row r="1540" spans="1:4">
      <c r="A1540" s="2">
        <v>8318</v>
      </c>
      <c r="C1540">
        <v>1</v>
      </c>
      <c r="D1540">
        <v>1</v>
      </c>
    </row>
    <row r="1541" spans="1:4">
      <c r="A1541" s="2">
        <v>8341</v>
      </c>
      <c r="C1541">
        <v>1</v>
      </c>
      <c r="D1541">
        <v>1</v>
      </c>
    </row>
    <row r="1542" spans="1:4">
      <c r="A1542" s="2">
        <v>8346</v>
      </c>
      <c r="B1542">
        <v>1</v>
      </c>
      <c r="D1542">
        <v>1</v>
      </c>
    </row>
    <row r="1543" spans="1:4">
      <c r="A1543" s="2">
        <v>8369</v>
      </c>
      <c r="C1543">
        <v>1</v>
      </c>
      <c r="D1543">
        <v>1</v>
      </c>
    </row>
    <row r="1544" spans="1:4">
      <c r="A1544" s="2">
        <v>8370</v>
      </c>
      <c r="C1544">
        <v>1</v>
      </c>
      <c r="D1544">
        <v>1</v>
      </c>
    </row>
    <row r="1545" spans="1:4">
      <c r="A1545" s="2">
        <v>8375</v>
      </c>
      <c r="C1545">
        <v>1</v>
      </c>
      <c r="D1545">
        <v>1</v>
      </c>
    </row>
    <row r="1546" spans="1:4">
      <c r="A1546" s="2">
        <v>8387</v>
      </c>
      <c r="C1546">
        <v>1</v>
      </c>
      <c r="D1546">
        <v>1</v>
      </c>
    </row>
    <row r="1547" spans="1:4">
      <c r="A1547" s="2">
        <v>8395</v>
      </c>
      <c r="B1547">
        <v>1</v>
      </c>
      <c r="D1547">
        <v>1</v>
      </c>
    </row>
    <row r="1548" spans="1:4">
      <c r="A1548" s="2">
        <v>8397</v>
      </c>
      <c r="C1548">
        <v>1</v>
      </c>
      <c r="D1548">
        <v>1</v>
      </c>
    </row>
    <row r="1549" spans="1:4">
      <c r="A1549" s="2">
        <v>8402</v>
      </c>
      <c r="C1549">
        <v>1</v>
      </c>
      <c r="D1549">
        <v>1</v>
      </c>
    </row>
    <row r="1550" spans="1:4">
      <c r="A1550" s="2">
        <v>8405</v>
      </c>
      <c r="B1550">
        <v>1</v>
      </c>
      <c r="D1550">
        <v>1</v>
      </c>
    </row>
    <row r="1551" spans="1:4">
      <c r="A1551" s="2">
        <v>8414</v>
      </c>
      <c r="B1551">
        <v>1</v>
      </c>
      <c r="D1551">
        <v>1</v>
      </c>
    </row>
    <row r="1552" spans="1:4">
      <c r="A1552" s="2">
        <v>8416</v>
      </c>
      <c r="C1552">
        <v>1</v>
      </c>
      <c r="D1552">
        <v>1</v>
      </c>
    </row>
    <row r="1553" spans="1:4">
      <c r="A1553" s="2">
        <v>8418</v>
      </c>
      <c r="B1553">
        <v>1</v>
      </c>
      <c r="D1553">
        <v>1</v>
      </c>
    </row>
    <row r="1554" spans="1:4">
      <c r="A1554" s="2">
        <v>8420</v>
      </c>
      <c r="C1554">
        <v>1</v>
      </c>
      <c r="D1554">
        <v>1</v>
      </c>
    </row>
    <row r="1555" spans="1:4">
      <c r="A1555" s="2">
        <v>8430</v>
      </c>
      <c r="C1555">
        <v>1</v>
      </c>
      <c r="D1555">
        <v>1</v>
      </c>
    </row>
    <row r="1556" spans="1:4">
      <c r="A1556" s="2">
        <v>8439</v>
      </c>
      <c r="C1556">
        <v>1</v>
      </c>
      <c r="D1556">
        <v>1</v>
      </c>
    </row>
    <row r="1557" spans="1:4">
      <c r="A1557" s="2">
        <v>8442</v>
      </c>
      <c r="C1557">
        <v>1</v>
      </c>
      <c r="D1557">
        <v>1</v>
      </c>
    </row>
    <row r="1558" spans="1:4">
      <c r="A1558" s="2">
        <v>8443</v>
      </c>
      <c r="B1558">
        <v>1</v>
      </c>
      <c r="D1558">
        <v>1</v>
      </c>
    </row>
    <row r="1559" spans="1:4">
      <c r="A1559" s="2">
        <v>8461</v>
      </c>
      <c r="B1559">
        <v>1</v>
      </c>
      <c r="D1559">
        <v>1</v>
      </c>
    </row>
    <row r="1560" spans="1:4">
      <c r="A1560" s="2">
        <v>8462</v>
      </c>
      <c r="C1560">
        <v>1</v>
      </c>
      <c r="D1560">
        <v>1</v>
      </c>
    </row>
    <row r="1561" spans="1:4">
      <c r="A1561" s="2">
        <v>8475</v>
      </c>
      <c r="C1561">
        <v>1</v>
      </c>
      <c r="D1561">
        <v>1</v>
      </c>
    </row>
    <row r="1562" spans="1:4">
      <c r="A1562" s="2">
        <v>8477</v>
      </c>
      <c r="B1562">
        <v>1</v>
      </c>
      <c r="D1562">
        <v>1</v>
      </c>
    </row>
    <row r="1563" spans="1:4">
      <c r="A1563" s="2">
        <v>8486</v>
      </c>
      <c r="C1563">
        <v>1</v>
      </c>
      <c r="D1563">
        <v>1</v>
      </c>
    </row>
    <row r="1564" spans="1:4">
      <c r="A1564" s="2">
        <v>8492</v>
      </c>
      <c r="C1564">
        <v>1</v>
      </c>
      <c r="D1564">
        <v>1</v>
      </c>
    </row>
    <row r="1565" spans="1:4">
      <c r="A1565" s="2">
        <v>8514</v>
      </c>
      <c r="C1565">
        <v>1</v>
      </c>
      <c r="D1565">
        <v>1</v>
      </c>
    </row>
    <row r="1566" spans="1:4">
      <c r="A1566" s="2">
        <v>8523</v>
      </c>
      <c r="C1566">
        <v>1</v>
      </c>
      <c r="D1566">
        <v>1</v>
      </c>
    </row>
    <row r="1567" spans="1:4">
      <c r="A1567" s="2">
        <v>8527</v>
      </c>
      <c r="C1567">
        <v>1</v>
      </c>
      <c r="D1567">
        <v>1</v>
      </c>
    </row>
    <row r="1568" spans="1:4">
      <c r="A1568" s="2">
        <v>8534</v>
      </c>
      <c r="C1568">
        <v>1</v>
      </c>
      <c r="D1568">
        <v>1</v>
      </c>
    </row>
    <row r="1569" spans="1:4">
      <c r="A1569" s="2">
        <v>8537</v>
      </c>
      <c r="B1569">
        <v>1</v>
      </c>
      <c r="D1569">
        <v>1</v>
      </c>
    </row>
    <row r="1570" spans="1:4">
      <c r="A1570" s="2">
        <v>8541</v>
      </c>
      <c r="C1570">
        <v>1</v>
      </c>
      <c r="D1570">
        <v>1</v>
      </c>
    </row>
    <row r="1571" spans="1:4">
      <c r="A1571" s="2">
        <v>8545</v>
      </c>
      <c r="B1571">
        <v>1</v>
      </c>
      <c r="D1571">
        <v>1</v>
      </c>
    </row>
    <row r="1572" spans="1:4">
      <c r="A1572" s="2">
        <v>8553</v>
      </c>
      <c r="C1572">
        <v>1</v>
      </c>
      <c r="D1572">
        <v>1</v>
      </c>
    </row>
    <row r="1573" spans="1:4">
      <c r="A1573" s="2">
        <v>8560</v>
      </c>
      <c r="B1573">
        <v>1</v>
      </c>
      <c r="D1573">
        <v>1</v>
      </c>
    </row>
    <row r="1574" spans="1:4">
      <c r="A1574" s="2">
        <v>8562</v>
      </c>
      <c r="C1574">
        <v>1</v>
      </c>
      <c r="D1574">
        <v>1</v>
      </c>
    </row>
    <row r="1575" spans="1:4">
      <c r="A1575" s="2">
        <v>8566</v>
      </c>
      <c r="C1575">
        <v>1</v>
      </c>
      <c r="D1575">
        <v>1</v>
      </c>
    </row>
    <row r="1576" spans="1:4">
      <c r="A1576" s="2">
        <v>8581</v>
      </c>
      <c r="C1576">
        <v>1</v>
      </c>
      <c r="D1576">
        <v>1</v>
      </c>
    </row>
    <row r="1577" spans="1:4">
      <c r="A1577" s="2">
        <v>8584</v>
      </c>
      <c r="C1577">
        <v>1</v>
      </c>
      <c r="D1577">
        <v>1</v>
      </c>
    </row>
    <row r="1578" spans="1:4">
      <c r="A1578" s="2">
        <v>8594</v>
      </c>
      <c r="B1578">
        <v>1</v>
      </c>
      <c r="D1578">
        <v>1</v>
      </c>
    </row>
    <row r="1579" spans="1:4">
      <c r="A1579" s="2">
        <v>8601</v>
      </c>
      <c r="C1579">
        <v>1</v>
      </c>
      <c r="D1579">
        <v>1</v>
      </c>
    </row>
    <row r="1580" spans="1:4">
      <c r="A1580" s="2">
        <v>8602</v>
      </c>
      <c r="B1580">
        <v>1</v>
      </c>
      <c r="D1580">
        <v>1</v>
      </c>
    </row>
    <row r="1581" spans="1:4">
      <c r="A1581" s="2">
        <v>8605</v>
      </c>
      <c r="C1581">
        <v>1</v>
      </c>
      <c r="D1581">
        <v>1</v>
      </c>
    </row>
    <row r="1582" spans="1:4">
      <c r="A1582" s="2">
        <v>8614</v>
      </c>
      <c r="B1582">
        <v>1</v>
      </c>
      <c r="D1582">
        <v>1</v>
      </c>
    </row>
    <row r="1583" spans="1:4">
      <c r="A1583" s="2">
        <v>8624</v>
      </c>
      <c r="C1583">
        <v>1</v>
      </c>
      <c r="D1583">
        <v>1</v>
      </c>
    </row>
    <row r="1584" spans="1:4">
      <c r="A1584" s="2">
        <v>8625</v>
      </c>
      <c r="C1584">
        <v>1</v>
      </c>
      <c r="D1584">
        <v>1</v>
      </c>
    </row>
    <row r="1585" spans="1:4">
      <c r="A1585" s="2">
        <v>8629</v>
      </c>
      <c r="B1585">
        <v>1</v>
      </c>
      <c r="D1585">
        <v>1</v>
      </c>
    </row>
    <row r="1586" spans="1:4">
      <c r="A1586" s="2">
        <v>8643</v>
      </c>
      <c r="C1586">
        <v>1</v>
      </c>
      <c r="D1586">
        <v>1</v>
      </c>
    </row>
    <row r="1587" spans="1:4">
      <c r="A1587" s="2">
        <v>8650</v>
      </c>
      <c r="B1587">
        <v>1</v>
      </c>
      <c r="D1587">
        <v>1</v>
      </c>
    </row>
    <row r="1588" spans="1:4">
      <c r="A1588" s="2">
        <v>8659</v>
      </c>
      <c r="C1588">
        <v>1</v>
      </c>
      <c r="D1588">
        <v>1</v>
      </c>
    </row>
    <row r="1589" spans="1:4">
      <c r="A1589" s="2">
        <v>8663</v>
      </c>
      <c r="B1589">
        <v>1</v>
      </c>
      <c r="D1589">
        <v>1</v>
      </c>
    </row>
    <row r="1590" spans="1:4">
      <c r="A1590" s="2">
        <v>8686</v>
      </c>
      <c r="C1590">
        <v>1</v>
      </c>
      <c r="D1590">
        <v>1</v>
      </c>
    </row>
    <row r="1591" spans="1:4">
      <c r="A1591" s="2">
        <v>8687</v>
      </c>
      <c r="C1591">
        <v>1</v>
      </c>
      <c r="D1591">
        <v>1</v>
      </c>
    </row>
    <row r="1592" spans="1:4">
      <c r="A1592" s="2">
        <v>8690</v>
      </c>
      <c r="C1592">
        <v>1</v>
      </c>
      <c r="D1592">
        <v>1</v>
      </c>
    </row>
    <row r="1593" spans="1:4">
      <c r="A1593" s="2">
        <v>8692</v>
      </c>
      <c r="C1593">
        <v>1</v>
      </c>
      <c r="D1593">
        <v>1</v>
      </c>
    </row>
    <row r="1594" spans="1:4">
      <c r="A1594" s="2">
        <v>8700</v>
      </c>
      <c r="B1594">
        <v>1</v>
      </c>
      <c r="D1594">
        <v>1</v>
      </c>
    </row>
    <row r="1595" spans="1:4">
      <c r="A1595" s="2">
        <v>8707</v>
      </c>
      <c r="C1595">
        <v>1</v>
      </c>
      <c r="D1595">
        <v>1</v>
      </c>
    </row>
    <row r="1596" spans="1:4">
      <c r="A1596" s="2">
        <v>8717</v>
      </c>
      <c r="C1596">
        <v>1</v>
      </c>
      <c r="D1596">
        <v>1</v>
      </c>
    </row>
    <row r="1597" spans="1:4">
      <c r="A1597" s="2">
        <v>8724</v>
      </c>
      <c r="B1597">
        <v>1</v>
      </c>
      <c r="D1597">
        <v>1</v>
      </c>
    </row>
    <row r="1598" spans="1:4">
      <c r="A1598" s="2">
        <v>8726</v>
      </c>
      <c r="B1598">
        <v>1</v>
      </c>
      <c r="D1598">
        <v>1</v>
      </c>
    </row>
    <row r="1599" spans="1:4">
      <c r="A1599" s="2">
        <v>8732</v>
      </c>
      <c r="B1599">
        <v>1</v>
      </c>
      <c r="D1599">
        <v>1</v>
      </c>
    </row>
    <row r="1600" spans="1:4">
      <c r="A1600" s="2">
        <v>8737</v>
      </c>
      <c r="B1600">
        <v>1</v>
      </c>
      <c r="D1600">
        <v>1</v>
      </c>
    </row>
    <row r="1601" spans="1:4">
      <c r="A1601" s="2">
        <v>8746</v>
      </c>
      <c r="C1601">
        <v>1</v>
      </c>
      <c r="D1601">
        <v>1</v>
      </c>
    </row>
    <row r="1602" spans="1:4">
      <c r="A1602" s="2">
        <v>8749</v>
      </c>
      <c r="C1602">
        <v>1</v>
      </c>
      <c r="D1602">
        <v>1</v>
      </c>
    </row>
    <row r="1603" spans="1:4">
      <c r="A1603" s="2">
        <v>8754</v>
      </c>
      <c r="C1603">
        <v>1</v>
      </c>
      <c r="D1603">
        <v>1</v>
      </c>
    </row>
    <row r="1604" spans="1:4">
      <c r="A1604" s="2">
        <v>8755</v>
      </c>
      <c r="C1604">
        <v>1</v>
      </c>
      <c r="D1604">
        <v>1</v>
      </c>
    </row>
    <row r="1605" spans="1:4">
      <c r="A1605" s="2">
        <v>8773</v>
      </c>
      <c r="C1605">
        <v>1</v>
      </c>
      <c r="D1605">
        <v>1</v>
      </c>
    </row>
    <row r="1606" spans="1:4">
      <c r="A1606" s="2">
        <v>8779</v>
      </c>
      <c r="C1606">
        <v>1</v>
      </c>
      <c r="D1606">
        <v>1</v>
      </c>
    </row>
    <row r="1607" spans="1:4">
      <c r="A1607" s="2">
        <v>8783</v>
      </c>
      <c r="C1607">
        <v>1</v>
      </c>
      <c r="D1607">
        <v>1</v>
      </c>
    </row>
    <row r="1608" spans="1:4">
      <c r="A1608" s="2">
        <v>8786</v>
      </c>
      <c r="C1608">
        <v>1</v>
      </c>
      <c r="D1608">
        <v>1</v>
      </c>
    </row>
    <row r="1609" spans="1:4">
      <c r="A1609" s="2">
        <v>8789</v>
      </c>
      <c r="C1609">
        <v>1</v>
      </c>
      <c r="D1609">
        <v>1</v>
      </c>
    </row>
    <row r="1610" spans="1:4">
      <c r="A1610" s="2">
        <v>8799</v>
      </c>
      <c r="C1610">
        <v>1</v>
      </c>
      <c r="D1610">
        <v>1</v>
      </c>
    </row>
    <row r="1611" spans="1:4">
      <c r="A1611" s="2">
        <v>8805</v>
      </c>
      <c r="B1611">
        <v>1</v>
      </c>
      <c r="D1611">
        <v>1</v>
      </c>
    </row>
    <row r="1612" spans="1:4">
      <c r="A1612" s="2">
        <v>8812</v>
      </c>
      <c r="B1612">
        <v>1</v>
      </c>
      <c r="D1612">
        <v>1</v>
      </c>
    </row>
    <row r="1613" spans="1:4">
      <c r="A1613" s="2">
        <v>8825</v>
      </c>
      <c r="C1613">
        <v>1</v>
      </c>
      <c r="D1613">
        <v>1</v>
      </c>
    </row>
    <row r="1614" spans="1:4">
      <c r="A1614" s="2">
        <v>8832</v>
      </c>
      <c r="C1614">
        <v>1</v>
      </c>
      <c r="D1614">
        <v>1</v>
      </c>
    </row>
    <row r="1615" spans="1:4">
      <c r="A1615" s="2">
        <v>8852</v>
      </c>
      <c r="C1615">
        <v>1</v>
      </c>
      <c r="D1615">
        <v>1</v>
      </c>
    </row>
    <row r="1616" spans="1:4">
      <c r="A1616" s="2">
        <v>8858</v>
      </c>
      <c r="C1616">
        <v>1</v>
      </c>
      <c r="D1616">
        <v>1</v>
      </c>
    </row>
    <row r="1617" spans="1:4">
      <c r="A1617" s="2">
        <v>8870</v>
      </c>
      <c r="C1617">
        <v>1</v>
      </c>
      <c r="D1617">
        <v>1</v>
      </c>
    </row>
    <row r="1618" spans="1:4">
      <c r="A1618" s="2">
        <v>8876</v>
      </c>
      <c r="C1618">
        <v>1</v>
      </c>
      <c r="D1618">
        <v>1</v>
      </c>
    </row>
    <row r="1619" spans="1:4">
      <c r="A1619" s="2">
        <v>8890</v>
      </c>
      <c r="B1619">
        <v>1</v>
      </c>
      <c r="D1619">
        <v>1</v>
      </c>
    </row>
    <row r="1620" spans="1:4">
      <c r="A1620" s="2">
        <v>8897</v>
      </c>
      <c r="B1620">
        <v>1</v>
      </c>
      <c r="D1620">
        <v>1</v>
      </c>
    </row>
    <row r="1621" spans="1:4">
      <c r="A1621" s="2">
        <v>8908</v>
      </c>
      <c r="C1621">
        <v>1</v>
      </c>
      <c r="D1621">
        <v>1</v>
      </c>
    </row>
    <row r="1622" spans="1:4">
      <c r="A1622" s="2">
        <v>8910</v>
      </c>
      <c r="C1622">
        <v>1</v>
      </c>
      <c r="D1622">
        <v>1</v>
      </c>
    </row>
    <row r="1623" spans="1:4">
      <c r="A1623" s="2">
        <v>8911</v>
      </c>
      <c r="C1623">
        <v>1</v>
      </c>
      <c r="D1623">
        <v>1</v>
      </c>
    </row>
    <row r="1624" spans="1:4">
      <c r="A1624" s="2">
        <v>8916</v>
      </c>
      <c r="B1624">
        <v>1</v>
      </c>
      <c r="D1624">
        <v>1</v>
      </c>
    </row>
    <row r="1625" spans="1:4">
      <c r="A1625" s="2">
        <v>8920</v>
      </c>
      <c r="B1625">
        <v>1</v>
      </c>
      <c r="D1625">
        <v>1</v>
      </c>
    </row>
    <row r="1626" spans="1:4">
      <c r="A1626" s="2">
        <v>8923</v>
      </c>
      <c r="B1626">
        <v>1</v>
      </c>
      <c r="D1626">
        <v>1</v>
      </c>
    </row>
    <row r="1627" spans="1:4">
      <c r="A1627" s="2">
        <v>8925</v>
      </c>
      <c r="C1627">
        <v>1</v>
      </c>
      <c r="D1627">
        <v>1</v>
      </c>
    </row>
    <row r="1628" spans="1:4">
      <c r="A1628" s="2">
        <v>8931</v>
      </c>
      <c r="C1628">
        <v>1</v>
      </c>
      <c r="D1628">
        <v>1</v>
      </c>
    </row>
    <row r="1629" spans="1:4">
      <c r="A1629" s="2">
        <v>8932</v>
      </c>
      <c r="C1629">
        <v>1</v>
      </c>
      <c r="D1629">
        <v>1</v>
      </c>
    </row>
    <row r="1630" spans="1:4">
      <c r="A1630" s="2">
        <v>8933</v>
      </c>
      <c r="C1630">
        <v>1</v>
      </c>
      <c r="D1630">
        <v>1</v>
      </c>
    </row>
    <row r="1631" spans="1:4">
      <c r="A1631" s="2">
        <v>8939</v>
      </c>
      <c r="B1631">
        <v>1</v>
      </c>
      <c r="D1631">
        <v>1</v>
      </c>
    </row>
    <row r="1632" spans="1:4">
      <c r="A1632" s="2">
        <v>8945</v>
      </c>
      <c r="B1632">
        <v>1</v>
      </c>
      <c r="D1632">
        <v>1</v>
      </c>
    </row>
    <row r="1633" spans="1:4">
      <c r="A1633" s="2">
        <v>8952</v>
      </c>
      <c r="C1633">
        <v>1</v>
      </c>
      <c r="D1633">
        <v>1</v>
      </c>
    </row>
    <row r="1634" spans="1:4">
      <c r="A1634" s="2">
        <v>8953</v>
      </c>
      <c r="B1634">
        <v>1</v>
      </c>
      <c r="D1634">
        <v>1</v>
      </c>
    </row>
    <row r="1635" spans="1:4">
      <c r="A1635" s="2">
        <v>8955</v>
      </c>
      <c r="C1635">
        <v>1</v>
      </c>
      <c r="D1635">
        <v>1</v>
      </c>
    </row>
    <row r="1636" spans="1:4">
      <c r="A1636" s="2">
        <v>8957</v>
      </c>
      <c r="B1636">
        <v>1</v>
      </c>
      <c r="D1636">
        <v>1</v>
      </c>
    </row>
    <row r="1637" spans="1:4">
      <c r="A1637" s="2">
        <v>8962</v>
      </c>
      <c r="C1637">
        <v>1</v>
      </c>
      <c r="D1637">
        <v>1</v>
      </c>
    </row>
    <row r="1638" spans="1:4">
      <c r="A1638" s="2">
        <v>8969</v>
      </c>
      <c r="C1638">
        <v>1</v>
      </c>
      <c r="D1638">
        <v>1</v>
      </c>
    </row>
    <row r="1639" spans="1:4">
      <c r="A1639" s="2">
        <v>8970</v>
      </c>
      <c r="C1639">
        <v>1</v>
      </c>
      <c r="D1639">
        <v>1</v>
      </c>
    </row>
    <row r="1640" spans="1:4">
      <c r="A1640" s="2">
        <v>8975</v>
      </c>
      <c r="C1640">
        <v>1</v>
      </c>
      <c r="D1640">
        <v>1</v>
      </c>
    </row>
    <row r="1641" spans="1:4">
      <c r="A1641" s="2">
        <v>8977</v>
      </c>
      <c r="B1641">
        <v>1</v>
      </c>
      <c r="D1641">
        <v>1</v>
      </c>
    </row>
    <row r="1642" spans="1:4">
      <c r="A1642" s="2">
        <v>8985</v>
      </c>
      <c r="C1642">
        <v>1</v>
      </c>
      <c r="D1642">
        <v>1</v>
      </c>
    </row>
    <row r="1643" spans="1:4">
      <c r="A1643" s="2">
        <v>9010</v>
      </c>
      <c r="C1643">
        <v>1</v>
      </c>
      <c r="D1643">
        <v>1</v>
      </c>
    </row>
    <row r="1644" spans="1:4">
      <c r="A1644" s="2">
        <v>9014</v>
      </c>
      <c r="C1644">
        <v>1</v>
      </c>
      <c r="D1644">
        <v>1</v>
      </c>
    </row>
    <row r="1645" spans="1:4">
      <c r="A1645" s="2">
        <v>9029</v>
      </c>
      <c r="C1645">
        <v>1</v>
      </c>
      <c r="D1645">
        <v>1</v>
      </c>
    </row>
    <row r="1646" spans="1:4">
      <c r="A1646" s="2">
        <v>9058</v>
      </c>
      <c r="B1646">
        <v>1</v>
      </c>
      <c r="D1646">
        <v>1</v>
      </c>
    </row>
    <row r="1647" spans="1:4">
      <c r="A1647" s="2">
        <v>9076</v>
      </c>
      <c r="C1647">
        <v>1</v>
      </c>
      <c r="D1647">
        <v>1</v>
      </c>
    </row>
    <row r="1648" spans="1:4">
      <c r="A1648" s="2">
        <v>9081</v>
      </c>
      <c r="B1648">
        <v>1</v>
      </c>
      <c r="D1648">
        <v>1</v>
      </c>
    </row>
    <row r="1649" spans="1:4">
      <c r="A1649" s="2">
        <v>9094</v>
      </c>
      <c r="C1649">
        <v>1</v>
      </c>
      <c r="D1649">
        <v>1</v>
      </c>
    </row>
    <row r="1650" spans="1:4">
      <c r="A1650" s="2">
        <v>9097</v>
      </c>
      <c r="B1650">
        <v>1</v>
      </c>
      <c r="D1650">
        <v>1</v>
      </c>
    </row>
    <row r="1651" spans="1:4">
      <c r="A1651" s="2">
        <v>9119</v>
      </c>
      <c r="C1651">
        <v>1</v>
      </c>
      <c r="D1651">
        <v>1</v>
      </c>
    </row>
    <row r="1652" spans="1:4">
      <c r="A1652" s="2">
        <v>9120</v>
      </c>
      <c r="B1652">
        <v>1</v>
      </c>
      <c r="D1652">
        <v>1</v>
      </c>
    </row>
    <row r="1653" spans="1:4">
      <c r="A1653" s="2">
        <v>9135</v>
      </c>
      <c r="C1653">
        <v>1</v>
      </c>
      <c r="D1653">
        <v>1</v>
      </c>
    </row>
    <row r="1654" spans="1:4">
      <c r="A1654" s="2">
        <v>9140</v>
      </c>
      <c r="C1654">
        <v>1</v>
      </c>
      <c r="D1654">
        <v>1</v>
      </c>
    </row>
    <row r="1655" spans="1:4">
      <c r="A1655" s="2">
        <v>9145</v>
      </c>
      <c r="B1655">
        <v>1</v>
      </c>
      <c r="D1655">
        <v>1</v>
      </c>
    </row>
    <row r="1656" spans="1:4">
      <c r="A1656" s="2">
        <v>9153</v>
      </c>
      <c r="C1656">
        <v>1</v>
      </c>
      <c r="D1656">
        <v>1</v>
      </c>
    </row>
    <row r="1657" spans="1:4">
      <c r="A1657" s="2">
        <v>9166</v>
      </c>
      <c r="C1657">
        <v>1</v>
      </c>
      <c r="D1657">
        <v>1</v>
      </c>
    </row>
    <row r="1658" spans="1:4">
      <c r="A1658" s="2">
        <v>9167</v>
      </c>
      <c r="C1658">
        <v>1</v>
      </c>
      <c r="D1658">
        <v>1</v>
      </c>
    </row>
    <row r="1659" spans="1:4">
      <c r="A1659" s="2">
        <v>9185</v>
      </c>
      <c r="B1659">
        <v>1</v>
      </c>
      <c r="D1659">
        <v>1</v>
      </c>
    </row>
    <row r="1660" spans="1:4">
      <c r="A1660" s="2">
        <v>9197</v>
      </c>
      <c r="C1660">
        <v>1</v>
      </c>
      <c r="D1660">
        <v>1</v>
      </c>
    </row>
    <row r="1661" spans="1:4">
      <c r="A1661" s="2">
        <v>9204</v>
      </c>
      <c r="B1661">
        <v>1</v>
      </c>
      <c r="D1661">
        <v>1</v>
      </c>
    </row>
    <row r="1662" spans="1:4">
      <c r="A1662" s="2">
        <v>9206</v>
      </c>
      <c r="C1662">
        <v>1</v>
      </c>
      <c r="D1662">
        <v>1</v>
      </c>
    </row>
    <row r="1663" spans="1:4">
      <c r="A1663" s="2">
        <v>9212</v>
      </c>
      <c r="C1663">
        <v>1</v>
      </c>
      <c r="D1663">
        <v>1</v>
      </c>
    </row>
    <row r="1664" spans="1:4">
      <c r="A1664" s="2">
        <v>9213</v>
      </c>
      <c r="B1664">
        <v>1</v>
      </c>
      <c r="D1664">
        <v>1</v>
      </c>
    </row>
    <row r="1665" spans="1:4">
      <c r="A1665" s="2">
        <v>9214</v>
      </c>
      <c r="C1665">
        <v>1</v>
      </c>
      <c r="D1665">
        <v>1</v>
      </c>
    </row>
    <row r="1666" spans="1:4">
      <c r="A1666" s="2">
        <v>9215</v>
      </c>
      <c r="C1666">
        <v>1</v>
      </c>
      <c r="D1666">
        <v>1</v>
      </c>
    </row>
    <row r="1667" spans="1:4">
      <c r="A1667" s="2">
        <v>9216</v>
      </c>
      <c r="C1667">
        <v>1</v>
      </c>
      <c r="D1667">
        <v>1</v>
      </c>
    </row>
    <row r="1668" spans="1:4">
      <c r="A1668" s="2">
        <v>9220</v>
      </c>
      <c r="B1668">
        <v>1</v>
      </c>
      <c r="D1668">
        <v>1</v>
      </c>
    </row>
    <row r="1669" spans="1:4">
      <c r="A1669" s="2">
        <v>9224</v>
      </c>
      <c r="B1669">
        <v>1</v>
      </c>
      <c r="D1669">
        <v>1</v>
      </c>
    </row>
    <row r="1670" spans="1:4">
      <c r="A1670" s="2">
        <v>9239</v>
      </c>
      <c r="C1670">
        <v>1</v>
      </c>
      <c r="D1670">
        <v>1</v>
      </c>
    </row>
    <row r="1671" spans="1:4">
      <c r="A1671" s="2">
        <v>9240</v>
      </c>
      <c r="B1671">
        <v>1</v>
      </c>
      <c r="D1671">
        <v>1</v>
      </c>
    </row>
    <row r="1672" spans="1:4">
      <c r="A1672" s="2">
        <v>9242</v>
      </c>
      <c r="B1672">
        <v>1</v>
      </c>
      <c r="D1672">
        <v>1</v>
      </c>
    </row>
    <row r="1673" spans="1:4">
      <c r="A1673" s="2">
        <v>9246</v>
      </c>
      <c r="C1673">
        <v>1</v>
      </c>
      <c r="D1673">
        <v>1</v>
      </c>
    </row>
    <row r="1674" spans="1:4">
      <c r="A1674" s="2">
        <v>9256</v>
      </c>
      <c r="B1674">
        <v>1</v>
      </c>
      <c r="D1674">
        <v>1</v>
      </c>
    </row>
    <row r="1675" spans="1:4">
      <c r="A1675" s="2">
        <v>9260</v>
      </c>
      <c r="C1675">
        <v>1</v>
      </c>
      <c r="D1675">
        <v>1</v>
      </c>
    </row>
    <row r="1676" spans="1:4">
      <c r="A1676" s="2">
        <v>9262</v>
      </c>
      <c r="C1676">
        <v>1</v>
      </c>
      <c r="D1676">
        <v>1</v>
      </c>
    </row>
    <row r="1677" spans="1:4">
      <c r="A1677" s="2">
        <v>9264</v>
      </c>
      <c r="C1677">
        <v>1</v>
      </c>
      <c r="D1677">
        <v>1</v>
      </c>
    </row>
    <row r="1678" spans="1:4">
      <c r="A1678" s="2">
        <v>9265</v>
      </c>
      <c r="C1678">
        <v>1</v>
      </c>
      <c r="D1678">
        <v>1</v>
      </c>
    </row>
    <row r="1679" spans="1:4">
      <c r="A1679" s="2">
        <v>9274</v>
      </c>
      <c r="C1679">
        <v>1</v>
      </c>
      <c r="D1679">
        <v>1</v>
      </c>
    </row>
    <row r="1680" spans="1:4">
      <c r="A1680" s="2">
        <v>9283</v>
      </c>
      <c r="B1680">
        <v>1</v>
      </c>
      <c r="D1680">
        <v>1</v>
      </c>
    </row>
    <row r="1681" spans="1:4">
      <c r="A1681" s="2">
        <v>9284</v>
      </c>
      <c r="C1681">
        <v>1</v>
      </c>
      <c r="D1681">
        <v>1</v>
      </c>
    </row>
    <row r="1682" spans="1:4">
      <c r="A1682" s="2">
        <v>9286</v>
      </c>
      <c r="C1682">
        <v>1</v>
      </c>
      <c r="D1682">
        <v>1</v>
      </c>
    </row>
    <row r="1683" spans="1:4">
      <c r="A1683" s="2">
        <v>9289</v>
      </c>
      <c r="C1683">
        <v>1</v>
      </c>
      <c r="D1683">
        <v>1</v>
      </c>
    </row>
    <row r="1684" spans="1:4">
      <c r="A1684" s="2">
        <v>9291</v>
      </c>
      <c r="C1684">
        <v>1</v>
      </c>
      <c r="D1684">
        <v>1</v>
      </c>
    </row>
    <row r="1685" spans="1:4">
      <c r="A1685" s="2">
        <v>9292</v>
      </c>
      <c r="C1685">
        <v>1</v>
      </c>
      <c r="D1685">
        <v>1</v>
      </c>
    </row>
    <row r="1686" spans="1:4">
      <c r="A1686" s="2">
        <v>9298</v>
      </c>
      <c r="C1686">
        <v>1</v>
      </c>
      <c r="D1686">
        <v>1</v>
      </c>
    </row>
    <row r="1687" spans="1:4">
      <c r="A1687" s="2">
        <v>9303</v>
      </c>
      <c r="C1687">
        <v>1</v>
      </c>
      <c r="D1687">
        <v>1</v>
      </c>
    </row>
    <row r="1688" spans="1:4">
      <c r="A1688" s="2">
        <v>9305</v>
      </c>
      <c r="B1688">
        <v>1</v>
      </c>
      <c r="D1688">
        <v>1</v>
      </c>
    </row>
    <row r="1689" spans="1:4">
      <c r="A1689" s="2">
        <v>9316</v>
      </c>
      <c r="C1689">
        <v>1</v>
      </c>
      <c r="D1689">
        <v>1</v>
      </c>
    </row>
    <row r="1690" spans="1:4">
      <c r="A1690" s="2">
        <v>9336</v>
      </c>
      <c r="B1690">
        <v>1</v>
      </c>
      <c r="D1690">
        <v>1</v>
      </c>
    </row>
    <row r="1691" spans="1:4">
      <c r="A1691" s="2">
        <v>9347</v>
      </c>
      <c r="C1691">
        <v>1</v>
      </c>
      <c r="D1691">
        <v>1</v>
      </c>
    </row>
    <row r="1692" spans="1:4">
      <c r="A1692" s="2">
        <v>9349</v>
      </c>
      <c r="C1692">
        <v>1</v>
      </c>
      <c r="D1692">
        <v>1</v>
      </c>
    </row>
    <row r="1693" spans="1:4">
      <c r="A1693" s="2">
        <v>9353</v>
      </c>
      <c r="B1693">
        <v>1</v>
      </c>
      <c r="D1693">
        <v>1</v>
      </c>
    </row>
    <row r="1694" spans="1:4">
      <c r="A1694" s="2">
        <v>9360</v>
      </c>
      <c r="C1694">
        <v>1</v>
      </c>
      <c r="D1694">
        <v>1</v>
      </c>
    </row>
    <row r="1695" spans="1:4">
      <c r="A1695" s="2">
        <v>9362</v>
      </c>
      <c r="B1695">
        <v>1</v>
      </c>
      <c r="D1695">
        <v>1</v>
      </c>
    </row>
    <row r="1696" spans="1:4">
      <c r="A1696" s="2">
        <v>9365</v>
      </c>
      <c r="B1696">
        <v>1</v>
      </c>
      <c r="D1696">
        <v>1</v>
      </c>
    </row>
    <row r="1697" spans="1:4">
      <c r="A1697" s="2">
        <v>9369</v>
      </c>
      <c r="B1697">
        <v>1</v>
      </c>
      <c r="D1697">
        <v>1</v>
      </c>
    </row>
    <row r="1698" spans="1:4">
      <c r="A1698" s="2">
        <v>9370</v>
      </c>
      <c r="C1698">
        <v>1</v>
      </c>
      <c r="D1698">
        <v>1</v>
      </c>
    </row>
    <row r="1699" spans="1:4">
      <c r="A1699" s="2">
        <v>9381</v>
      </c>
      <c r="C1699">
        <v>1</v>
      </c>
      <c r="D1699">
        <v>1</v>
      </c>
    </row>
    <row r="1700" spans="1:4">
      <c r="A1700" s="2">
        <v>9386</v>
      </c>
      <c r="C1700">
        <v>1</v>
      </c>
      <c r="D1700">
        <v>1</v>
      </c>
    </row>
    <row r="1701" spans="1:4">
      <c r="A1701" s="2">
        <v>9392</v>
      </c>
      <c r="B1701">
        <v>1</v>
      </c>
      <c r="D1701">
        <v>1</v>
      </c>
    </row>
    <row r="1702" spans="1:4">
      <c r="A1702" s="2">
        <v>9400</v>
      </c>
      <c r="B1702">
        <v>1</v>
      </c>
      <c r="D1702">
        <v>1</v>
      </c>
    </row>
    <row r="1703" spans="1:4">
      <c r="A1703" s="2">
        <v>9405</v>
      </c>
      <c r="C1703">
        <v>1</v>
      </c>
      <c r="D1703">
        <v>1</v>
      </c>
    </row>
    <row r="1704" spans="1:4">
      <c r="A1704" s="2">
        <v>9422</v>
      </c>
      <c r="C1704">
        <v>1</v>
      </c>
      <c r="D1704">
        <v>1</v>
      </c>
    </row>
    <row r="1705" spans="1:4">
      <c r="A1705" s="2">
        <v>9423</v>
      </c>
      <c r="C1705">
        <v>1</v>
      </c>
      <c r="D1705">
        <v>1</v>
      </c>
    </row>
    <row r="1706" spans="1:4">
      <c r="A1706" s="2">
        <v>9426</v>
      </c>
      <c r="B1706">
        <v>1</v>
      </c>
      <c r="D1706">
        <v>1</v>
      </c>
    </row>
    <row r="1707" spans="1:4">
      <c r="A1707" s="2">
        <v>9449</v>
      </c>
      <c r="B1707">
        <v>1</v>
      </c>
      <c r="D1707">
        <v>1</v>
      </c>
    </row>
    <row r="1708" spans="1:4">
      <c r="A1708" s="2">
        <v>9451</v>
      </c>
      <c r="C1708">
        <v>1</v>
      </c>
      <c r="D1708">
        <v>1</v>
      </c>
    </row>
    <row r="1709" spans="1:4">
      <c r="A1709" s="2">
        <v>9463</v>
      </c>
      <c r="C1709">
        <v>1</v>
      </c>
      <c r="D1709">
        <v>1</v>
      </c>
    </row>
    <row r="1710" spans="1:4">
      <c r="A1710" s="2">
        <v>9467</v>
      </c>
      <c r="B1710">
        <v>1</v>
      </c>
      <c r="D1710">
        <v>1</v>
      </c>
    </row>
    <row r="1711" spans="1:4">
      <c r="A1711" s="2">
        <v>9478</v>
      </c>
      <c r="B1711">
        <v>1</v>
      </c>
      <c r="D1711">
        <v>1</v>
      </c>
    </row>
    <row r="1712" spans="1:4">
      <c r="A1712" s="2">
        <v>9481</v>
      </c>
      <c r="C1712">
        <v>1</v>
      </c>
      <c r="D1712">
        <v>1</v>
      </c>
    </row>
    <row r="1713" spans="1:4">
      <c r="A1713" s="2">
        <v>9483</v>
      </c>
      <c r="C1713">
        <v>1</v>
      </c>
      <c r="D1713">
        <v>1</v>
      </c>
    </row>
    <row r="1714" spans="1:4">
      <c r="A1714" s="2">
        <v>9485</v>
      </c>
      <c r="C1714">
        <v>1</v>
      </c>
      <c r="D1714">
        <v>1</v>
      </c>
    </row>
    <row r="1715" spans="1:4">
      <c r="A1715" s="2">
        <v>9491</v>
      </c>
      <c r="C1715">
        <v>1</v>
      </c>
      <c r="D1715">
        <v>1</v>
      </c>
    </row>
    <row r="1716" spans="1:4">
      <c r="A1716" s="2">
        <v>9493</v>
      </c>
      <c r="B1716">
        <v>1</v>
      </c>
      <c r="D1716">
        <v>1</v>
      </c>
    </row>
    <row r="1717" spans="1:4">
      <c r="A1717" s="2">
        <v>9499</v>
      </c>
      <c r="C1717">
        <v>1</v>
      </c>
      <c r="D1717">
        <v>1</v>
      </c>
    </row>
    <row r="1718" spans="1:4">
      <c r="A1718" s="2">
        <v>9500</v>
      </c>
      <c r="C1718">
        <v>1</v>
      </c>
      <c r="D1718">
        <v>1</v>
      </c>
    </row>
    <row r="1719" spans="1:4">
      <c r="A1719" s="2">
        <v>9503</v>
      </c>
      <c r="B1719">
        <v>1</v>
      </c>
      <c r="D1719">
        <v>1</v>
      </c>
    </row>
    <row r="1720" spans="1:4">
      <c r="A1720" s="2">
        <v>9504</v>
      </c>
      <c r="C1720">
        <v>1</v>
      </c>
      <c r="D1720">
        <v>1</v>
      </c>
    </row>
    <row r="1721" spans="1:4">
      <c r="A1721" s="2">
        <v>9507</v>
      </c>
      <c r="C1721">
        <v>1</v>
      </c>
      <c r="D1721">
        <v>1</v>
      </c>
    </row>
    <row r="1722" spans="1:4">
      <c r="A1722" s="2">
        <v>9516</v>
      </c>
      <c r="B1722">
        <v>1</v>
      </c>
      <c r="D1722">
        <v>1</v>
      </c>
    </row>
    <row r="1723" spans="1:4">
      <c r="A1723" s="2">
        <v>9523</v>
      </c>
      <c r="C1723">
        <v>1</v>
      </c>
      <c r="D1723">
        <v>1</v>
      </c>
    </row>
    <row r="1724" spans="1:4">
      <c r="A1724" s="2">
        <v>9529</v>
      </c>
      <c r="C1724">
        <v>1</v>
      </c>
      <c r="D1724">
        <v>1</v>
      </c>
    </row>
    <row r="1725" spans="1:4">
      <c r="A1725" s="2">
        <v>9530</v>
      </c>
      <c r="C1725">
        <v>1</v>
      </c>
      <c r="D1725">
        <v>1</v>
      </c>
    </row>
    <row r="1726" spans="1:4">
      <c r="A1726" s="2">
        <v>9553</v>
      </c>
      <c r="C1726">
        <v>1</v>
      </c>
      <c r="D1726">
        <v>1</v>
      </c>
    </row>
    <row r="1727" spans="1:4">
      <c r="A1727" s="2">
        <v>9559</v>
      </c>
      <c r="C1727">
        <v>1</v>
      </c>
      <c r="D1727">
        <v>1</v>
      </c>
    </row>
    <row r="1728" spans="1:4">
      <c r="A1728" s="2">
        <v>9560</v>
      </c>
      <c r="C1728">
        <v>1</v>
      </c>
      <c r="D1728">
        <v>1</v>
      </c>
    </row>
    <row r="1729" spans="1:4">
      <c r="A1729" s="2">
        <v>9576</v>
      </c>
      <c r="C1729">
        <v>1</v>
      </c>
      <c r="D1729">
        <v>1</v>
      </c>
    </row>
    <row r="1730" spans="1:4">
      <c r="A1730" s="2">
        <v>9579</v>
      </c>
      <c r="C1730">
        <v>1</v>
      </c>
      <c r="D1730">
        <v>1</v>
      </c>
    </row>
    <row r="1731" spans="1:4">
      <c r="A1731" s="2">
        <v>9592</v>
      </c>
      <c r="C1731">
        <v>1</v>
      </c>
      <c r="D1731">
        <v>1</v>
      </c>
    </row>
    <row r="1732" spans="1:4">
      <c r="A1732" s="2">
        <v>9595</v>
      </c>
      <c r="C1732">
        <v>1</v>
      </c>
      <c r="D1732">
        <v>1</v>
      </c>
    </row>
    <row r="1733" spans="1:4">
      <c r="A1733" s="2">
        <v>9596</v>
      </c>
      <c r="B1733">
        <v>1</v>
      </c>
      <c r="D1733">
        <v>1</v>
      </c>
    </row>
    <row r="1734" spans="1:4">
      <c r="A1734" s="2">
        <v>9597</v>
      </c>
      <c r="C1734">
        <v>1</v>
      </c>
      <c r="D1734">
        <v>1</v>
      </c>
    </row>
    <row r="1735" spans="1:4">
      <c r="A1735" s="2">
        <v>9606</v>
      </c>
      <c r="C1735">
        <v>1</v>
      </c>
      <c r="D1735">
        <v>1</v>
      </c>
    </row>
    <row r="1736" spans="1:4">
      <c r="A1736" s="2">
        <v>9612</v>
      </c>
      <c r="B1736">
        <v>1</v>
      </c>
      <c r="D1736">
        <v>1</v>
      </c>
    </row>
    <row r="1737" spans="1:4">
      <c r="A1737" s="2">
        <v>9617</v>
      </c>
      <c r="B1737">
        <v>1</v>
      </c>
      <c r="D1737">
        <v>1</v>
      </c>
    </row>
    <row r="1738" spans="1:4">
      <c r="A1738" s="2">
        <v>9624</v>
      </c>
      <c r="C1738">
        <v>1</v>
      </c>
      <c r="D1738">
        <v>1</v>
      </c>
    </row>
    <row r="1739" spans="1:4">
      <c r="A1739" s="2">
        <v>9635</v>
      </c>
      <c r="C1739">
        <v>1</v>
      </c>
      <c r="D1739">
        <v>1</v>
      </c>
    </row>
    <row r="1740" spans="1:4">
      <c r="A1740" s="2">
        <v>9645</v>
      </c>
      <c r="C1740">
        <v>1</v>
      </c>
      <c r="D1740">
        <v>1</v>
      </c>
    </row>
    <row r="1741" spans="1:4">
      <c r="A1741" s="2">
        <v>9648</v>
      </c>
      <c r="B1741">
        <v>1</v>
      </c>
      <c r="D1741">
        <v>1</v>
      </c>
    </row>
    <row r="1742" spans="1:4">
      <c r="A1742" s="2">
        <v>9653</v>
      </c>
      <c r="C1742">
        <v>1</v>
      </c>
      <c r="D1742">
        <v>1</v>
      </c>
    </row>
    <row r="1743" spans="1:4">
      <c r="A1743" s="2">
        <v>9665</v>
      </c>
      <c r="B1743">
        <v>1</v>
      </c>
      <c r="D1743">
        <v>1</v>
      </c>
    </row>
    <row r="1744" spans="1:4">
      <c r="A1744" s="2">
        <v>9668</v>
      </c>
      <c r="C1744">
        <v>1</v>
      </c>
      <c r="D1744">
        <v>1</v>
      </c>
    </row>
    <row r="1745" spans="1:4">
      <c r="A1745" s="2">
        <v>9672</v>
      </c>
      <c r="C1745">
        <v>1</v>
      </c>
      <c r="D1745">
        <v>1</v>
      </c>
    </row>
    <row r="1746" spans="1:4">
      <c r="A1746" s="2">
        <v>9687</v>
      </c>
      <c r="B1746">
        <v>1</v>
      </c>
      <c r="D1746">
        <v>1</v>
      </c>
    </row>
    <row r="1747" spans="1:4">
      <c r="A1747" s="2">
        <v>9697</v>
      </c>
      <c r="C1747">
        <v>1</v>
      </c>
      <c r="D1747">
        <v>1</v>
      </c>
    </row>
    <row r="1748" spans="1:4">
      <c r="A1748" s="2">
        <v>9699</v>
      </c>
      <c r="B1748">
        <v>1</v>
      </c>
      <c r="D1748">
        <v>1</v>
      </c>
    </row>
    <row r="1749" spans="1:4">
      <c r="A1749" s="2">
        <v>9701</v>
      </c>
      <c r="C1749">
        <v>1</v>
      </c>
      <c r="D1749">
        <v>1</v>
      </c>
    </row>
    <row r="1750" spans="1:4">
      <c r="A1750" s="2">
        <v>9703</v>
      </c>
      <c r="C1750">
        <v>1</v>
      </c>
      <c r="D1750">
        <v>1</v>
      </c>
    </row>
    <row r="1751" spans="1:4">
      <c r="A1751" s="2">
        <v>9706</v>
      </c>
      <c r="B1751">
        <v>1</v>
      </c>
      <c r="D1751">
        <v>1</v>
      </c>
    </row>
    <row r="1752" spans="1:4">
      <c r="A1752" s="2">
        <v>9707</v>
      </c>
      <c r="C1752">
        <v>1</v>
      </c>
      <c r="D1752">
        <v>1</v>
      </c>
    </row>
    <row r="1753" spans="1:4">
      <c r="A1753" s="2">
        <v>9710</v>
      </c>
      <c r="B1753">
        <v>1</v>
      </c>
      <c r="D1753">
        <v>1</v>
      </c>
    </row>
    <row r="1754" spans="1:4">
      <c r="A1754" s="2">
        <v>9723</v>
      </c>
      <c r="C1754">
        <v>1</v>
      </c>
      <c r="D1754">
        <v>1</v>
      </c>
    </row>
    <row r="1755" spans="1:4">
      <c r="A1755" s="2">
        <v>9725</v>
      </c>
      <c r="C1755">
        <v>1</v>
      </c>
      <c r="D1755">
        <v>1</v>
      </c>
    </row>
    <row r="1756" spans="1:4">
      <c r="A1756" s="2">
        <v>9727</v>
      </c>
      <c r="C1756">
        <v>1</v>
      </c>
      <c r="D1756">
        <v>1</v>
      </c>
    </row>
    <row r="1757" spans="1:4">
      <c r="A1757" s="2">
        <v>9729</v>
      </c>
      <c r="B1757">
        <v>1</v>
      </c>
      <c r="D1757">
        <v>1</v>
      </c>
    </row>
    <row r="1758" spans="1:4">
      <c r="A1758" s="2">
        <v>9736</v>
      </c>
      <c r="C1758">
        <v>1</v>
      </c>
      <c r="D1758">
        <v>1</v>
      </c>
    </row>
    <row r="1759" spans="1:4">
      <c r="A1759" s="2">
        <v>9738</v>
      </c>
      <c r="C1759">
        <v>1</v>
      </c>
      <c r="D1759">
        <v>1</v>
      </c>
    </row>
    <row r="1760" spans="1:4">
      <c r="A1760" s="2">
        <v>9739</v>
      </c>
      <c r="B1760">
        <v>1</v>
      </c>
      <c r="D1760">
        <v>1</v>
      </c>
    </row>
    <row r="1761" spans="1:4">
      <c r="A1761" s="2">
        <v>9743</v>
      </c>
      <c r="C1761">
        <v>1</v>
      </c>
      <c r="D1761">
        <v>1</v>
      </c>
    </row>
    <row r="1762" spans="1:4">
      <c r="A1762" s="2">
        <v>9750</v>
      </c>
      <c r="B1762">
        <v>1</v>
      </c>
      <c r="D1762">
        <v>1</v>
      </c>
    </row>
    <row r="1763" spans="1:4">
      <c r="A1763" s="2">
        <v>9771</v>
      </c>
      <c r="B1763">
        <v>1</v>
      </c>
      <c r="D1763">
        <v>1</v>
      </c>
    </row>
    <row r="1764" spans="1:4">
      <c r="A1764" s="2">
        <v>9780</v>
      </c>
      <c r="C1764">
        <v>1</v>
      </c>
      <c r="D1764">
        <v>1</v>
      </c>
    </row>
    <row r="1765" spans="1:4">
      <c r="A1765" s="2">
        <v>9790</v>
      </c>
      <c r="B1765">
        <v>1</v>
      </c>
      <c r="D1765">
        <v>1</v>
      </c>
    </row>
    <row r="1766" spans="1:4">
      <c r="A1766" s="2">
        <v>9797</v>
      </c>
      <c r="C1766">
        <v>1</v>
      </c>
      <c r="D1766">
        <v>1</v>
      </c>
    </row>
    <row r="1767" spans="1:4">
      <c r="A1767" s="2">
        <v>9799</v>
      </c>
      <c r="B1767">
        <v>1</v>
      </c>
      <c r="D1767">
        <v>1</v>
      </c>
    </row>
    <row r="1768" spans="1:4">
      <c r="A1768" s="2">
        <v>9817</v>
      </c>
      <c r="B1768">
        <v>1</v>
      </c>
      <c r="D1768">
        <v>1</v>
      </c>
    </row>
    <row r="1769" spans="1:4">
      <c r="A1769" s="2">
        <v>9829</v>
      </c>
      <c r="C1769">
        <v>1</v>
      </c>
      <c r="D1769">
        <v>1</v>
      </c>
    </row>
    <row r="1770" spans="1:4">
      <c r="A1770" s="2">
        <v>9850</v>
      </c>
      <c r="C1770">
        <v>1</v>
      </c>
      <c r="D1770">
        <v>1</v>
      </c>
    </row>
    <row r="1771" spans="1:4">
      <c r="A1771" s="2">
        <v>9855</v>
      </c>
      <c r="B1771">
        <v>1</v>
      </c>
      <c r="D1771">
        <v>1</v>
      </c>
    </row>
    <row r="1772" spans="1:4">
      <c r="A1772" s="2">
        <v>9860</v>
      </c>
      <c r="C1772">
        <v>1</v>
      </c>
      <c r="D1772">
        <v>1</v>
      </c>
    </row>
    <row r="1773" spans="1:4">
      <c r="A1773" s="2">
        <v>9862</v>
      </c>
      <c r="C1773">
        <v>1</v>
      </c>
      <c r="D1773">
        <v>1</v>
      </c>
    </row>
    <row r="1774" spans="1:4">
      <c r="A1774" s="2">
        <v>9904</v>
      </c>
      <c r="C1774">
        <v>1</v>
      </c>
      <c r="D1774">
        <v>1</v>
      </c>
    </row>
    <row r="1775" spans="1:4">
      <c r="A1775" s="2">
        <v>9905</v>
      </c>
      <c r="C1775">
        <v>1</v>
      </c>
      <c r="D1775">
        <v>1</v>
      </c>
    </row>
    <row r="1776" spans="1:4">
      <c r="A1776" s="2">
        <v>9907</v>
      </c>
      <c r="C1776">
        <v>1</v>
      </c>
      <c r="D1776">
        <v>1</v>
      </c>
    </row>
    <row r="1777" spans="1:4">
      <c r="A1777" s="2">
        <v>9909</v>
      </c>
      <c r="C1777">
        <v>1</v>
      </c>
      <c r="D1777">
        <v>1</v>
      </c>
    </row>
    <row r="1778" spans="1:4">
      <c r="A1778" s="2">
        <v>9925</v>
      </c>
      <c r="C1778">
        <v>1</v>
      </c>
      <c r="D1778">
        <v>1</v>
      </c>
    </row>
    <row r="1779" spans="1:4">
      <c r="A1779" s="2">
        <v>9930</v>
      </c>
      <c r="B1779">
        <v>1</v>
      </c>
      <c r="D1779">
        <v>1</v>
      </c>
    </row>
    <row r="1780" spans="1:4">
      <c r="A1780" s="2">
        <v>9931</v>
      </c>
      <c r="C1780">
        <v>1</v>
      </c>
      <c r="D1780">
        <v>1</v>
      </c>
    </row>
    <row r="1781" spans="1:4">
      <c r="A1781" s="2">
        <v>9937</v>
      </c>
      <c r="B1781">
        <v>1</v>
      </c>
      <c r="D1781">
        <v>1</v>
      </c>
    </row>
    <row r="1782" spans="1:4">
      <c r="A1782" s="2">
        <v>9938</v>
      </c>
      <c r="C1782">
        <v>1</v>
      </c>
      <c r="D1782">
        <v>1</v>
      </c>
    </row>
    <row r="1783" spans="1:4">
      <c r="A1783" s="2">
        <v>9940</v>
      </c>
      <c r="C1783">
        <v>1</v>
      </c>
      <c r="D1783">
        <v>1</v>
      </c>
    </row>
    <row r="1784" spans="1:4">
      <c r="A1784" s="2">
        <v>9949</v>
      </c>
      <c r="C1784">
        <v>1</v>
      </c>
      <c r="D1784">
        <v>1</v>
      </c>
    </row>
    <row r="1785" spans="1:4">
      <c r="A1785" s="2">
        <v>9952</v>
      </c>
      <c r="C1785">
        <v>1</v>
      </c>
      <c r="D1785">
        <v>1</v>
      </c>
    </row>
    <row r="1786" spans="1:4">
      <c r="A1786" s="2">
        <v>9960</v>
      </c>
      <c r="B1786">
        <v>1</v>
      </c>
      <c r="D1786">
        <v>1</v>
      </c>
    </row>
    <row r="1787" spans="1:4">
      <c r="A1787" s="2">
        <v>9967</v>
      </c>
      <c r="B1787">
        <v>1</v>
      </c>
      <c r="D1787">
        <v>1</v>
      </c>
    </row>
    <row r="1788" spans="1:4">
      <c r="A1788" s="2">
        <v>9970</v>
      </c>
      <c r="C1788">
        <v>1</v>
      </c>
      <c r="D1788">
        <v>1</v>
      </c>
    </row>
    <row r="1789" spans="1:4">
      <c r="A1789" s="2">
        <v>9971</v>
      </c>
      <c r="C1789">
        <v>1</v>
      </c>
      <c r="D1789">
        <v>1</v>
      </c>
    </row>
    <row r="1790" spans="1:4">
      <c r="A1790" s="2">
        <v>9973</v>
      </c>
      <c r="C1790">
        <v>1</v>
      </c>
      <c r="D1790">
        <v>1</v>
      </c>
    </row>
    <row r="1791" spans="1:4">
      <c r="A1791" s="2">
        <v>9974</v>
      </c>
      <c r="C1791">
        <v>1</v>
      </c>
      <c r="D1791">
        <v>1</v>
      </c>
    </row>
    <row r="1792" spans="1:4">
      <c r="A1792" s="2">
        <v>9977</v>
      </c>
      <c r="B1792">
        <v>1</v>
      </c>
      <c r="D1792">
        <v>1</v>
      </c>
    </row>
    <row r="1793" spans="1:4">
      <c r="A1793" s="2">
        <v>9984</v>
      </c>
      <c r="C1793">
        <v>1</v>
      </c>
      <c r="D1793">
        <v>1</v>
      </c>
    </row>
    <row r="1794" spans="1:4">
      <c r="A1794" s="2">
        <v>9986</v>
      </c>
      <c r="C1794">
        <v>1</v>
      </c>
      <c r="D1794">
        <v>1</v>
      </c>
    </row>
    <row r="1795" spans="1:4">
      <c r="A1795" s="2">
        <v>9988</v>
      </c>
      <c r="B1795">
        <v>1</v>
      </c>
      <c r="D1795">
        <v>1</v>
      </c>
    </row>
    <row r="1796" spans="1:4">
      <c r="A1796" s="2">
        <v>9999</v>
      </c>
      <c r="C1796">
        <v>1</v>
      </c>
      <c r="D1796">
        <v>1</v>
      </c>
    </row>
    <row r="1797" spans="1:4">
      <c r="A1797" s="2">
        <v>10001</v>
      </c>
      <c r="C1797">
        <v>1</v>
      </c>
      <c r="D1797">
        <v>1</v>
      </c>
    </row>
    <row r="1798" spans="1:4">
      <c r="A1798" s="2">
        <v>10010</v>
      </c>
      <c r="B1798">
        <v>1</v>
      </c>
      <c r="D1798">
        <v>1</v>
      </c>
    </row>
    <row r="1799" spans="1:4">
      <c r="A1799" s="2">
        <v>10022</v>
      </c>
      <c r="B1799">
        <v>1</v>
      </c>
      <c r="D1799">
        <v>1</v>
      </c>
    </row>
    <row r="1800" spans="1:4">
      <c r="A1800" s="2">
        <v>10031</v>
      </c>
      <c r="C1800">
        <v>1</v>
      </c>
      <c r="D1800">
        <v>1</v>
      </c>
    </row>
    <row r="1801" spans="1:4">
      <c r="A1801" s="2">
        <v>10032</v>
      </c>
      <c r="B1801">
        <v>1</v>
      </c>
      <c r="D1801">
        <v>1</v>
      </c>
    </row>
    <row r="1802" spans="1:4">
      <c r="A1802" s="2">
        <v>10057</v>
      </c>
      <c r="B1802">
        <v>1</v>
      </c>
      <c r="D1802">
        <v>1</v>
      </c>
    </row>
    <row r="1803" spans="1:4">
      <c r="A1803" s="2">
        <v>10061</v>
      </c>
      <c r="C1803">
        <v>1</v>
      </c>
      <c r="D1803">
        <v>1</v>
      </c>
    </row>
    <row r="1804" spans="1:4">
      <c r="A1804" s="2">
        <v>10067</v>
      </c>
      <c r="C1804">
        <v>1</v>
      </c>
      <c r="D1804">
        <v>1</v>
      </c>
    </row>
    <row r="1805" spans="1:4">
      <c r="A1805" s="2">
        <v>10069</v>
      </c>
      <c r="C1805">
        <v>1</v>
      </c>
      <c r="D1805">
        <v>1</v>
      </c>
    </row>
    <row r="1806" spans="1:4">
      <c r="A1806" s="2">
        <v>10084</v>
      </c>
      <c r="C1806">
        <v>1</v>
      </c>
      <c r="D1806">
        <v>1</v>
      </c>
    </row>
    <row r="1807" spans="1:4">
      <c r="A1807" s="2">
        <v>10089</v>
      </c>
      <c r="B1807">
        <v>1</v>
      </c>
      <c r="D1807">
        <v>1</v>
      </c>
    </row>
    <row r="1808" spans="1:4">
      <c r="A1808" s="2">
        <v>10091</v>
      </c>
      <c r="B1808">
        <v>1</v>
      </c>
      <c r="D1808">
        <v>1</v>
      </c>
    </row>
    <row r="1809" spans="1:4">
      <c r="A1809" s="2">
        <v>10092</v>
      </c>
      <c r="B1809">
        <v>1</v>
      </c>
      <c r="D1809">
        <v>1</v>
      </c>
    </row>
    <row r="1810" spans="1:4">
      <c r="A1810" s="2">
        <v>10095</v>
      </c>
      <c r="B1810">
        <v>1</v>
      </c>
      <c r="D1810">
        <v>1</v>
      </c>
    </row>
    <row r="1811" spans="1:4">
      <c r="A1811" s="2">
        <v>10099</v>
      </c>
      <c r="C1811">
        <v>1</v>
      </c>
      <c r="D1811">
        <v>1</v>
      </c>
    </row>
    <row r="1812" spans="1:4">
      <c r="A1812" s="2">
        <v>10102</v>
      </c>
      <c r="B1812">
        <v>1</v>
      </c>
      <c r="D1812">
        <v>1</v>
      </c>
    </row>
    <row r="1813" spans="1:4">
      <c r="A1813" s="2">
        <v>10104</v>
      </c>
      <c r="C1813">
        <v>1</v>
      </c>
      <c r="D1813">
        <v>1</v>
      </c>
    </row>
    <row r="1814" spans="1:4">
      <c r="A1814" s="2">
        <v>10127</v>
      </c>
      <c r="C1814">
        <v>1</v>
      </c>
      <c r="D1814">
        <v>1</v>
      </c>
    </row>
    <row r="1815" spans="1:4">
      <c r="A1815" s="2">
        <v>10129</v>
      </c>
      <c r="C1815">
        <v>1</v>
      </c>
      <c r="D1815">
        <v>1</v>
      </c>
    </row>
    <row r="1816" spans="1:4">
      <c r="A1816" s="2">
        <v>10133</v>
      </c>
      <c r="B1816">
        <v>1</v>
      </c>
      <c r="D1816">
        <v>1</v>
      </c>
    </row>
    <row r="1817" spans="1:4">
      <c r="A1817" s="2">
        <v>10140</v>
      </c>
      <c r="C1817">
        <v>1</v>
      </c>
      <c r="D1817">
        <v>1</v>
      </c>
    </row>
    <row r="1818" spans="1:4">
      <c r="A1818" s="2">
        <v>10141</v>
      </c>
      <c r="B1818">
        <v>1</v>
      </c>
      <c r="D1818">
        <v>1</v>
      </c>
    </row>
    <row r="1819" spans="1:4">
      <c r="A1819" s="2">
        <v>10142</v>
      </c>
      <c r="B1819">
        <v>1</v>
      </c>
      <c r="D1819">
        <v>1</v>
      </c>
    </row>
    <row r="1820" spans="1:4">
      <c r="A1820" s="2">
        <v>10146</v>
      </c>
      <c r="C1820">
        <v>1</v>
      </c>
      <c r="D1820">
        <v>1</v>
      </c>
    </row>
    <row r="1821" spans="1:4">
      <c r="A1821" s="2">
        <v>10150</v>
      </c>
      <c r="B1821">
        <v>1</v>
      </c>
      <c r="D1821">
        <v>1</v>
      </c>
    </row>
    <row r="1822" spans="1:4">
      <c r="A1822" s="2">
        <v>10151</v>
      </c>
      <c r="B1822">
        <v>1</v>
      </c>
      <c r="D1822">
        <v>1</v>
      </c>
    </row>
    <row r="1823" spans="1:4">
      <c r="A1823" s="2">
        <v>10156</v>
      </c>
      <c r="B1823">
        <v>1</v>
      </c>
      <c r="D1823">
        <v>1</v>
      </c>
    </row>
    <row r="1824" spans="1:4">
      <c r="A1824" s="2">
        <v>10157</v>
      </c>
      <c r="B1824">
        <v>1</v>
      </c>
      <c r="D1824">
        <v>1</v>
      </c>
    </row>
    <row r="1825" spans="1:4">
      <c r="A1825" s="2">
        <v>10159</v>
      </c>
      <c r="B1825">
        <v>1</v>
      </c>
      <c r="D1825">
        <v>1</v>
      </c>
    </row>
    <row r="1826" spans="1:4">
      <c r="A1826" s="2">
        <v>10163</v>
      </c>
      <c r="B1826">
        <v>1</v>
      </c>
      <c r="D1826">
        <v>1</v>
      </c>
    </row>
    <row r="1827" spans="1:4">
      <c r="A1827" s="2">
        <v>10164</v>
      </c>
      <c r="B1827">
        <v>1</v>
      </c>
      <c r="D1827">
        <v>1</v>
      </c>
    </row>
    <row r="1828" spans="1:4">
      <c r="A1828" s="2">
        <v>10175</v>
      </c>
      <c r="B1828">
        <v>1</v>
      </c>
      <c r="D1828">
        <v>1</v>
      </c>
    </row>
    <row r="1829" spans="1:4">
      <c r="A1829" s="2">
        <v>10176</v>
      </c>
      <c r="B1829">
        <v>1</v>
      </c>
      <c r="D1829">
        <v>1</v>
      </c>
    </row>
    <row r="1830" spans="1:4">
      <c r="A1830" s="2">
        <v>10196</v>
      </c>
      <c r="C1830">
        <v>1</v>
      </c>
      <c r="D1830">
        <v>1</v>
      </c>
    </row>
    <row r="1831" spans="1:4">
      <c r="A1831" s="2">
        <v>10203</v>
      </c>
      <c r="B1831">
        <v>1</v>
      </c>
      <c r="D1831">
        <v>1</v>
      </c>
    </row>
    <row r="1832" spans="1:4">
      <c r="A1832" s="2">
        <v>10219</v>
      </c>
      <c r="C1832">
        <v>1</v>
      </c>
      <c r="D1832">
        <v>1</v>
      </c>
    </row>
    <row r="1833" spans="1:4">
      <c r="A1833" s="2">
        <v>10232</v>
      </c>
      <c r="B1833">
        <v>1</v>
      </c>
      <c r="D1833">
        <v>1</v>
      </c>
    </row>
    <row r="1834" spans="1:4">
      <c r="A1834" s="2">
        <v>10236</v>
      </c>
      <c r="B1834">
        <v>1</v>
      </c>
      <c r="D1834">
        <v>1</v>
      </c>
    </row>
    <row r="1835" spans="1:4">
      <c r="A1835" s="2">
        <v>10240</v>
      </c>
      <c r="C1835">
        <v>1</v>
      </c>
      <c r="D1835">
        <v>1</v>
      </c>
    </row>
    <row r="1836" spans="1:4">
      <c r="A1836" s="2">
        <v>10241</v>
      </c>
      <c r="B1836">
        <v>1</v>
      </c>
      <c r="D1836">
        <v>1</v>
      </c>
    </row>
    <row r="1837" spans="1:4">
      <c r="A1837" s="2">
        <v>10242</v>
      </c>
      <c r="C1837">
        <v>1</v>
      </c>
      <c r="D1837">
        <v>1</v>
      </c>
    </row>
    <row r="1838" spans="1:4">
      <c r="A1838" s="2">
        <v>10245</v>
      </c>
      <c r="B1838">
        <v>1</v>
      </c>
      <c r="D1838">
        <v>1</v>
      </c>
    </row>
    <row r="1839" spans="1:4">
      <c r="A1839" s="2">
        <v>10250</v>
      </c>
      <c r="C1839">
        <v>1</v>
      </c>
      <c r="D1839">
        <v>1</v>
      </c>
    </row>
    <row r="1840" spans="1:4">
      <c r="A1840" s="2">
        <v>10262</v>
      </c>
      <c r="C1840">
        <v>1</v>
      </c>
      <c r="D1840">
        <v>1</v>
      </c>
    </row>
    <row r="1841" spans="1:4">
      <c r="A1841" s="2">
        <v>10270</v>
      </c>
      <c r="C1841">
        <v>1</v>
      </c>
      <c r="D1841">
        <v>1</v>
      </c>
    </row>
    <row r="1842" spans="1:4">
      <c r="A1842" s="2">
        <v>10277</v>
      </c>
      <c r="B1842">
        <v>1</v>
      </c>
      <c r="D1842">
        <v>1</v>
      </c>
    </row>
    <row r="1843" spans="1:4">
      <c r="A1843" s="2">
        <v>10281</v>
      </c>
      <c r="B1843">
        <v>1</v>
      </c>
      <c r="D1843">
        <v>1</v>
      </c>
    </row>
    <row r="1844" spans="1:4">
      <c r="A1844" s="2">
        <v>10286</v>
      </c>
      <c r="C1844">
        <v>1</v>
      </c>
      <c r="D1844">
        <v>1</v>
      </c>
    </row>
    <row r="1845" spans="1:4">
      <c r="A1845" s="2">
        <v>10299</v>
      </c>
      <c r="B1845">
        <v>1</v>
      </c>
      <c r="D1845">
        <v>1</v>
      </c>
    </row>
    <row r="1846" spans="1:4">
      <c r="A1846" s="2">
        <v>10307</v>
      </c>
      <c r="C1846">
        <v>1</v>
      </c>
      <c r="D1846">
        <v>1</v>
      </c>
    </row>
    <row r="1847" spans="1:4">
      <c r="A1847" s="2">
        <v>10311</v>
      </c>
      <c r="C1847">
        <v>1</v>
      </c>
      <c r="D1847">
        <v>1</v>
      </c>
    </row>
    <row r="1848" spans="1:4">
      <c r="A1848" s="2">
        <v>10313</v>
      </c>
      <c r="C1848">
        <v>1</v>
      </c>
      <c r="D1848">
        <v>1</v>
      </c>
    </row>
    <row r="1849" spans="1:4">
      <c r="A1849" s="2">
        <v>10314</v>
      </c>
      <c r="C1849">
        <v>1</v>
      </c>
      <c r="D1849">
        <v>1</v>
      </c>
    </row>
    <row r="1850" spans="1:4">
      <c r="A1850" s="2">
        <v>10319</v>
      </c>
      <c r="C1850">
        <v>1</v>
      </c>
      <c r="D1850">
        <v>1</v>
      </c>
    </row>
    <row r="1851" spans="1:4">
      <c r="A1851" s="2">
        <v>10323</v>
      </c>
      <c r="C1851">
        <v>1</v>
      </c>
      <c r="D1851">
        <v>1</v>
      </c>
    </row>
    <row r="1852" spans="1:4">
      <c r="A1852" s="2">
        <v>10341</v>
      </c>
      <c r="C1852">
        <v>1</v>
      </c>
      <c r="D1852">
        <v>1</v>
      </c>
    </row>
    <row r="1853" spans="1:4">
      <c r="A1853" s="2">
        <v>10343</v>
      </c>
      <c r="B1853">
        <v>1</v>
      </c>
      <c r="D1853">
        <v>1</v>
      </c>
    </row>
    <row r="1854" spans="1:4">
      <c r="A1854" s="2">
        <v>10350</v>
      </c>
      <c r="C1854">
        <v>1</v>
      </c>
      <c r="D1854">
        <v>1</v>
      </c>
    </row>
    <row r="1855" spans="1:4">
      <c r="A1855" s="2">
        <v>10352</v>
      </c>
      <c r="B1855">
        <v>1</v>
      </c>
      <c r="D1855">
        <v>1</v>
      </c>
    </row>
    <row r="1856" spans="1:4">
      <c r="A1856" s="2">
        <v>10356</v>
      </c>
      <c r="B1856">
        <v>1</v>
      </c>
      <c r="D1856">
        <v>1</v>
      </c>
    </row>
    <row r="1857" spans="1:4">
      <c r="A1857" s="2">
        <v>10364</v>
      </c>
      <c r="B1857">
        <v>1</v>
      </c>
      <c r="D1857">
        <v>1</v>
      </c>
    </row>
    <row r="1858" spans="1:4">
      <c r="A1858" s="2">
        <v>10377</v>
      </c>
      <c r="C1858">
        <v>1</v>
      </c>
      <c r="D1858">
        <v>1</v>
      </c>
    </row>
    <row r="1859" spans="1:4">
      <c r="A1859" s="2">
        <v>10379</v>
      </c>
      <c r="B1859">
        <v>1</v>
      </c>
      <c r="D1859">
        <v>1</v>
      </c>
    </row>
    <row r="1860" spans="1:4">
      <c r="A1860" s="2">
        <v>10380</v>
      </c>
      <c r="C1860">
        <v>1</v>
      </c>
      <c r="D1860">
        <v>1</v>
      </c>
    </row>
    <row r="1861" spans="1:4">
      <c r="A1861" s="2">
        <v>10381</v>
      </c>
      <c r="B1861">
        <v>1</v>
      </c>
      <c r="D1861">
        <v>1</v>
      </c>
    </row>
    <row r="1862" spans="1:4">
      <c r="A1862" s="2">
        <v>10383</v>
      </c>
      <c r="B1862">
        <v>1</v>
      </c>
      <c r="D1862">
        <v>1</v>
      </c>
    </row>
    <row r="1863" spans="1:4">
      <c r="A1863" s="2">
        <v>10390</v>
      </c>
      <c r="C1863">
        <v>1</v>
      </c>
      <c r="D1863">
        <v>1</v>
      </c>
    </row>
    <row r="1864" spans="1:4">
      <c r="A1864" s="2">
        <v>10394</v>
      </c>
      <c r="C1864">
        <v>1</v>
      </c>
      <c r="D1864">
        <v>1</v>
      </c>
    </row>
    <row r="1865" spans="1:4">
      <c r="A1865" s="2">
        <v>10395</v>
      </c>
      <c r="B1865">
        <v>1</v>
      </c>
      <c r="D1865">
        <v>1</v>
      </c>
    </row>
    <row r="1866" spans="1:4">
      <c r="A1866" s="2">
        <v>10398</v>
      </c>
      <c r="B1866">
        <v>1</v>
      </c>
      <c r="D1866">
        <v>1</v>
      </c>
    </row>
    <row r="1867" spans="1:4">
      <c r="A1867" s="2">
        <v>10401</v>
      </c>
      <c r="C1867">
        <v>1</v>
      </c>
      <c r="D1867">
        <v>1</v>
      </c>
    </row>
    <row r="1868" spans="1:4">
      <c r="A1868" s="2">
        <v>10402</v>
      </c>
      <c r="C1868">
        <v>1</v>
      </c>
      <c r="D1868">
        <v>1</v>
      </c>
    </row>
    <row r="1869" spans="1:4">
      <c r="A1869" s="2">
        <v>10403</v>
      </c>
      <c r="C1869">
        <v>1</v>
      </c>
      <c r="D1869">
        <v>1</v>
      </c>
    </row>
    <row r="1870" spans="1:4">
      <c r="A1870" s="2">
        <v>10413</v>
      </c>
      <c r="C1870">
        <v>1</v>
      </c>
      <c r="D1870">
        <v>1</v>
      </c>
    </row>
    <row r="1871" spans="1:4">
      <c r="A1871" s="2">
        <v>10420</v>
      </c>
      <c r="B1871">
        <v>1</v>
      </c>
      <c r="D1871">
        <v>1</v>
      </c>
    </row>
    <row r="1872" spans="1:4">
      <c r="A1872" s="2">
        <v>10424</v>
      </c>
      <c r="B1872">
        <v>1</v>
      </c>
      <c r="D1872">
        <v>1</v>
      </c>
    </row>
    <row r="1873" spans="1:4">
      <c r="A1873" s="2">
        <v>10430</v>
      </c>
      <c r="B1873">
        <v>1</v>
      </c>
      <c r="D1873">
        <v>1</v>
      </c>
    </row>
    <row r="1874" spans="1:4">
      <c r="A1874" s="2">
        <v>10432</v>
      </c>
      <c r="B1874">
        <v>1</v>
      </c>
      <c r="D1874">
        <v>1</v>
      </c>
    </row>
    <row r="1875" spans="1:4">
      <c r="A1875" s="2">
        <v>10446</v>
      </c>
      <c r="C1875">
        <v>1</v>
      </c>
      <c r="D1875">
        <v>1</v>
      </c>
    </row>
    <row r="1876" spans="1:4">
      <c r="A1876" s="2">
        <v>10448</v>
      </c>
      <c r="B1876">
        <v>1</v>
      </c>
      <c r="D1876">
        <v>1</v>
      </c>
    </row>
    <row r="1877" spans="1:4">
      <c r="A1877" s="2">
        <v>10466</v>
      </c>
      <c r="C1877">
        <v>1</v>
      </c>
      <c r="D1877">
        <v>1</v>
      </c>
    </row>
    <row r="1878" spans="1:4">
      <c r="A1878" s="2">
        <v>10469</v>
      </c>
      <c r="C1878">
        <v>1</v>
      </c>
      <c r="D1878">
        <v>1</v>
      </c>
    </row>
    <row r="1879" spans="1:4">
      <c r="A1879" s="2">
        <v>10470</v>
      </c>
      <c r="C1879">
        <v>1</v>
      </c>
      <c r="D1879">
        <v>1</v>
      </c>
    </row>
    <row r="1880" spans="1:4">
      <c r="A1880" s="2">
        <v>10473</v>
      </c>
      <c r="B1880">
        <v>1</v>
      </c>
      <c r="D1880">
        <v>1</v>
      </c>
    </row>
    <row r="1881" spans="1:4">
      <c r="A1881" s="2">
        <v>10476</v>
      </c>
      <c r="C1881">
        <v>1</v>
      </c>
      <c r="D1881">
        <v>1</v>
      </c>
    </row>
    <row r="1882" spans="1:4">
      <c r="A1882" s="2">
        <v>10477</v>
      </c>
      <c r="C1882">
        <v>1</v>
      </c>
      <c r="D1882">
        <v>1</v>
      </c>
    </row>
    <row r="1883" spans="1:4">
      <c r="A1883" s="2">
        <v>10478</v>
      </c>
      <c r="C1883">
        <v>1</v>
      </c>
      <c r="D1883">
        <v>1</v>
      </c>
    </row>
    <row r="1884" spans="1:4">
      <c r="A1884" s="2">
        <v>10479</v>
      </c>
      <c r="C1884">
        <v>1</v>
      </c>
      <c r="D1884">
        <v>1</v>
      </c>
    </row>
    <row r="1885" spans="1:4">
      <c r="A1885" s="2">
        <v>10486</v>
      </c>
      <c r="C1885">
        <v>1</v>
      </c>
      <c r="D1885">
        <v>1</v>
      </c>
    </row>
    <row r="1886" spans="1:4">
      <c r="A1886" s="2">
        <v>10489</v>
      </c>
      <c r="C1886">
        <v>1</v>
      </c>
      <c r="D1886">
        <v>1</v>
      </c>
    </row>
    <row r="1887" spans="1:4">
      <c r="A1887" s="2">
        <v>10490</v>
      </c>
      <c r="C1887">
        <v>1</v>
      </c>
      <c r="D1887">
        <v>1</v>
      </c>
    </row>
    <row r="1888" spans="1:4">
      <c r="A1888" s="2">
        <v>10492</v>
      </c>
      <c r="C1888">
        <v>1</v>
      </c>
      <c r="D1888">
        <v>1</v>
      </c>
    </row>
    <row r="1889" spans="1:4">
      <c r="A1889" s="2">
        <v>10500</v>
      </c>
      <c r="C1889">
        <v>1</v>
      </c>
      <c r="D1889">
        <v>1</v>
      </c>
    </row>
    <row r="1890" spans="1:4">
      <c r="A1890" s="2">
        <v>10505</v>
      </c>
      <c r="C1890">
        <v>1</v>
      </c>
      <c r="D1890">
        <v>1</v>
      </c>
    </row>
    <row r="1891" spans="1:4">
      <c r="A1891" s="2">
        <v>10507</v>
      </c>
      <c r="B1891">
        <v>1</v>
      </c>
      <c r="D1891">
        <v>1</v>
      </c>
    </row>
    <row r="1892" spans="1:4">
      <c r="A1892" s="2">
        <v>10509</v>
      </c>
      <c r="B1892">
        <v>1</v>
      </c>
      <c r="D1892">
        <v>1</v>
      </c>
    </row>
    <row r="1893" spans="1:4">
      <c r="A1893" s="2">
        <v>10513</v>
      </c>
      <c r="C1893">
        <v>1</v>
      </c>
      <c r="D1893">
        <v>1</v>
      </c>
    </row>
    <row r="1894" spans="1:4">
      <c r="A1894" s="2">
        <v>10524</v>
      </c>
      <c r="B1894">
        <v>1</v>
      </c>
      <c r="D1894">
        <v>1</v>
      </c>
    </row>
    <row r="1895" spans="1:4">
      <c r="A1895" s="2">
        <v>10525</v>
      </c>
      <c r="B1895">
        <v>1</v>
      </c>
      <c r="D1895">
        <v>1</v>
      </c>
    </row>
    <row r="1896" spans="1:4">
      <c r="A1896" s="2">
        <v>10530</v>
      </c>
      <c r="B1896">
        <v>1</v>
      </c>
      <c r="D1896">
        <v>1</v>
      </c>
    </row>
    <row r="1897" spans="1:4">
      <c r="A1897" s="2">
        <v>10542</v>
      </c>
      <c r="C1897">
        <v>1</v>
      </c>
      <c r="D1897">
        <v>1</v>
      </c>
    </row>
    <row r="1898" spans="1:4">
      <c r="A1898" s="2">
        <v>10548</v>
      </c>
      <c r="B1898">
        <v>1</v>
      </c>
      <c r="D1898">
        <v>1</v>
      </c>
    </row>
    <row r="1899" spans="1:4">
      <c r="A1899" s="2">
        <v>10552</v>
      </c>
      <c r="C1899">
        <v>1</v>
      </c>
      <c r="D1899">
        <v>1</v>
      </c>
    </row>
    <row r="1900" spans="1:4">
      <c r="A1900" s="2">
        <v>10556</v>
      </c>
      <c r="C1900">
        <v>1</v>
      </c>
      <c r="D1900">
        <v>1</v>
      </c>
    </row>
    <row r="1901" spans="1:4">
      <c r="A1901" s="2">
        <v>10560</v>
      </c>
      <c r="B1901">
        <v>1</v>
      </c>
      <c r="D1901">
        <v>1</v>
      </c>
    </row>
    <row r="1902" spans="1:4">
      <c r="A1902" s="2">
        <v>10573</v>
      </c>
      <c r="B1902">
        <v>1</v>
      </c>
      <c r="D1902">
        <v>1</v>
      </c>
    </row>
    <row r="1903" spans="1:4">
      <c r="A1903" s="2">
        <v>10581</v>
      </c>
      <c r="C1903">
        <v>1</v>
      </c>
      <c r="D1903">
        <v>1</v>
      </c>
    </row>
    <row r="1904" spans="1:4">
      <c r="A1904" s="2">
        <v>10582</v>
      </c>
      <c r="C1904">
        <v>1</v>
      </c>
      <c r="D1904">
        <v>1</v>
      </c>
    </row>
    <row r="1905" spans="1:4">
      <c r="A1905" s="2">
        <v>10584</v>
      </c>
      <c r="C1905">
        <v>1</v>
      </c>
      <c r="D1905">
        <v>1</v>
      </c>
    </row>
    <row r="1906" spans="1:4">
      <c r="A1906" s="2">
        <v>10590</v>
      </c>
      <c r="C1906">
        <v>1</v>
      </c>
      <c r="D1906">
        <v>1</v>
      </c>
    </row>
    <row r="1907" spans="1:4">
      <c r="A1907" s="2">
        <v>10591</v>
      </c>
      <c r="B1907">
        <v>1</v>
      </c>
      <c r="D1907">
        <v>1</v>
      </c>
    </row>
    <row r="1908" spans="1:4">
      <c r="A1908" s="2">
        <v>10595</v>
      </c>
      <c r="C1908">
        <v>1</v>
      </c>
      <c r="D1908">
        <v>1</v>
      </c>
    </row>
    <row r="1909" spans="1:4">
      <c r="A1909" s="2">
        <v>10598</v>
      </c>
      <c r="C1909">
        <v>1</v>
      </c>
      <c r="D1909">
        <v>1</v>
      </c>
    </row>
    <row r="1910" spans="1:4">
      <c r="A1910" s="2">
        <v>10609</v>
      </c>
      <c r="C1910">
        <v>1</v>
      </c>
      <c r="D1910">
        <v>1</v>
      </c>
    </row>
    <row r="1911" spans="1:4">
      <c r="A1911" s="2">
        <v>10613</v>
      </c>
      <c r="C1911">
        <v>1</v>
      </c>
      <c r="D1911">
        <v>1</v>
      </c>
    </row>
    <row r="1912" spans="1:4">
      <c r="A1912" s="2">
        <v>10619</v>
      </c>
      <c r="B1912">
        <v>1</v>
      </c>
      <c r="D1912">
        <v>1</v>
      </c>
    </row>
    <row r="1913" spans="1:4">
      <c r="A1913" s="2">
        <v>10623</v>
      </c>
      <c r="C1913">
        <v>1</v>
      </c>
      <c r="D1913">
        <v>1</v>
      </c>
    </row>
    <row r="1914" spans="1:4">
      <c r="A1914" s="2">
        <v>10634</v>
      </c>
      <c r="C1914">
        <v>1</v>
      </c>
      <c r="D1914">
        <v>1</v>
      </c>
    </row>
    <row r="1915" spans="1:4">
      <c r="A1915" s="2">
        <v>10637</v>
      </c>
      <c r="C1915">
        <v>1</v>
      </c>
      <c r="D1915">
        <v>1</v>
      </c>
    </row>
    <row r="1916" spans="1:4">
      <c r="A1916" s="2">
        <v>10640</v>
      </c>
      <c r="C1916">
        <v>1</v>
      </c>
      <c r="D1916">
        <v>1</v>
      </c>
    </row>
    <row r="1917" spans="1:4">
      <c r="A1917" s="2">
        <v>10641</v>
      </c>
      <c r="B1917">
        <v>1</v>
      </c>
      <c r="D1917">
        <v>1</v>
      </c>
    </row>
    <row r="1918" spans="1:4">
      <c r="A1918" s="2">
        <v>10652</v>
      </c>
      <c r="C1918">
        <v>1</v>
      </c>
      <c r="D1918">
        <v>1</v>
      </c>
    </row>
    <row r="1919" spans="1:4">
      <c r="A1919" s="2">
        <v>10659</v>
      </c>
      <c r="C1919">
        <v>1</v>
      </c>
      <c r="D1919">
        <v>1</v>
      </c>
    </row>
    <row r="1920" spans="1:4">
      <c r="A1920" s="2">
        <v>10660</v>
      </c>
      <c r="C1920">
        <v>1</v>
      </c>
      <c r="D1920">
        <v>1</v>
      </c>
    </row>
    <row r="1921" spans="1:4">
      <c r="A1921" s="2">
        <v>10664</v>
      </c>
      <c r="B1921">
        <v>1</v>
      </c>
      <c r="D1921">
        <v>1</v>
      </c>
    </row>
    <row r="1922" spans="1:4">
      <c r="A1922" s="2">
        <v>10669</v>
      </c>
      <c r="C1922">
        <v>1</v>
      </c>
      <c r="D1922">
        <v>1</v>
      </c>
    </row>
    <row r="1923" spans="1:4">
      <c r="A1923" s="2">
        <v>10673</v>
      </c>
      <c r="C1923">
        <v>1</v>
      </c>
      <c r="D1923">
        <v>1</v>
      </c>
    </row>
    <row r="1924" spans="1:4">
      <c r="A1924" s="2">
        <v>10675</v>
      </c>
      <c r="C1924">
        <v>1</v>
      </c>
      <c r="D1924">
        <v>1</v>
      </c>
    </row>
    <row r="1925" spans="1:4">
      <c r="A1925" s="2">
        <v>10676</v>
      </c>
      <c r="C1925">
        <v>1</v>
      </c>
      <c r="D1925">
        <v>1</v>
      </c>
    </row>
    <row r="1926" spans="1:4">
      <c r="A1926" s="2">
        <v>10678</v>
      </c>
      <c r="C1926">
        <v>1</v>
      </c>
      <c r="D1926">
        <v>1</v>
      </c>
    </row>
    <row r="1927" spans="1:4">
      <c r="A1927" s="2">
        <v>10680</v>
      </c>
      <c r="C1927">
        <v>1</v>
      </c>
      <c r="D1927">
        <v>1</v>
      </c>
    </row>
    <row r="1928" spans="1:4">
      <c r="A1928" s="2">
        <v>10686</v>
      </c>
      <c r="C1928">
        <v>1</v>
      </c>
      <c r="D1928">
        <v>1</v>
      </c>
    </row>
    <row r="1929" spans="1:4">
      <c r="A1929" s="2">
        <v>10691</v>
      </c>
      <c r="C1929">
        <v>1</v>
      </c>
      <c r="D1929">
        <v>1</v>
      </c>
    </row>
    <row r="1930" spans="1:4">
      <c r="A1930" s="2">
        <v>10699</v>
      </c>
      <c r="C1930">
        <v>1</v>
      </c>
      <c r="D1930">
        <v>1</v>
      </c>
    </row>
    <row r="1931" spans="1:4">
      <c r="A1931" s="2">
        <v>10701</v>
      </c>
      <c r="C1931">
        <v>1</v>
      </c>
      <c r="D1931">
        <v>1</v>
      </c>
    </row>
    <row r="1932" spans="1:4">
      <c r="A1932" s="2">
        <v>10702</v>
      </c>
      <c r="B1932">
        <v>1</v>
      </c>
      <c r="D1932">
        <v>1</v>
      </c>
    </row>
    <row r="1933" spans="1:4">
      <c r="A1933" s="2">
        <v>10704</v>
      </c>
      <c r="B1933">
        <v>1</v>
      </c>
      <c r="D1933">
        <v>1</v>
      </c>
    </row>
    <row r="1934" spans="1:4">
      <c r="A1934" s="2">
        <v>10708</v>
      </c>
      <c r="B1934">
        <v>1</v>
      </c>
      <c r="D1934">
        <v>1</v>
      </c>
    </row>
    <row r="1935" spans="1:4">
      <c r="A1935" s="2">
        <v>10710</v>
      </c>
      <c r="C1935">
        <v>1</v>
      </c>
      <c r="D1935">
        <v>1</v>
      </c>
    </row>
    <row r="1936" spans="1:4">
      <c r="A1936" s="2">
        <v>10711</v>
      </c>
      <c r="C1936">
        <v>1</v>
      </c>
      <c r="D1936">
        <v>1</v>
      </c>
    </row>
    <row r="1937" spans="1:4">
      <c r="A1937" s="2">
        <v>10722</v>
      </c>
      <c r="C1937">
        <v>1</v>
      </c>
      <c r="D1937">
        <v>1</v>
      </c>
    </row>
    <row r="1938" spans="1:4">
      <c r="A1938" s="2">
        <v>10736</v>
      </c>
      <c r="B1938">
        <v>1</v>
      </c>
      <c r="D1938">
        <v>1</v>
      </c>
    </row>
    <row r="1939" spans="1:4">
      <c r="A1939" s="2">
        <v>10738</v>
      </c>
      <c r="B1939">
        <v>1</v>
      </c>
      <c r="D1939">
        <v>1</v>
      </c>
    </row>
    <row r="1940" spans="1:4">
      <c r="A1940" s="2">
        <v>10742</v>
      </c>
      <c r="C1940">
        <v>1</v>
      </c>
      <c r="D1940">
        <v>1</v>
      </c>
    </row>
    <row r="1941" spans="1:4">
      <c r="A1941" s="2">
        <v>10749</v>
      </c>
      <c r="B1941">
        <v>1</v>
      </c>
      <c r="D1941">
        <v>1</v>
      </c>
    </row>
    <row r="1942" spans="1:4">
      <c r="A1942" s="2">
        <v>10755</v>
      </c>
      <c r="C1942">
        <v>1</v>
      </c>
      <c r="D1942">
        <v>1</v>
      </c>
    </row>
    <row r="1943" spans="1:4">
      <c r="A1943" s="2">
        <v>10757</v>
      </c>
      <c r="B1943">
        <v>1</v>
      </c>
      <c r="D1943">
        <v>1</v>
      </c>
    </row>
    <row r="1944" spans="1:4">
      <c r="A1944" s="2">
        <v>10767</v>
      </c>
      <c r="C1944">
        <v>1</v>
      </c>
      <c r="D1944">
        <v>1</v>
      </c>
    </row>
    <row r="1945" spans="1:4">
      <c r="A1945" s="2">
        <v>10770</v>
      </c>
      <c r="C1945">
        <v>1</v>
      </c>
      <c r="D1945">
        <v>1</v>
      </c>
    </row>
    <row r="1946" spans="1:4">
      <c r="A1946" s="2">
        <v>10779</v>
      </c>
      <c r="B1946">
        <v>1</v>
      </c>
      <c r="D1946">
        <v>1</v>
      </c>
    </row>
    <row r="1947" spans="1:4">
      <c r="A1947" s="2">
        <v>10785</v>
      </c>
      <c r="C1947">
        <v>1</v>
      </c>
      <c r="D1947">
        <v>1</v>
      </c>
    </row>
    <row r="1948" spans="1:4">
      <c r="A1948" s="2">
        <v>10790</v>
      </c>
      <c r="C1948">
        <v>1</v>
      </c>
      <c r="D1948">
        <v>1</v>
      </c>
    </row>
    <row r="1949" spans="1:4">
      <c r="A1949" s="2">
        <v>10796</v>
      </c>
      <c r="C1949">
        <v>1</v>
      </c>
      <c r="D1949">
        <v>1</v>
      </c>
    </row>
    <row r="1950" spans="1:4">
      <c r="A1950" s="2">
        <v>10812</v>
      </c>
      <c r="C1950">
        <v>1</v>
      </c>
      <c r="D1950">
        <v>1</v>
      </c>
    </row>
    <row r="1951" spans="1:4">
      <c r="A1951" s="2">
        <v>10814</v>
      </c>
      <c r="C1951">
        <v>1</v>
      </c>
      <c r="D1951">
        <v>1</v>
      </c>
    </row>
    <row r="1952" spans="1:4">
      <c r="A1952" s="2">
        <v>10821</v>
      </c>
      <c r="C1952">
        <v>1</v>
      </c>
      <c r="D1952">
        <v>1</v>
      </c>
    </row>
    <row r="1953" spans="1:4">
      <c r="A1953" s="2">
        <v>10827</v>
      </c>
      <c r="C1953">
        <v>1</v>
      </c>
      <c r="D1953">
        <v>1</v>
      </c>
    </row>
    <row r="1954" spans="1:4">
      <c r="A1954" s="2">
        <v>10832</v>
      </c>
      <c r="C1954">
        <v>1</v>
      </c>
      <c r="D1954">
        <v>1</v>
      </c>
    </row>
    <row r="1955" spans="1:4">
      <c r="A1955" s="2">
        <v>10833</v>
      </c>
      <c r="C1955">
        <v>1</v>
      </c>
      <c r="D1955">
        <v>1</v>
      </c>
    </row>
    <row r="1956" spans="1:4">
      <c r="A1956" s="2">
        <v>10837</v>
      </c>
      <c r="C1956">
        <v>1</v>
      </c>
      <c r="D1956">
        <v>1</v>
      </c>
    </row>
    <row r="1957" spans="1:4">
      <c r="A1957" s="2">
        <v>10839</v>
      </c>
      <c r="C1957">
        <v>1</v>
      </c>
      <c r="D1957">
        <v>1</v>
      </c>
    </row>
    <row r="1958" spans="1:4">
      <c r="A1958" s="2">
        <v>10841</v>
      </c>
      <c r="C1958">
        <v>1</v>
      </c>
      <c r="D1958">
        <v>1</v>
      </c>
    </row>
    <row r="1959" spans="1:4">
      <c r="A1959" s="2">
        <v>10846</v>
      </c>
      <c r="C1959">
        <v>1</v>
      </c>
      <c r="D1959">
        <v>1</v>
      </c>
    </row>
    <row r="1960" spans="1:4">
      <c r="A1960" s="2">
        <v>10854</v>
      </c>
      <c r="C1960">
        <v>1</v>
      </c>
      <c r="D1960">
        <v>1</v>
      </c>
    </row>
    <row r="1961" spans="1:4">
      <c r="A1961" s="2">
        <v>10855</v>
      </c>
      <c r="B1961">
        <v>1</v>
      </c>
      <c r="D1961">
        <v>1</v>
      </c>
    </row>
    <row r="1962" spans="1:4">
      <c r="A1962" s="2">
        <v>10856</v>
      </c>
      <c r="B1962">
        <v>1</v>
      </c>
      <c r="D1962">
        <v>1</v>
      </c>
    </row>
    <row r="1963" spans="1:4">
      <c r="A1963" s="2">
        <v>10858</v>
      </c>
      <c r="C1963">
        <v>1</v>
      </c>
      <c r="D1963">
        <v>1</v>
      </c>
    </row>
    <row r="1964" spans="1:4">
      <c r="A1964" s="2">
        <v>10862</v>
      </c>
      <c r="C1964">
        <v>1</v>
      </c>
      <c r="D1964">
        <v>1</v>
      </c>
    </row>
    <row r="1965" spans="1:4">
      <c r="A1965" s="2">
        <v>10868</v>
      </c>
      <c r="B1965">
        <v>1</v>
      </c>
      <c r="D1965">
        <v>1</v>
      </c>
    </row>
    <row r="1966" spans="1:4">
      <c r="A1966" s="2">
        <v>10870</v>
      </c>
      <c r="C1966">
        <v>1</v>
      </c>
      <c r="D1966">
        <v>1</v>
      </c>
    </row>
    <row r="1967" spans="1:4">
      <c r="A1967" s="2">
        <v>10882</v>
      </c>
      <c r="C1967">
        <v>1</v>
      </c>
      <c r="D1967">
        <v>1</v>
      </c>
    </row>
    <row r="1968" spans="1:4">
      <c r="A1968" s="2">
        <v>10888</v>
      </c>
      <c r="B1968">
        <v>1</v>
      </c>
      <c r="D1968">
        <v>1</v>
      </c>
    </row>
    <row r="1969" spans="1:4">
      <c r="A1969" s="2">
        <v>10909</v>
      </c>
      <c r="C1969">
        <v>1</v>
      </c>
      <c r="D1969">
        <v>1</v>
      </c>
    </row>
    <row r="1970" spans="1:4">
      <c r="A1970" s="2">
        <v>10913</v>
      </c>
      <c r="B1970">
        <v>1</v>
      </c>
      <c r="D1970">
        <v>1</v>
      </c>
    </row>
    <row r="1971" spans="1:4">
      <c r="A1971" s="2">
        <v>10914</v>
      </c>
      <c r="B1971">
        <v>1</v>
      </c>
      <c r="D1971">
        <v>1</v>
      </c>
    </row>
    <row r="1972" spans="1:4">
      <c r="A1972" s="2">
        <v>10925</v>
      </c>
      <c r="C1972">
        <v>1</v>
      </c>
      <c r="D1972">
        <v>1</v>
      </c>
    </row>
    <row r="1973" spans="1:4">
      <c r="A1973" s="2">
        <v>10928</v>
      </c>
      <c r="C1973">
        <v>1</v>
      </c>
      <c r="D1973">
        <v>1</v>
      </c>
    </row>
    <row r="1974" spans="1:4">
      <c r="A1974" s="2">
        <v>10936</v>
      </c>
      <c r="C1974">
        <v>1</v>
      </c>
      <c r="D1974">
        <v>1</v>
      </c>
    </row>
    <row r="1975" spans="1:4">
      <c r="A1975" s="2">
        <v>10949</v>
      </c>
      <c r="B1975">
        <v>1</v>
      </c>
      <c r="D1975">
        <v>1</v>
      </c>
    </row>
    <row r="1976" spans="1:4">
      <c r="A1976" s="2">
        <v>10951</v>
      </c>
      <c r="C1976">
        <v>1</v>
      </c>
      <c r="D1976">
        <v>1</v>
      </c>
    </row>
    <row r="1977" spans="1:4">
      <c r="A1977" s="2">
        <v>10955</v>
      </c>
      <c r="B1977">
        <v>1</v>
      </c>
      <c r="D1977">
        <v>1</v>
      </c>
    </row>
    <row r="1978" spans="1:4">
      <c r="A1978" s="2">
        <v>10965</v>
      </c>
      <c r="C1978">
        <v>1</v>
      </c>
      <c r="D1978">
        <v>1</v>
      </c>
    </row>
    <row r="1979" spans="1:4">
      <c r="A1979" s="2">
        <v>10967</v>
      </c>
      <c r="B1979">
        <v>1</v>
      </c>
      <c r="D1979">
        <v>1</v>
      </c>
    </row>
    <row r="1980" spans="1:4">
      <c r="A1980" s="2">
        <v>10968</v>
      </c>
      <c r="B1980">
        <v>1</v>
      </c>
      <c r="D1980">
        <v>1</v>
      </c>
    </row>
    <row r="1981" spans="1:4">
      <c r="A1981" s="2">
        <v>10971</v>
      </c>
      <c r="B1981">
        <v>1</v>
      </c>
      <c r="D1981">
        <v>1</v>
      </c>
    </row>
    <row r="1982" spans="1:4">
      <c r="A1982" s="2">
        <v>10972</v>
      </c>
      <c r="B1982">
        <v>1</v>
      </c>
      <c r="D1982">
        <v>1</v>
      </c>
    </row>
    <row r="1983" spans="1:4">
      <c r="A1983" s="2">
        <v>10983</v>
      </c>
      <c r="C1983">
        <v>1</v>
      </c>
      <c r="D1983">
        <v>1</v>
      </c>
    </row>
    <row r="1984" spans="1:4">
      <c r="A1984" s="2">
        <v>10991</v>
      </c>
      <c r="C1984">
        <v>1</v>
      </c>
      <c r="D1984">
        <v>1</v>
      </c>
    </row>
    <row r="1985" spans="1:4">
      <c r="A1985" s="2">
        <v>10992</v>
      </c>
      <c r="C1985">
        <v>1</v>
      </c>
      <c r="D1985">
        <v>1</v>
      </c>
    </row>
    <row r="1986" spans="1:4">
      <c r="A1986" s="2">
        <v>10995</v>
      </c>
      <c r="C1986">
        <v>1</v>
      </c>
      <c r="D1986">
        <v>1</v>
      </c>
    </row>
    <row r="1987" spans="1:4">
      <c r="A1987" s="2">
        <v>11003</v>
      </c>
      <c r="C1987">
        <v>1</v>
      </c>
      <c r="D1987">
        <v>1</v>
      </c>
    </row>
    <row r="1988" spans="1:4">
      <c r="A1988" s="2">
        <v>11004</v>
      </c>
      <c r="B1988">
        <v>1</v>
      </c>
      <c r="D1988">
        <v>1</v>
      </c>
    </row>
    <row r="1989" spans="1:4">
      <c r="A1989" s="2">
        <v>11007</v>
      </c>
      <c r="C1989">
        <v>1</v>
      </c>
      <c r="D1989">
        <v>1</v>
      </c>
    </row>
    <row r="1990" spans="1:4">
      <c r="A1990" s="2">
        <v>11010</v>
      </c>
      <c r="B1990">
        <v>1</v>
      </c>
      <c r="D1990">
        <v>1</v>
      </c>
    </row>
    <row r="1991" spans="1:4">
      <c r="A1991" s="2">
        <v>11013</v>
      </c>
      <c r="C1991">
        <v>1</v>
      </c>
      <c r="D1991">
        <v>1</v>
      </c>
    </row>
    <row r="1992" spans="1:4">
      <c r="A1992" s="2">
        <v>11025</v>
      </c>
      <c r="C1992">
        <v>1</v>
      </c>
      <c r="D1992">
        <v>1</v>
      </c>
    </row>
    <row r="1993" spans="1:4">
      <c r="A1993" s="2">
        <v>11030</v>
      </c>
      <c r="C1993">
        <v>1</v>
      </c>
      <c r="D1993">
        <v>1</v>
      </c>
    </row>
    <row r="1994" spans="1:4">
      <c r="A1994" s="2">
        <v>11031</v>
      </c>
      <c r="C1994">
        <v>1</v>
      </c>
      <c r="D1994">
        <v>1</v>
      </c>
    </row>
    <row r="1995" spans="1:4">
      <c r="A1995" s="2">
        <v>11039</v>
      </c>
      <c r="C1995">
        <v>1</v>
      </c>
      <c r="D1995">
        <v>1</v>
      </c>
    </row>
    <row r="1996" spans="1:4">
      <c r="A1996" s="2">
        <v>11051</v>
      </c>
      <c r="C1996">
        <v>1</v>
      </c>
      <c r="D1996">
        <v>1</v>
      </c>
    </row>
    <row r="1997" spans="1:4">
      <c r="A1997" s="2">
        <v>11056</v>
      </c>
      <c r="C1997">
        <v>1</v>
      </c>
      <c r="D1997">
        <v>1</v>
      </c>
    </row>
    <row r="1998" spans="1:4">
      <c r="A1998" s="2">
        <v>11071</v>
      </c>
      <c r="B1998">
        <v>1</v>
      </c>
      <c r="D1998">
        <v>1</v>
      </c>
    </row>
    <row r="1999" spans="1:4">
      <c r="A1999" s="2">
        <v>11074</v>
      </c>
      <c r="B1999">
        <v>1</v>
      </c>
      <c r="D1999">
        <v>1</v>
      </c>
    </row>
    <row r="2000" spans="1:4">
      <c r="A2000" s="2">
        <v>11075</v>
      </c>
      <c r="C2000">
        <v>1</v>
      </c>
      <c r="D2000">
        <v>1</v>
      </c>
    </row>
    <row r="2001" spans="1:4">
      <c r="A2001" s="2">
        <v>11086</v>
      </c>
      <c r="B2001">
        <v>1</v>
      </c>
      <c r="D2001">
        <v>1</v>
      </c>
    </row>
    <row r="2002" spans="1:4">
      <c r="A2002" s="2">
        <v>11088</v>
      </c>
      <c r="C2002">
        <v>1</v>
      </c>
      <c r="D2002">
        <v>1</v>
      </c>
    </row>
    <row r="2003" spans="1:4">
      <c r="A2003" s="2">
        <v>11091</v>
      </c>
      <c r="C2003">
        <v>1</v>
      </c>
      <c r="D2003">
        <v>1</v>
      </c>
    </row>
    <row r="2004" spans="1:4">
      <c r="A2004" s="2">
        <v>11092</v>
      </c>
      <c r="C2004">
        <v>1</v>
      </c>
      <c r="D2004">
        <v>1</v>
      </c>
    </row>
    <row r="2005" spans="1:4">
      <c r="A2005" s="2">
        <v>11096</v>
      </c>
      <c r="C2005">
        <v>1</v>
      </c>
      <c r="D2005">
        <v>1</v>
      </c>
    </row>
    <row r="2006" spans="1:4">
      <c r="A2006" s="2">
        <v>11100</v>
      </c>
      <c r="B2006">
        <v>1</v>
      </c>
      <c r="D2006">
        <v>1</v>
      </c>
    </row>
    <row r="2007" spans="1:4">
      <c r="A2007" s="2">
        <v>11101</v>
      </c>
      <c r="C2007">
        <v>1</v>
      </c>
      <c r="D2007">
        <v>1</v>
      </c>
    </row>
    <row r="2008" spans="1:4">
      <c r="A2008" s="2">
        <v>11110</v>
      </c>
      <c r="B2008">
        <v>1</v>
      </c>
      <c r="D2008">
        <v>1</v>
      </c>
    </row>
    <row r="2009" spans="1:4">
      <c r="A2009" s="2">
        <v>11112</v>
      </c>
      <c r="C2009">
        <v>1</v>
      </c>
      <c r="D2009">
        <v>1</v>
      </c>
    </row>
    <row r="2010" spans="1:4">
      <c r="A2010" s="2">
        <v>11114</v>
      </c>
      <c r="C2010">
        <v>1</v>
      </c>
      <c r="D2010">
        <v>1</v>
      </c>
    </row>
    <row r="2011" spans="1:4">
      <c r="A2011" s="2">
        <v>11121</v>
      </c>
      <c r="C2011">
        <v>1</v>
      </c>
      <c r="D2011">
        <v>1</v>
      </c>
    </row>
    <row r="2012" spans="1:4">
      <c r="A2012" s="2">
        <v>11148</v>
      </c>
      <c r="C2012">
        <v>1</v>
      </c>
      <c r="D2012">
        <v>1</v>
      </c>
    </row>
    <row r="2013" spans="1:4">
      <c r="A2013" s="2">
        <v>11166</v>
      </c>
      <c r="C2013">
        <v>1</v>
      </c>
      <c r="D2013">
        <v>1</v>
      </c>
    </row>
    <row r="2014" spans="1:4">
      <c r="A2014" s="2">
        <v>11176</v>
      </c>
      <c r="C2014">
        <v>1</v>
      </c>
      <c r="D2014">
        <v>1</v>
      </c>
    </row>
    <row r="2015" spans="1:4">
      <c r="A2015" s="2">
        <v>11178</v>
      </c>
      <c r="B2015">
        <v>1</v>
      </c>
      <c r="D2015">
        <v>1</v>
      </c>
    </row>
    <row r="2016" spans="1:4">
      <c r="A2016" s="2">
        <v>11181</v>
      </c>
      <c r="C2016">
        <v>1</v>
      </c>
      <c r="D2016">
        <v>1</v>
      </c>
    </row>
    <row r="2017" spans="1:4">
      <c r="A2017" s="2">
        <v>11187</v>
      </c>
      <c r="B2017">
        <v>1</v>
      </c>
      <c r="D2017">
        <v>1</v>
      </c>
    </row>
    <row r="2018" spans="1:4">
      <c r="A2018" s="2">
        <v>11191</v>
      </c>
      <c r="B2018">
        <v>1</v>
      </c>
      <c r="D2018">
        <v>1</v>
      </c>
    </row>
    <row r="2019" spans="1:4">
      <c r="A2019" s="2" t="s">
        <v>14</v>
      </c>
      <c r="B2019">
        <v>724</v>
      </c>
      <c r="C2019">
        <v>1290</v>
      </c>
      <c r="D2019">
        <v>2014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8589-7212-B64C-B8CC-EA0E2225052D}">
  <dimension ref="A3:G22"/>
  <sheetViews>
    <sheetView workbookViewId="0">
      <selection activeCell="I13" sqref="I13"/>
    </sheetView>
  </sheetViews>
  <sheetFormatPr baseColWidth="10" defaultRowHeight="17"/>
  <cols>
    <col min="1" max="1" width="40" bestFit="1" customWidth="1"/>
    <col min="2" max="2" width="16.83203125" bestFit="1" customWidth="1"/>
    <col min="3" max="3" width="16.1640625" bestFit="1" customWidth="1"/>
    <col min="4" max="4" width="24.33203125" bestFit="1" customWidth="1"/>
    <col min="5" max="5" width="23.33203125" bestFit="1" customWidth="1"/>
    <col min="6" max="6" width="25.33203125" bestFit="1" customWidth="1"/>
    <col min="7" max="7" width="21" bestFit="1" customWidth="1"/>
  </cols>
  <sheetData>
    <row r="3" spans="1:7">
      <c r="A3" s="1" t="s">
        <v>13</v>
      </c>
      <c r="B3" t="s">
        <v>42</v>
      </c>
      <c r="C3" t="s">
        <v>41</v>
      </c>
      <c r="D3" t="s">
        <v>40</v>
      </c>
      <c r="E3" t="s">
        <v>39</v>
      </c>
      <c r="F3" t="s">
        <v>38</v>
      </c>
      <c r="G3" t="s">
        <v>37</v>
      </c>
    </row>
    <row r="4" spans="1:7">
      <c r="A4" s="2" t="s">
        <v>19</v>
      </c>
      <c r="B4" s="5">
        <v>12.821428571428571</v>
      </c>
      <c r="C4" s="5">
        <v>7.3571428571428568</v>
      </c>
      <c r="D4" s="5">
        <v>19.928571428571427</v>
      </c>
      <c r="E4" s="5">
        <v>8.5</v>
      </c>
      <c r="F4" s="5">
        <v>11.178571428571429</v>
      </c>
      <c r="G4" s="5">
        <v>24.464285714285715</v>
      </c>
    </row>
    <row r="5" spans="1:7">
      <c r="A5" s="2" t="s">
        <v>20</v>
      </c>
      <c r="B5" s="5">
        <v>17.571428571428573</v>
      </c>
      <c r="C5" s="5">
        <v>8.9387755102040813</v>
      </c>
      <c r="D5" s="5">
        <v>24.693877551020407</v>
      </c>
      <c r="E5" s="5">
        <v>14.714285714285714</v>
      </c>
      <c r="F5" s="5">
        <v>7.795918367346939</v>
      </c>
      <c r="G5" s="5">
        <v>25.591836734693878</v>
      </c>
    </row>
    <row r="6" spans="1:7">
      <c r="A6" s="2" t="s">
        <v>21</v>
      </c>
      <c r="B6" s="5">
        <v>23.3125</v>
      </c>
      <c r="C6" s="5">
        <v>5.28125</v>
      </c>
      <c r="D6" s="5">
        <v>47.59375</v>
      </c>
      <c r="E6" s="5">
        <v>6.0625</v>
      </c>
      <c r="F6" s="5">
        <v>4.828125</v>
      </c>
      <c r="G6" s="5">
        <v>18.390625</v>
      </c>
    </row>
    <row r="7" spans="1:7">
      <c r="A7" s="2" t="s">
        <v>22</v>
      </c>
      <c r="B7" s="5">
        <v>27.1010101010101</v>
      </c>
      <c r="C7" s="5">
        <v>6.1313131313131315</v>
      </c>
      <c r="D7" s="5">
        <v>19.797979797979799</v>
      </c>
      <c r="E7" s="5">
        <v>8.3838383838383841</v>
      </c>
      <c r="F7" s="5">
        <v>6.6060606060606064</v>
      </c>
      <c r="G7" s="5">
        <v>16.303030303030305</v>
      </c>
    </row>
    <row r="8" spans="1:7">
      <c r="A8" s="2" t="s">
        <v>23</v>
      </c>
      <c r="B8" s="5">
        <v>41.467153284671532</v>
      </c>
      <c r="C8" s="5">
        <v>7.1751824817518246</v>
      </c>
      <c r="D8" s="5">
        <v>26.956204379562045</v>
      </c>
      <c r="E8" s="5">
        <v>8.6350364963503647</v>
      </c>
      <c r="F8" s="5">
        <v>6.4087591240875916</v>
      </c>
      <c r="G8" s="5">
        <v>18.284671532846716</v>
      </c>
    </row>
    <row r="9" spans="1:7">
      <c r="A9" s="2" t="s">
        <v>24</v>
      </c>
      <c r="B9" s="5">
        <v>53.081481481481482</v>
      </c>
      <c r="C9" s="5">
        <v>5.5185185185185182</v>
      </c>
      <c r="D9" s="5">
        <v>26.333333333333332</v>
      </c>
      <c r="E9" s="5">
        <v>7.9259259259259256</v>
      </c>
      <c r="F9" s="5">
        <v>5.8444444444444441</v>
      </c>
      <c r="G9" s="5">
        <v>20.296296296296298</v>
      </c>
    </row>
    <row r="10" spans="1:7">
      <c r="A10" s="2" t="s">
        <v>25</v>
      </c>
      <c r="B10" s="5">
        <v>100.75524475524476</v>
      </c>
      <c r="C10" s="5">
        <v>8.9370629370629366</v>
      </c>
      <c r="D10" s="5">
        <v>39.944055944055947</v>
      </c>
      <c r="E10" s="5">
        <v>14.62937062937063</v>
      </c>
      <c r="F10" s="5">
        <v>8.4685314685314683</v>
      </c>
      <c r="G10" s="5">
        <v>24.006993006993007</v>
      </c>
    </row>
    <row r="11" spans="1:7">
      <c r="A11" s="2" t="s">
        <v>26</v>
      </c>
      <c r="B11" s="5">
        <v>103.54166666666667</v>
      </c>
      <c r="C11" s="5">
        <v>6.6388888888888893</v>
      </c>
      <c r="D11" s="5">
        <v>41.138888888888886</v>
      </c>
      <c r="E11" s="5">
        <v>10.972222222222221</v>
      </c>
      <c r="F11" s="5">
        <v>6.7430555555555554</v>
      </c>
      <c r="G11" s="5">
        <v>23.958333333333332</v>
      </c>
    </row>
    <row r="12" spans="1:7">
      <c r="A12" s="2" t="s">
        <v>27</v>
      </c>
      <c r="B12" s="5">
        <v>166.98095238095237</v>
      </c>
      <c r="C12" s="5">
        <v>7.9142857142857146</v>
      </c>
      <c r="D12" s="5">
        <v>58.676190476190477</v>
      </c>
      <c r="E12" s="5">
        <v>12.914285714285715</v>
      </c>
      <c r="F12" s="5">
        <v>8.4857142857142858</v>
      </c>
      <c r="G12" s="5">
        <v>35.828571428571429</v>
      </c>
    </row>
    <row r="13" spans="1:7">
      <c r="A13" s="2" t="s">
        <v>28</v>
      </c>
      <c r="B13" s="5">
        <v>253.59677419354838</v>
      </c>
      <c r="C13" s="5">
        <v>16.129032258064516</v>
      </c>
      <c r="D13" s="5">
        <v>90.096774193548384</v>
      </c>
      <c r="E13" s="5">
        <v>23.282258064516128</v>
      </c>
      <c r="F13" s="5">
        <v>12.67741935483871</v>
      </c>
      <c r="G13" s="5">
        <v>37.056451612903224</v>
      </c>
    </row>
    <row r="14" spans="1:7">
      <c r="A14" s="2" t="s">
        <v>29</v>
      </c>
      <c r="B14" s="5">
        <v>340.89320388349512</v>
      </c>
      <c r="C14" s="5">
        <v>23.699029126213592</v>
      </c>
      <c r="D14" s="5">
        <v>116.67961165048544</v>
      </c>
      <c r="E14" s="5">
        <v>28.902912621359224</v>
      </c>
      <c r="F14" s="5">
        <v>19.66990291262136</v>
      </c>
      <c r="G14" s="5">
        <v>48.601941747572816</v>
      </c>
    </row>
    <row r="15" spans="1:7">
      <c r="A15" s="2" t="s">
        <v>30</v>
      </c>
      <c r="B15" s="5">
        <v>381.73913043478262</v>
      </c>
      <c r="C15" s="5">
        <v>26.765217391304347</v>
      </c>
      <c r="D15" s="5">
        <v>140.41739130434783</v>
      </c>
      <c r="E15" s="5">
        <v>38.234782608695653</v>
      </c>
      <c r="F15" s="5">
        <v>24.808695652173913</v>
      </c>
      <c r="G15" s="5">
        <v>57.443478260869568</v>
      </c>
    </row>
    <row r="16" spans="1:7">
      <c r="A16" s="2" t="s">
        <v>31</v>
      </c>
      <c r="B16" s="5">
        <v>424.23478260869564</v>
      </c>
      <c r="C16" s="5">
        <v>32.539130434782606</v>
      </c>
      <c r="D16" s="5">
        <v>177.00869565217391</v>
      </c>
      <c r="E16" s="5">
        <v>46.339130434782611</v>
      </c>
      <c r="F16" s="5">
        <v>38.339130434782611</v>
      </c>
      <c r="G16" s="5">
        <v>58.173913043478258</v>
      </c>
    </row>
    <row r="17" spans="1:7">
      <c r="A17" s="2" t="s">
        <v>32</v>
      </c>
      <c r="B17" s="5">
        <v>532.8467153284671</v>
      </c>
      <c r="C17" s="5">
        <v>39.67153284671533</v>
      </c>
      <c r="D17" s="5">
        <v>264.70802919708029</v>
      </c>
      <c r="E17" s="5">
        <v>55.686131386861312</v>
      </c>
      <c r="F17" s="5">
        <v>43.21897810218978</v>
      </c>
      <c r="G17" s="5">
        <v>62.795620437956202</v>
      </c>
    </row>
    <row r="18" spans="1:7">
      <c r="A18" s="2" t="s">
        <v>33</v>
      </c>
      <c r="B18" s="5">
        <v>579.30573248407643</v>
      </c>
      <c r="C18" s="5">
        <v>53.101910828025481</v>
      </c>
      <c r="D18" s="5">
        <v>355.96178343949043</v>
      </c>
      <c r="E18" s="5">
        <v>73.585987261146499</v>
      </c>
      <c r="F18" s="5">
        <v>56.554140127388536</v>
      </c>
      <c r="G18" s="5">
        <v>66.108280254777071</v>
      </c>
    </row>
    <row r="19" spans="1:7">
      <c r="A19" s="2" t="s">
        <v>34</v>
      </c>
      <c r="B19" s="5">
        <v>613.16666666666663</v>
      </c>
      <c r="C19" s="5">
        <v>50.722222222222221</v>
      </c>
      <c r="D19" s="5">
        <v>260.43333333333334</v>
      </c>
      <c r="E19" s="5">
        <v>66.87777777777778</v>
      </c>
      <c r="F19" s="5">
        <v>58.8</v>
      </c>
      <c r="G19" s="5">
        <v>70.388888888888886</v>
      </c>
    </row>
    <row r="20" spans="1:7">
      <c r="A20" s="2" t="s">
        <v>35</v>
      </c>
      <c r="B20" s="5">
        <v>558.81034482758616</v>
      </c>
      <c r="C20" s="5">
        <v>55.206896551724135</v>
      </c>
      <c r="D20" s="5">
        <v>414.67241379310343</v>
      </c>
      <c r="E20" s="5">
        <v>88.172413793103445</v>
      </c>
      <c r="F20" s="5">
        <v>51.53448275862069</v>
      </c>
      <c r="G20" s="5">
        <v>58.413793103448278</v>
      </c>
    </row>
    <row r="21" spans="1:7">
      <c r="A21" s="2" t="s">
        <v>36</v>
      </c>
      <c r="B21" s="5">
        <v>653.39810426540282</v>
      </c>
      <c r="C21" s="5">
        <v>66.454976303317537</v>
      </c>
      <c r="D21" s="5">
        <v>506.99526066350711</v>
      </c>
      <c r="E21" s="5">
        <v>96.450236966824647</v>
      </c>
      <c r="F21" s="5">
        <v>68.379146919431278</v>
      </c>
      <c r="G21" s="5">
        <v>74.93364928909952</v>
      </c>
    </row>
    <row r="22" spans="1:7">
      <c r="A22" s="2" t="s">
        <v>14</v>
      </c>
      <c r="B22" s="5">
        <v>304.74280039721947</v>
      </c>
      <c r="C22" s="5">
        <v>26.417080436941411</v>
      </c>
      <c r="D22" s="5">
        <v>167.88977159880835</v>
      </c>
      <c r="E22" s="5">
        <v>37.593843098311815</v>
      </c>
      <c r="F22" s="5">
        <v>27.193147964250247</v>
      </c>
      <c r="G22" s="5">
        <v>43.710526315789473</v>
      </c>
    </row>
  </sheetData>
  <phoneticPr fontId="3" type="noConversion"/>
  <conditionalFormatting pivot="1" sqref="B4:B21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C4:C2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D4:D2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E4:E2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F4:F2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G4:G2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55A6-E03A-7046-A827-2B812CA97C5E}">
  <dimension ref="A1:N34"/>
  <sheetViews>
    <sheetView tabSelected="1" workbookViewId="0">
      <selection activeCell="L29" sqref="L29"/>
    </sheetView>
  </sheetViews>
  <sheetFormatPr baseColWidth="10" defaultColWidth="8.83203125" defaultRowHeight="17"/>
  <cols>
    <col min="1" max="1" width="12.6640625" bestFit="1" customWidth="1"/>
    <col min="2" max="2" width="10" bestFit="1" customWidth="1"/>
    <col min="3" max="3" width="21" bestFit="1" customWidth="1"/>
    <col min="4" max="4" width="17.33203125" bestFit="1" customWidth="1"/>
    <col min="5" max="5" width="16.33203125" bestFit="1" customWidth="1"/>
    <col min="6" max="6" width="6" bestFit="1" customWidth="1"/>
    <col min="7" max="7" width="12.6640625" bestFit="1" customWidth="1"/>
    <col min="8" max="8" width="13" bestFit="1" customWidth="1"/>
    <col min="9" max="9" width="13.1640625" bestFit="1" customWidth="1"/>
    <col min="10" max="10" width="11.83203125" bestFit="1" customWidth="1"/>
    <col min="11" max="11" width="11.1640625" bestFit="1" customWidth="1"/>
    <col min="12" max="12" width="7.6640625" bestFit="1" customWidth="1"/>
    <col min="13" max="13" width="6.1640625" bestFit="1" customWidth="1"/>
    <col min="14" max="14" width="12.5" bestFit="1" customWidth="1"/>
  </cols>
  <sheetData>
    <row r="1" spans="1:14">
      <c r="A1" t="s">
        <v>127</v>
      </c>
      <c r="B1" t="s">
        <v>126</v>
      </c>
      <c r="C1" t="s">
        <v>125</v>
      </c>
      <c r="D1" t="s">
        <v>124</v>
      </c>
      <c r="E1" t="s">
        <v>123</v>
      </c>
      <c r="F1" t="s">
        <v>122</v>
      </c>
      <c r="G1" t="s">
        <v>121</v>
      </c>
      <c r="H1" t="s">
        <v>120</v>
      </c>
      <c r="I1" t="s">
        <v>119</v>
      </c>
      <c r="J1" t="s">
        <v>118</v>
      </c>
      <c r="K1" t="s">
        <v>117</v>
      </c>
      <c r="L1" t="s">
        <v>116</v>
      </c>
      <c r="M1" t="s">
        <v>115</v>
      </c>
      <c r="N1" t="s">
        <v>114</v>
      </c>
    </row>
    <row r="2" spans="1:14" ht="18">
      <c r="A2" s="11">
        <v>0</v>
      </c>
      <c r="B2" s="11" t="s">
        <v>106</v>
      </c>
      <c r="C2" s="11" t="s">
        <v>113</v>
      </c>
      <c r="D2" s="11" t="s">
        <v>104</v>
      </c>
      <c r="E2" s="11">
        <v>128</v>
      </c>
      <c r="F2" s="11">
        <v>4</v>
      </c>
      <c r="G2" s="11">
        <v>7.23</v>
      </c>
      <c r="H2" s="11">
        <v>12</v>
      </c>
      <c r="I2" s="11">
        <v>7</v>
      </c>
      <c r="J2" s="11">
        <v>2018</v>
      </c>
      <c r="K2" s="11">
        <v>4.7</v>
      </c>
      <c r="L2" s="11">
        <v>144</v>
      </c>
      <c r="M2" s="11">
        <v>429</v>
      </c>
      <c r="N2" s="11" t="s">
        <v>112</v>
      </c>
    </row>
    <row r="3" spans="1:14" ht="18">
      <c r="A3" s="8">
        <v>1</v>
      </c>
      <c r="B3" s="8" t="s">
        <v>106</v>
      </c>
      <c r="C3" s="8" t="s">
        <v>111</v>
      </c>
      <c r="D3" s="8" t="s">
        <v>104</v>
      </c>
      <c r="E3" s="8">
        <v>128</v>
      </c>
      <c r="F3" s="8">
        <v>4</v>
      </c>
      <c r="G3" s="8">
        <v>7.72</v>
      </c>
      <c r="H3" s="8">
        <v>12</v>
      </c>
      <c r="I3" s="8">
        <v>12</v>
      </c>
      <c r="J3" s="8">
        <v>2438</v>
      </c>
      <c r="K3" s="8">
        <v>5.4</v>
      </c>
      <c r="L3" s="8">
        <v>141</v>
      </c>
      <c r="M3" s="8">
        <v>699</v>
      </c>
      <c r="N3" s="8" t="s">
        <v>107</v>
      </c>
    </row>
    <row r="4" spans="1:14">
      <c r="A4">
        <v>2</v>
      </c>
      <c r="B4" t="s">
        <v>106</v>
      </c>
      <c r="C4" t="s">
        <v>110</v>
      </c>
      <c r="D4" t="s">
        <v>104</v>
      </c>
      <c r="E4">
        <v>128</v>
      </c>
      <c r="F4">
        <v>4</v>
      </c>
      <c r="G4">
        <v>7.75</v>
      </c>
      <c r="H4">
        <v>12</v>
      </c>
      <c r="I4">
        <v>12</v>
      </c>
      <c r="J4">
        <v>3240</v>
      </c>
      <c r="K4">
        <v>6.1</v>
      </c>
      <c r="L4">
        <v>174</v>
      </c>
      <c r="M4">
        <v>699</v>
      </c>
      <c r="N4" t="s">
        <v>107</v>
      </c>
    </row>
    <row r="5" spans="1:14">
      <c r="A5">
        <v>3</v>
      </c>
      <c r="B5" t="s">
        <v>106</v>
      </c>
      <c r="C5" t="s">
        <v>109</v>
      </c>
      <c r="D5" t="s">
        <v>104</v>
      </c>
      <c r="E5">
        <v>256</v>
      </c>
      <c r="F5">
        <v>6</v>
      </c>
      <c r="G5">
        <v>7.94</v>
      </c>
      <c r="H5">
        <v>12</v>
      </c>
      <c r="I5">
        <v>12</v>
      </c>
      <c r="J5">
        <v>3065</v>
      </c>
      <c r="K5">
        <v>6.1</v>
      </c>
      <c r="L5">
        <v>204</v>
      </c>
      <c r="M5">
        <v>999</v>
      </c>
      <c r="N5" t="s">
        <v>107</v>
      </c>
    </row>
    <row r="6" spans="1:14">
      <c r="A6">
        <v>4</v>
      </c>
      <c r="B6" t="s">
        <v>106</v>
      </c>
      <c r="C6" t="s">
        <v>108</v>
      </c>
      <c r="D6" t="s">
        <v>104</v>
      </c>
      <c r="E6">
        <v>256</v>
      </c>
      <c r="F6">
        <v>6</v>
      </c>
      <c r="G6">
        <v>8.01</v>
      </c>
      <c r="H6">
        <v>12</v>
      </c>
      <c r="I6">
        <v>12</v>
      </c>
      <c r="J6">
        <v>4352</v>
      </c>
      <c r="K6">
        <v>6.7</v>
      </c>
      <c r="L6">
        <v>240</v>
      </c>
      <c r="M6">
        <v>1199</v>
      </c>
      <c r="N6" t="s">
        <v>107</v>
      </c>
    </row>
    <row r="7" spans="1:14">
      <c r="A7">
        <v>5</v>
      </c>
      <c r="B7" t="s">
        <v>106</v>
      </c>
      <c r="C7" t="s">
        <v>105</v>
      </c>
      <c r="D7" t="s">
        <v>104</v>
      </c>
      <c r="E7">
        <v>64</v>
      </c>
      <c r="F7">
        <v>3</v>
      </c>
      <c r="G7">
        <v>4.22</v>
      </c>
      <c r="H7">
        <v>12</v>
      </c>
      <c r="I7">
        <v>7</v>
      </c>
      <c r="J7">
        <v>2942</v>
      </c>
      <c r="K7">
        <v>6.1</v>
      </c>
      <c r="L7">
        <v>194</v>
      </c>
      <c r="M7">
        <v>236</v>
      </c>
      <c r="N7" t="s">
        <v>103</v>
      </c>
    </row>
    <row r="8" spans="1:14">
      <c r="A8">
        <v>6</v>
      </c>
      <c r="B8" t="s">
        <v>102</v>
      </c>
      <c r="C8" t="s">
        <v>101</v>
      </c>
      <c r="D8" t="s">
        <v>44</v>
      </c>
      <c r="E8">
        <v>128</v>
      </c>
      <c r="F8">
        <v>8</v>
      </c>
      <c r="G8">
        <v>6.76</v>
      </c>
      <c r="H8">
        <v>64</v>
      </c>
      <c r="I8">
        <v>12</v>
      </c>
      <c r="J8">
        <v>4000</v>
      </c>
      <c r="K8">
        <v>5.9</v>
      </c>
      <c r="L8">
        <v>169</v>
      </c>
      <c r="M8">
        <v>599</v>
      </c>
      <c r="N8" t="s">
        <v>100</v>
      </c>
    </row>
    <row r="9" spans="1:14">
      <c r="A9">
        <v>7</v>
      </c>
      <c r="B9" t="s">
        <v>88</v>
      </c>
      <c r="C9" t="s">
        <v>99</v>
      </c>
      <c r="D9" t="s">
        <v>44</v>
      </c>
      <c r="E9">
        <v>32</v>
      </c>
      <c r="F9">
        <v>3</v>
      </c>
      <c r="G9">
        <v>1.36</v>
      </c>
      <c r="H9">
        <v>50</v>
      </c>
      <c r="I9">
        <v>8</v>
      </c>
      <c r="J9">
        <v>5000</v>
      </c>
      <c r="K9">
        <v>6.6</v>
      </c>
      <c r="L9">
        <v>196</v>
      </c>
      <c r="M9">
        <v>154</v>
      </c>
      <c r="N9" t="s">
        <v>98</v>
      </c>
    </row>
    <row r="10" spans="1:14" ht="18">
      <c r="A10" s="9">
        <v>8</v>
      </c>
      <c r="B10" s="9" t="s">
        <v>88</v>
      </c>
      <c r="C10" s="9" t="s">
        <v>97</v>
      </c>
      <c r="D10" s="9" t="s">
        <v>44</v>
      </c>
      <c r="E10" s="9">
        <v>64</v>
      </c>
      <c r="F10" s="9">
        <v>4</v>
      </c>
      <c r="G10" s="9">
        <v>2.2000000000000002</v>
      </c>
      <c r="H10" s="9">
        <v>48</v>
      </c>
      <c r="I10" s="9">
        <v>13</v>
      </c>
      <c r="J10" s="9">
        <v>5000</v>
      </c>
      <c r="K10" s="9">
        <v>6.5</v>
      </c>
      <c r="L10" s="9">
        <v>205</v>
      </c>
      <c r="M10" s="9">
        <v>199</v>
      </c>
      <c r="N10" s="9" t="s">
        <v>96</v>
      </c>
    </row>
    <row r="11" spans="1:14">
      <c r="A11">
        <v>9</v>
      </c>
      <c r="B11" t="s">
        <v>88</v>
      </c>
      <c r="C11" t="s">
        <v>95</v>
      </c>
      <c r="D11" t="s">
        <v>44</v>
      </c>
      <c r="E11">
        <v>128</v>
      </c>
      <c r="F11">
        <v>6</v>
      </c>
      <c r="G11">
        <v>3.79</v>
      </c>
      <c r="H11">
        <v>64</v>
      </c>
      <c r="I11">
        <v>32</v>
      </c>
      <c r="J11">
        <v>5000</v>
      </c>
      <c r="K11">
        <v>6.5</v>
      </c>
      <c r="L11">
        <v>189</v>
      </c>
      <c r="M11">
        <v>312</v>
      </c>
      <c r="N11" t="s">
        <v>94</v>
      </c>
    </row>
    <row r="12" spans="1:14">
      <c r="A12">
        <v>10</v>
      </c>
      <c r="B12" t="s">
        <v>88</v>
      </c>
      <c r="C12" t="s">
        <v>93</v>
      </c>
      <c r="D12" t="s">
        <v>44</v>
      </c>
      <c r="E12">
        <v>128</v>
      </c>
      <c r="F12">
        <v>8</v>
      </c>
      <c r="G12">
        <v>8.81</v>
      </c>
      <c r="H12">
        <v>50</v>
      </c>
      <c r="I12">
        <v>10</v>
      </c>
      <c r="J12">
        <v>3700</v>
      </c>
      <c r="K12">
        <v>6.1</v>
      </c>
      <c r="L12">
        <v>167</v>
      </c>
      <c r="M12">
        <v>528</v>
      </c>
      <c r="N12" t="s">
        <v>90</v>
      </c>
    </row>
    <row r="13" spans="1:14">
      <c r="A13">
        <v>11</v>
      </c>
      <c r="B13" t="s">
        <v>88</v>
      </c>
      <c r="C13" t="s">
        <v>92</v>
      </c>
      <c r="D13" t="s">
        <v>44</v>
      </c>
      <c r="E13">
        <v>128</v>
      </c>
      <c r="F13">
        <v>8</v>
      </c>
      <c r="G13">
        <v>7.22</v>
      </c>
      <c r="H13">
        <v>50</v>
      </c>
      <c r="I13">
        <v>10</v>
      </c>
      <c r="J13">
        <v>4500</v>
      </c>
      <c r="K13">
        <v>6.6</v>
      </c>
      <c r="L13">
        <v>195</v>
      </c>
      <c r="M13">
        <v>899</v>
      </c>
      <c r="N13" t="s">
        <v>90</v>
      </c>
    </row>
    <row r="14" spans="1:14" ht="18">
      <c r="A14" s="10">
        <v>12</v>
      </c>
      <c r="B14" s="10" t="s">
        <v>88</v>
      </c>
      <c r="C14" s="10" t="s">
        <v>91</v>
      </c>
      <c r="D14" s="10" t="s">
        <v>44</v>
      </c>
      <c r="E14" s="10">
        <v>128</v>
      </c>
      <c r="F14" s="10">
        <v>8</v>
      </c>
      <c r="G14" s="10">
        <v>9.68</v>
      </c>
      <c r="H14" s="10">
        <v>108</v>
      </c>
      <c r="I14" s="10">
        <v>40</v>
      </c>
      <c r="J14" s="10">
        <v>5000</v>
      </c>
      <c r="K14" s="10">
        <v>6.8</v>
      </c>
      <c r="L14" s="10">
        <v>228</v>
      </c>
      <c r="M14" s="10">
        <v>840</v>
      </c>
      <c r="N14" s="10" t="s">
        <v>90</v>
      </c>
    </row>
    <row r="15" spans="1:14">
      <c r="A15">
        <v>13</v>
      </c>
      <c r="B15" t="s">
        <v>88</v>
      </c>
      <c r="C15" t="s">
        <v>89</v>
      </c>
      <c r="D15" t="s">
        <v>44</v>
      </c>
      <c r="E15">
        <v>128</v>
      </c>
      <c r="F15">
        <v>8</v>
      </c>
      <c r="G15">
        <v>5.96</v>
      </c>
      <c r="H15">
        <v>12</v>
      </c>
      <c r="I15">
        <v>10</v>
      </c>
      <c r="J15">
        <v>3300</v>
      </c>
      <c r="K15">
        <v>6.7</v>
      </c>
      <c r="L15">
        <v>183</v>
      </c>
      <c r="M15">
        <v>899</v>
      </c>
      <c r="N15" t="s">
        <v>86</v>
      </c>
    </row>
    <row r="16" spans="1:14">
      <c r="A16">
        <v>14</v>
      </c>
      <c r="B16" t="s">
        <v>88</v>
      </c>
      <c r="C16" t="s">
        <v>87</v>
      </c>
      <c r="D16" t="s">
        <v>44</v>
      </c>
      <c r="E16">
        <v>256</v>
      </c>
      <c r="F16">
        <v>12</v>
      </c>
      <c r="G16">
        <v>6.35</v>
      </c>
      <c r="H16">
        <v>12</v>
      </c>
      <c r="I16">
        <v>4</v>
      </c>
      <c r="J16">
        <v>4400</v>
      </c>
      <c r="K16">
        <v>7.6</v>
      </c>
      <c r="L16">
        <v>271</v>
      </c>
      <c r="M16">
        <v>1799</v>
      </c>
      <c r="N16" t="s">
        <v>86</v>
      </c>
    </row>
    <row r="17" spans="1:14">
      <c r="A17">
        <v>15</v>
      </c>
      <c r="B17" t="s">
        <v>82</v>
      </c>
      <c r="C17" t="s">
        <v>85</v>
      </c>
      <c r="D17" t="s">
        <v>44</v>
      </c>
      <c r="E17">
        <v>128</v>
      </c>
      <c r="F17">
        <v>8</v>
      </c>
      <c r="G17">
        <v>6.76</v>
      </c>
      <c r="H17">
        <v>50</v>
      </c>
      <c r="I17">
        <v>8</v>
      </c>
      <c r="J17">
        <v>4614</v>
      </c>
      <c r="K17">
        <v>6.4</v>
      </c>
      <c r="L17">
        <v>207</v>
      </c>
      <c r="M17">
        <v>499</v>
      </c>
      <c r="N17" t="s">
        <v>80</v>
      </c>
    </row>
    <row r="18" spans="1:14">
      <c r="A18">
        <v>16</v>
      </c>
      <c r="B18" t="s">
        <v>82</v>
      </c>
      <c r="C18" t="s">
        <v>84</v>
      </c>
      <c r="D18" t="s">
        <v>44</v>
      </c>
      <c r="E18">
        <v>128</v>
      </c>
      <c r="F18">
        <v>6</v>
      </c>
      <c r="G18">
        <v>6.88</v>
      </c>
      <c r="H18">
        <v>12</v>
      </c>
      <c r="I18">
        <v>8</v>
      </c>
      <c r="J18">
        <v>4410</v>
      </c>
      <c r="K18">
        <v>6.1</v>
      </c>
      <c r="L18">
        <v>178</v>
      </c>
      <c r="M18">
        <v>449</v>
      </c>
      <c r="N18" t="s">
        <v>83</v>
      </c>
    </row>
    <row r="19" spans="1:14">
      <c r="A19">
        <v>17</v>
      </c>
      <c r="B19" t="s">
        <v>82</v>
      </c>
      <c r="C19" t="s">
        <v>81</v>
      </c>
      <c r="D19" t="s">
        <v>44</v>
      </c>
      <c r="E19">
        <v>128</v>
      </c>
      <c r="F19">
        <v>12</v>
      </c>
      <c r="G19">
        <v>7.19</v>
      </c>
      <c r="H19">
        <v>50</v>
      </c>
      <c r="I19">
        <v>11</v>
      </c>
      <c r="J19">
        <v>5003</v>
      </c>
      <c r="K19">
        <v>6.7</v>
      </c>
      <c r="L19">
        <v>210</v>
      </c>
      <c r="M19">
        <v>699</v>
      </c>
      <c r="N19" t="s">
        <v>80</v>
      </c>
    </row>
    <row r="20" spans="1:14">
      <c r="A20">
        <v>18</v>
      </c>
      <c r="B20" t="s">
        <v>73</v>
      </c>
      <c r="C20" t="s">
        <v>79</v>
      </c>
      <c r="D20" t="s">
        <v>44</v>
      </c>
      <c r="E20">
        <v>128</v>
      </c>
      <c r="F20">
        <v>6</v>
      </c>
      <c r="G20">
        <v>3.8</v>
      </c>
      <c r="H20">
        <v>64</v>
      </c>
      <c r="I20">
        <v>16</v>
      </c>
      <c r="J20">
        <v>4500</v>
      </c>
      <c r="K20">
        <v>6.4</v>
      </c>
      <c r="L20">
        <v>173</v>
      </c>
      <c r="M20">
        <v>299</v>
      </c>
      <c r="N20" t="s">
        <v>78</v>
      </c>
    </row>
    <row r="21" spans="1:14">
      <c r="A21">
        <v>19</v>
      </c>
      <c r="B21" t="s">
        <v>73</v>
      </c>
      <c r="C21" t="s">
        <v>77</v>
      </c>
      <c r="D21" t="s">
        <v>44</v>
      </c>
      <c r="E21">
        <v>128</v>
      </c>
      <c r="F21">
        <v>8</v>
      </c>
      <c r="G21">
        <v>6.04</v>
      </c>
      <c r="H21">
        <v>50</v>
      </c>
      <c r="I21">
        <v>32</v>
      </c>
      <c r="J21">
        <v>4500</v>
      </c>
      <c r="K21">
        <v>6.4</v>
      </c>
      <c r="L21">
        <v>190</v>
      </c>
      <c r="M21">
        <v>379</v>
      </c>
      <c r="N21" t="s">
        <v>76</v>
      </c>
    </row>
    <row r="22" spans="1:14">
      <c r="A22">
        <v>20</v>
      </c>
      <c r="B22" t="s">
        <v>73</v>
      </c>
      <c r="C22" t="s">
        <v>75</v>
      </c>
      <c r="D22" t="s">
        <v>44</v>
      </c>
      <c r="E22">
        <v>128</v>
      </c>
      <c r="F22">
        <v>8</v>
      </c>
      <c r="G22">
        <v>8.86</v>
      </c>
      <c r="H22">
        <v>48</v>
      </c>
      <c r="I22">
        <v>32</v>
      </c>
      <c r="J22">
        <v>5000</v>
      </c>
      <c r="K22">
        <v>6.7</v>
      </c>
      <c r="L22">
        <v>201</v>
      </c>
      <c r="M22">
        <v>780</v>
      </c>
      <c r="N22" t="s">
        <v>74</v>
      </c>
    </row>
    <row r="23" spans="1:14">
      <c r="A23">
        <v>21</v>
      </c>
      <c r="B23" t="s">
        <v>73</v>
      </c>
      <c r="C23" t="s">
        <v>72</v>
      </c>
      <c r="D23" t="s">
        <v>44</v>
      </c>
      <c r="E23">
        <v>128</v>
      </c>
      <c r="F23">
        <v>8</v>
      </c>
      <c r="G23">
        <v>11</v>
      </c>
      <c r="H23">
        <v>50</v>
      </c>
      <c r="I23">
        <v>16</v>
      </c>
      <c r="J23">
        <v>4800</v>
      </c>
      <c r="K23">
        <v>6.7</v>
      </c>
      <c r="L23">
        <v>204</v>
      </c>
      <c r="M23">
        <v>649</v>
      </c>
      <c r="N23" t="s">
        <v>71</v>
      </c>
    </row>
    <row r="24" spans="1:14">
      <c r="A24">
        <v>22</v>
      </c>
      <c r="B24" t="s">
        <v>70</v>
      </c>
      <c r="C24" t="s">
        <v>69</v>
      </c>
      <c r="D24" t="s">
        <v>44</v>
      </c>
      <c r="E24">
        <v>256</v>
      </c>
      <c r="F24">
        <v>12</v>
      </c>
      <c r="G24">
        <v>10.119999999999999</v>
      </c>
      <c r="H24">
        <v>50</v>
      </c>
      <c r="I24">
        <v>32</v>
      </c>
      <c r="J24">
        <v>5000</v>
      </c>
      <c r="K24">
        <v>6.7</v>
      </c>
      <c r="L24">
        <v>218</v>
      </c>
      <c r="M24">
        <v>987</v>
      </c>
      <c r="N24" t="s">
        <v>68</v>
      </c>
    </row>
    <row r="25" spans="1:14">
      <c r="A25">
        <v>23</v>
      </c>
      <c r="B25" t="s">
        <v>67</v>
      </c>
      <c r="C25" t="s">
        <v>66</v>
      </c>
      <c r="D25" t="s">
        <v>44</v>
      </c>
      <c r="E25">
        <v>256</v>
      </c>
      <c r="F25">
        <v>8</v>
      </c>
      <c r="G25">
        <v>9.81</v>
      </c>
      <c r="H25">
        <v>50</v>
      </c>
      <c r="I25">
        <v>32</v>
      </c>
      <c r="J25">
        <v>4700</v>
      </c>
      <c r="K25">
        <v>6.7</v>
      </c>
      <c r="L25">
        <v>215</v>
      </c>
      <c r="M25">
        <v>872</v>
      </c>
      <c r="N25" t="s">
        <v>65</v>
      </c>
    </row>
    <row r="26" spans="1:14">
      <c r="A26">
        <v>24</v>
      </c>
      <c r="B26" t="s">
        <v>58</v>
      </c>
      <c r="C26" t="s">
        <v>64</v>
      </c>
      <c r="D26" t="s">
        <v>44</v>
      </c>
      <c r="E26">
        <v>128</v>
      </c>
      <c r="F26">
        <v>4</v>
      </c>
      <c r="G26">
        <v>2.44</v>
      </c>
      <c r="H26">
        <v>50</v>
      </c>
      <c r="I26">
        <v>13</v>
      </c>
      <c r="J26">
        <v>5000</v>
      </c>
      <c r="K26">
        <v>6.4</v>
      </c>
      <c r="L26">
        <v>179</v>
      </c>
      <c r="M26">
        <v>174</v>
      </c>
      <c r="N26" t="s">
        <v>63</v>
      </c>
    </row>
    <row r="27" spans="1:14">
      <c r="A27">
        <v>25</v>
      </c>
      <c r="B27" t="s">
        <v>58</v>
      </c>
      <c r="C27" t="s">
        <v>62</v>
      </c>
      <c r="D27" t="s">
        <v>44</v>
      </c>
      <c r="E27">
        <v>256</v>
      </c>
      <c r="F27">
        <v>8</v>
      </c>
      <c r="G27">
        <v>7.59</v>
      </c>
      <c r="H27">
        <v>108</v>
      </c>
      <c r="I27">
        <v>16</v>
      </c>
      <c r="J27">
        <v>5000</v>
      </c>
      <c r="K27">
        <v>6.6</v>
      </c>
      <c r="L27">
        <v>204</v>
      </c>
      <c r="M27">
        <v>435</v>
      </c>
      <c r="N27" t="s">
        <v>61</v>
      </c>
    </row>
    <row r="28" spans="1:14">
      <c r="A28">
        <v>26</v>
      </c>
      <c r="B28" t="s">
        <v>58</v>
      </c>
      <c r="C28" t="s">
        <v>60</v>
      </c>
      <c r="D28" t="s">
        <v>44</v>
      </c>
      <c r="E28">
        <v>128</v>
      </c>
      <c r="F28">
        <v>8</v>
      </c>
      <c r="G28">
        <v>9.85</v>
      </c>
      <c r="H28">
        <v>50</v>
      </c>
      <c r="I28">
        <v>32</v>
      </c>
      <c r="J28">
        <v>4600</v>
      </c>
      <c r="K28">
        <v>6.7</v>
      </c>
      <c r="L28">
        <v>204</v>
      </c>
      <c r="M28">
        <v>618</v>
      </c>
      <c r="N28" t="s">
        <v>59</v>
      </c>
    </row>
    <row r="29" spans="1:14">
      <c r="A29">
        <v>27</v>
      </c>
      <c r="B29" t="s">
        <v>58</v>
      </c>
      <c r="C29" t="s">
        <v>57</v>
      </c>
      <c r="D29" t="s">
        <v>44</v>
      </c>
      <c r="E29">
        <v>128</v>
      </c>
      <c r="F29">
        <v>8</v>
      </c>
      <c r="G29">
        <v>6.98</v>
      </c>
      <c r="H29">
        <v>64</v>
      </c>
      <c r="I29">
        <v>20</v>
      </c>
      <c r="J29">
        <v>4500</v>
      </c>
      <c r="K29">
        <v>6.6</v>
      </c>
      <c r="L29">
        <v>195</v>
      </c>
      <c r="M29">
        <v>428</v>
      </c>
      <c r="N29" t="s">
        <v>56</v>
      </c>
    </row>
    <row r="30" spans="1:14">
      <c r="A30">
        <v>28</v>
      </c>
      <c r="B30" t="s">
        <v>55</v>
      </c>
      <c r="C30" t="s">
        <v>54</v>
      </c>
      <c r="D30" t="s">
        <v>44</v>
      </c>
      <c r="E30">
        <v>512</v>
      </c>
      <c r="F30">
        <v>12</v>
      </c>
      <c r="G30">
        <v>6.82</v>
      </c>
      <c r="H30">
        <v>12</v>
      </c>
      <c r="I30">
        <v>8</v>
      </c>
      <c r="J30">
        <v>4000</v>
      </c>
      <c r="K30">
        <v>6.5</v>
      </c>
      <c r="L30">
        <v>225</v>
      </c>
      <c r="M30">
        <v>1998</v>
      </c>
      <c r="N30" t="s">
        <v>53</v>
      </c>
    </row>
    <row r="31" spans="1:14">
      <c r="A31">
        <v>29</v>
      </c>
      <c r="B31" t="s">
        <v>46</v>
      </c>
      <c r="C31" t="s">
        <v>52</v>
      </c>
      <c r="D31" t="s">
        <v>44</v>
      </c>
      <c r="E31">
        <v>128</v>
      </c>
      <c r="F31">
        <v>6</v>
      </c>
      <c r="G31">
        <v>2.2999999999999998</v>
      </c>
      <c r="H31">
        <v>50</v>
      </c>
      <c r="I31">
        <v>16</v>
      </c>
      <c r="J31">
        <v>5000</v>
      </c>
      <c r="K31">
        <v>6.8</v>
      </c>
      <c r="L31">
        <v>215</v>
      </c>
      <c r="M31">
        <v>500</v>
      </c>
      <c r="N31" t="s">
        <v>51</v>
      </c>
    </row>
    <row r="32" spans="1:14">
      <c r="A32">
        <v>30</v>
      </c>
      <c r="B32" t="s">
        <v>46</v>
      </c>
      <c r="C32" t="s">
        <v>50</v>
      </c>
      <c r="D32" t="s">
        <v>44</v>
      </c>
      <c r="E32">
        <v>32</v>
      </c>
      <c r="F32">
        <v>3</v>
      </c>
      <c r="G32">
        <v>1.42</v>
      </c>
      <c r="H32">
        <v>13</v>
      </c>
      <c r="I32">
        <v>5</v>
      </c>
      <c r="J32">
        <v>5000</v>
      </c>
      <c r="K32">
        <v>6.5</v>
      </c>
      <c r="L32">
        <v>204</v>
      </c>
      <c r="M32">
        <v>159</v>
      </c>
      <c r="N32" t="s">
        <v>49</v>
      </c>
    </row>
    <row r="33" spans="1:14">
      <c r="A33">
        <v>31</v>
      </c>
      <c r="B33" t="s">
        <v>46</v>
      </c>
      <c r="C33" t="s">
        <v>48</v>
      </c>
      <c r="D33" t="s">
        <v>44</v>
      </c>
      <c r="E33">
        <v>32</v>
      </c>
      <c r="F33">
        <v>3</v>
      </c>
      <c r="G33">
        <v>1.02</v>
      </c>
      <c r="H33">
        <v>13</v>
      </c>
      <c r="I33">
        <v>5</v>
      </c>
      <c r="J33">
        <v>4000</v>
      </c>
      <c r="K33">
        <v>6.5</v>
      </c>
      <c r="L33">
        <v>188</v>
      </c>
      <c r="M33">
        <v>129</v>
      </c>
      <c r="N33" t="s">
        <v>47</v>
      </c>
    </row>
    <row r="34" spans="1:14">
      <c r="A34">
        <v>32</v>
      </c>
      <c r="B34" t="s">
        <v>46</v>
      </c>
      <c r="C34" t="s">
        <v>45</v>
      </c>
      <c r="D34" t="s">
        <v>44</v>
      </c>
      <c r="E34">
        <v>64</v>
      </c>
      <c r="F34">
        <v>4</v>
      </c>
      <c r="G34">
        <v>1.35</v>
      </c>
      <c r="H34">
        <v>50</v>
      </c>
      <c r="I34">
        <v>8</v>
      </c>
      <c r="J34">
        <v>5000</v>
      </c>
      <c r="K34">
        <v>6.5</v>
      </c>
      <c r="L34">
        <v>203</v>
      </c>
      <c r="M34">
        <v>189</v>
      </c>
      <c r="N34" t="s">
        <v>43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6618-F770-7F44-A715-24B5A3F260CF}">
  <dimension ref="A1:D100"/>
  <sheetViews>
    <sheetView workbookViewId="0">
      <selection activeCell="C19" sqref="C19"/>
    </sheetView>
  </sheetViews>
  <sheetFormatPr baseColWidth="10" defaultColWidth="8.83203125" defaultRowHeight="17"/>
  <sheetData>
    <row r="1" spans="1:4">
      <c r="A1" t="s">
        <v>191</v>
      </c>
      <c r="B1" t="s">
        <v>190</v>
      </c>
      <c r="C1" t="s">
        <v>189</v>
      </c>
      <c r="D1" t="s">
        <v>188</v>
      </c>
    </row>
    <row r="2" spans="1:4">
      <c r="A2">
        <v>0</v>
      </c>
      <c r="B2">
        <v>38</v>
      </c>
      <c r="C2" t="s">
        <v>131</v>
      </c>
      <c r="D2" t="s">
        <v>155</v>
      </c>
    </row>
    <row r="3" spans="1:4">
      <c r="A3">
        <v>1</v>
      </c>
      <c r="B3">
        <v>40</v>
      </c>
      <c r="C3" t="s">
        <v>131</v>
      </c>
      <c r="D3" t="s">
        <v>187</v>
      </c>
    </row>
    <row r="4" spans="1:4">
      <c r="A4">
        <v>6</v>
      </c>
      <c r="B4">
        <v>55</v>
      </c>
      <c r="C4" t="s">
        <v>131</v>
      </c>
      <c r="D4" t="s">
        <v>150</v>
      </c>
    </row>
    <row r="5" spans="1:4">
      <c r="A5">
        <v>8</v>
      </c>
      <c r="B5">
        <v>25</v>
      </c>
      <c r="C5" t="s">
        <v>131</v>
      </c>
      <c r="D5" t="s">
        <v>130</v>
      </c>
    </row>
    <row r="6" spans="1:4">
      <c r="A6">
        <v>10</v>
      </c>
      <c r="B6">
        <v>23</v>
      </c>
      <c r="C6" t="s">
        <v>129</v>
      </c>
      <c r="D6" t="s">
        <v>171</v>
      </c>
    </row>
    <row r="7" spans="1:4">
      <c r="A7">
        <v>12</v>
      </c>
      <c r="B7">
        <v>28</v>
      </c>
      <c r="C7" t="s">
        <v>131</v>
      </c>
      <c r="D7" t="s">
        <v>186</v>
      </c>
    </row>
    <row r="8" spans="1:4">
      <c r="A8">
        <v>16</v>
      </c>
      <c r="B8">
        <v>31</v>
      </c>
      <c r="C8" t="s">
        <v>131</v>
      </c>
      <c r="D8" t="s">
        <v>185</v>
      </c>
    </row>
    <row r="9" spans="1:4">
      <c r="A9">
        <v>24</v>
      </c>
      <c r="B9">
        <v>57</v>
      </c>
      <c r="C9" t="s">
        <v>131</v>
      </c>
      <c r="D9" t="s">
        <v>184</v>
      </c>
    </row>
    <row r="10" spans="1:4">
      <c r="A10">
        <v>25</v>
      </c>
      <c r="B10">
        <v>27</v>
      </c>
      <c r="C10" t="s">
        <v>131</v>
      </c>
      <c r="D10" t="s">
        <v>183</v>
      </c>
    </row>
    <row r="11" spans="1:4">
      <c r="A11">
        <v>26</v>
      </c>
      <c r="B11">
        <v>28</v>
      </c>
      <c r="C11" t="s">
        <v>131</v>
      </c>
      <c r="D11" t="s">
        <v>182</v>
      </c>
    </row>
    <row r="12" spans="1:4">
      <c r="A12">
        <v>27</v>
      </c>
      <c r="B12">
        <v>29</v>
      </c>
      <c r="C12" t="s">
        <v>131</v>
      </c>
      <c r="D12" t="s">
        <v>181</v>
      </c>
    </row>
    <row r="13" spans="1:4">
      <c r="A13">
        <v>28</v>
      </c>
      <c r="B13">
        <v>33</v>
      </c>
      <c r="C13" t="s">
        <v>131</v>
      </c>
      <c r="D13" t="s">
        <v>169</v>
      </c>
    </row>
    <row r="14" spans="1:4">
      <c r="A14">
        <v>29</v>
      </c>
      <c r="B14">
        <v>61</v>
      </c>
      <c r="C14" t="s">
        <v>131</v>
      </c>
      <c r="D14" t="s">
        <v>180</v>
      </c>
    </row>
    <row r="15" spans="1:4">
      <c r="A15">
        <v>30</v>
      </c>
      <c r="B15">
        <v>34</v>
      </c>
      <c r="C15" t="s">
        <v>129</v>
      </c>
      <c r="D15" t="s">
        <v>179</v>
      </c>
    </row>
    <row r="16" spans="1:4">
      <c r="A16">
        <v>32</v>
      </c>
      <c r="B16">
        <v>39</v>
      </c>
      <c r="C16" t="s">
        <v>129</v>
      </c>
      <c r="D16" t="s">
        <v>178</v>
      </c>
    </row>
    <row r="17" spans="1:4">
      <c r="A17">
        <v>33</v>
      </c>
      <c r="B17">
        <v>30</v>
      </c>
      <c r="C17" t="s">
        <v>131</v>
      </c>
      <c r="D17" t="s">
        <v>177</v>
      </c>
    </row>
    <row r="18" spans="1:4">
      <c r="A18">
        <v>35</v>
      </c>
      <c r="B18">
        <v>41</v>
      </c>
      <c r="C18" t="s">
        <v>129</v>
      </c>
      <c r="D18" t="s">
        <v>176</v>
      </c>
    </row>
    <row r="19" spans="1:4">
      <c r="A19">
        <v>36</v>
      </c>
      <c r="B19">
        <v>42</v>
      </c>
      <c r="C19" t="s">
        <v>129</v>
      </c>
      <c r="D19" t="s">
        <v>175</v>
      </c>
    </row>
    <row r="20" spans="1:4">
      <c r="A20">
        <v>37</v>
      </c>
      <c r="B20">
        <v>34</v>
      </c>
      <c r="C20" t="s">
        <v>131</v>
      </c>
      <c r="D20" t="s">
        <v>174</v>
      </c>
    </row>
    <row r="21" spans="1:4">
      <c r="A21">
        <v>38</v>
      </c>
      <c r="B21">
        <v>42</v>
      </c>
      <c r="C21" t="s">
        <v>129</v>
      </c>
      <c r="D21" t="s">
        <v>173</v>
      </c>
    </row>
    <row r="22" spans="1:4">
      <c r="A22">
        <v>52</v>
      </c>
      <c r="B22">
        <v>25</v>
      </c>
      <c r="C22" t="s">
        <v>129</v>
      </c>
      <c r="D22" t="s">
        <v>133</v>
      </c>
    </row>
    <row r="23" spans="1:4">
      <c r="A23">
        <v>53</v>
      </c>
      <c r="B23">
        <v>38</v>
      </c>
      <c r="C23" t="s">
        <v>152</v>
      </c>
      <c r="D23" t="s">
        <v>172</v>
      </c>
    </row>
    <row r="24" spans="1:4">
      <c r="A24">
        <v>56</v>
      </c>
      <c r="B24">
        <v>50</v>
      </c>
      <c r="C24" t="s">
        <v>131</v>
      </c>
      <c r="D24" t="s">
        <v>156</v>
      </c>
    </row>
    <row r="25" spans="1:4">
      <c r="A25">
        <v>60</v>
      </c>
      <c r="B25">
        <v>48</v>
      </c>
      <c r="C25" t="s">
        <v>129</v>
      </c>
      <c r="D25" t="s">
        <v>150</v>
      </c>
    </row>
    <row r="26" spans="1:4">
      <c r="A26">
        <v>74</v>
      </c>
      <c r="B26">
        <v>25</v>
      </c>
      <c r="C26" t="s">
        <v>129</v>
      </c>
      <c r="D26" t="s">
        <v>130</v>
      </c>
    </row>
    <row r="27" spans="1:4">
      <c r="A27">
        <v>79</v>
      </c>
      <c r="B27">
        <v>25</v>
      </c>
      <c r="C27" t="s">
        <v>129</v>
      </c>
      <c r="D27" t="s">
        <v>130</v>
      </c>
    </row>
    <row r="28" spans="1:4">
      <c r="A28">
        <v>80</v>
      </c>
      <c r="B28">
        <v>25</v>
      </c>
      <c r="C28" t="s">
        <v>129</v>
      </c>
      <c r="D28" t="s">
        <v>171</v>
      </c>
    </row>
    <row r="29" spans="1:4">
      <c r="A29">
        <v>84</v>
      </c>
      <c r="B29">
        <v>33</v>
      </c>
      <c r="C29" t="s">
        <v>129</v>
      </c>
      <c r="D29" t="s">
        <v>170</v>
      </c>
    </row>
    <row r="30" spans="1:4">
      <c r="A30">
        <v>85</v>
      </c>
      <c r="B30">
        <v>33</v>
      </c>
      <c r="C30" t="s">
        <v>131</v>
      </c>
      <c r="D30" t="s">
        <v>169</v>
      </c>
    </row>
    <row r="31" spans="1:4">
      <c r="A31">
        <v>91</v>
      </c>
      <c r="B31">
        <v>34</v>
      </c>
      <c r="C31" t="s">
        <v>129</v>
      </c>
      <c r="D31" t="s">
        <v>168</v>
      </c>
    </row>
    <row r="32" spans="1:4">
      <c r="A32">
        <v>95</v>
      </c>
      <c r="B32">
        <v>28</v>
      </c>
      <c r="C32" t="s">
        <v>129</v>
      </c>
      <c r="D32" t="s">
        <v>132</v>
      </c>
    </row>
    <row r="33" spans="1:4">
      <c r="A33">
        <v>98</v>
      </c>
      <c r="B33">
        <v>25</v>
      </c>
      <c r="C33" t="s">
        <v>131</v>
      </c>
      <c r="D33" t="s">
        <v>167</v>
      </c>
    </row>
    <row r="34" spans="1:4">
      <c r="A34">
        <v>99</v>
      </c>
      <c r="B34">
        <v>30</v>
      </c>
      <c r="C34" t="s">
        <v>129</v>
      </c>
      <c r="D34" t="s">
        <v>166</v>
      </c>
    </row>
    <row r="35" spans="1:4">
      <c r="A35">
        <v>100</v>
      </c>
      <c r="B35">
        <v>43</v>
      </c>
      <c r="C35" t="s">
        <v>131</v>
      </c>
      <c r="D35" t="s">
        <v>150</v>
      </c>
    </row>
    <row r="36" spans="1:4">
      <c r="A36">
        <v>104</v>
      </c>
      <c r="B36">
        <v>32</v>
      </c>
      <c r="C36" t="s">
        <v>129</v>
      </c>
      <c r="D36" t="s">
        <v>165</v>
      </c>
    </row>
    <row r="37" spans="1:4">
      <c r="A37">
        <v>105</v>
      </c>
      <c r="B37">
        <v>25</v>
      </c>
      <c r="C37" t="s">
        <v>131</v>
      </c>
      <c r="D37" t="s">
        <v>164</v>
      </c>
    </row>
    <row r="38" spans="1:4">
      <c r="A38">
        <v>106</v>
      </c>
      <c r="B38">
        <v>32</v>
      </c>
      <c r="C38" t="s">
        <v>129</v>
      </c>
      <c r="D38" t="s">
        <v>156</v>
      </c>
    </row>
    <row r="39" spans="1:4">
      <c r="A39">
        <v>110</v>
      </c>
      <c r="B39">
        <v>36</v>
      </c>
      <c r="C39" t="s">
        <v>129</v>
      </c>
      <c r="D39" t="s">
        <v>163</v>
      </c>
    </row>
    <row r="40" spans="1:4">
      <c r="A40">
        <v>111</v>
      </c>
      <c r="B40">
        <v>37</v>
      </c>
      <c r="C40" t="s">
        <v>131</v>
      </c>
      <c r="D40" t="s">
        <v>162</v>
      </c>
    </row>
    <row r="41" spans="1:4">
      <c r="A41">
        <v>112</v>
      </c>
      <c r="B41">
        <v>30</v>
      </c>
      <c r="C41" t="s">
        <v>131</v>
      </c>
      <c r="D41" t="s">
        <v>140</v>
      </c>
    </row>
    <row r="42" spans="1:4">
      <c r="A42">
        <v>113</v>
      </c>
      <c r="B42">
        <v>56</v>
      </c>
      <c r="C42" t="s">
        <v>131</v>
      </c>
      <c r="D42" t="s">
        <v>161</v>
      </c>
    </row>
    <row r="43" spans="1:4">
      <c r="A43">
        <v>114</v>
      </c>
      <c r="B43">
        <v>46</v>
      </c>
      <c r="C43" t="s">
        <v>129</v>
      </c>
      <c r="D43" t="s">
        <v>160</v>
      </c>
    </row>
    <row r="44" spans="1:4">
      <c r="A44">
        <v>115</v>
      </c>
      <c r="B44">
        <v>37</v>
      </c>
      <c r="C44" t="s">
        <v>131</v>
      </c>
      <c r="D44" t="s">
        <v>159</v>
      </c>
    </row>
    <row r="45" spans="1:4">
      <c r="A45">
        <v>116</v>
      </c>
      <c r="B45">
        <v>32</v>
      </c>
      <c r="C45" t="s">
        <v>129</v>
      </c>
      <c r="D45" t="s">
        <v>158</v>
      </c>
    </row>
    <row r="46" spans="1:4">
      <c r="A46">
        <v>119</v>
      </c>
      <c r="B46">
        <v>49</v>
      </c>
      <c r="C46" t="s">
        <v>131</v>
      </c>
      <c r="D46" t="s">
        <v>157</v>
      </c>
    </row>
    <row r="47" spans="1:4">
      <c r="A47">
        <v>120</v>
      </c>
      <c r="B47">
        <v>50</v>
      </c>
      <c r="C47" t="s">
        <v>131</v>
      </c>
      <c r="D47" t="s">
        <v>156</v>
      </c>
    </row>
    <row r="48" spans="1:4">
      <c r="A48">
        <v>123</v>
      </c>
      <c r="B48">
        <v>32</v>
      </c>
      <c r="C48" t="s">
        <v>129</v>
      </c>
      <c r="D48" t="s">
        <v>156</v>
      </c>
    </row>
    <row r="49" spans="1:4">
      <c r="A49">
        <v>124</v>
      </c>
      <c r="B49">
        <v>50</v>
      </c>
      <c r="C49" t="s">
        <v>131</v>
      </c>
      <c r="D49" t="s">
        <v>156</v>
      </c>
    </row>
    <row r="50" spans="1:4">
      <c r="A50">
        <v>126</v>
      </c>
      <c r="B50">
        <v>27</v>
      </c>
      <c r="C50" t="s">
        <v>131</v>
      </c>
      <c r="D50" t="s">
        <v>132</v>
      </c>
    </row>
    <row r="51" spans="1:4">
      <c r="A51">
        <v>128</v>
      </c>
      <c r="B51">
        <v>50</v>
      </c>
      <c r="C51" t="s">
        <v>131</v>
      </c>
      <c r="D51" t="s">
        <v>156</v>
      </c>
    </row>
    <row r="52" spans="1:4">
      <c r="A52">
        <v>129</v>
      </c>
      <c r="B52">
        <v>61</v>
      </c>
      <c r="C52" t="s">
        <v>131</v>
      </c>
      <c r="D52" t="s">
        <v>132</v>
      </c>
    </row>
    <row r="53" spans="1:4">
      <c r="A53">
        <v>137</v>
      </c>
      <c r="B53">
        <v>29</v>
      </c>
      <c r="C53" t="s">
        <v>131</v>
      </c>
      <c r="D53" t="s">
        <v>132</v>
      </c>
    </row>
    <row r="54" spans="1:4">
      <c r="A54">
        <v>140</v>
      </c>
      <c r="B54">
        <v>29</v>
      </c>
      <c r="C54" t="s">
        <v>129</v>
      </c>
      <c r="D54" t="s">
        <v>132</v>
      </c>
    </row>
    <row r="55" spans="1:4">
      <c r="A55">
        <v>142</v>
      </c>
      <c r="B55">
        <v>32</v>
      </c>
      <c r="C55" t="s">
        <v>129</v>
      </c>
      <c r="D55" t="s">
        <v>156</v>
      </c>
    </row>
    <row r="56" spans="1:4">
      <c r="A56">
        <v>143</v>
      </c>
      <c r="B56">
        <v>32</v>
      </c>
      <c r="C56" t="s">
        <v>129</v>
      </c>
      <c r="D56" t="s">
        <v>156</v>
      </c>
    </row>
    <row r="57" spans="1:4">
      <c r="A57">
        <v>144</v>
      </c>
      <c r="B57">
        <v>38</v>
      </c>
      <c r="C57" t="s">
        <v>152</v>
      </c>
      <c r="D57" t="s">
        <v>134</v>
      </c>
    </row>
    <row r="58" spans="1:4">
      <c r="A58">
        <v>145</v>
      </c>
      <c r="B58">
        <v>32</v>
      </c>
      <c r="C58" t="s">
        <v>129</v>
      </c>
      <c r="D58" t="s">
        <v>156</v>
      </c>
    </row>
    <row r="59" spans="1:4">
      <c r="A59">
        <v>148</v>
      </c>
      <c r="B59">
        <v>31</v>
      </c>
      <c r="C59" t="s">
        <v>131</v>
      </c>
      <c r="D59" t="s">
        <v>155</v>
      </c>
    </row>
    <row r="60" spans="1:4">
      <c r="A60">
        <v>152</v>
      </c>
      <c r="B60">
        <v>30</v>
      </c>
      <c r="C60" t="s">
        <v>131</v>
      </c>
      <c r="D60" t="s">
        <v>140</v>
      </c>
    </row>
    <row r="61" spans="1:4">
      <c r="A61">
        <v>154</v>
      </c>
      <c r="B61">
        <v>32</v>
      </c>
      <c r="C61" t="s">
        <v>129</v>
      </c>
      <c r="D61" t="s">
        <v>147</v>
      </c>
    </row>
    <row r="62" spans="1:4">
      <c r="A62">
        <v>156</v>
      </c>
      <c r="B62">
        <v>39</v>
      </c>
      <c r="C62" t="s">
        <v>131</v>
      </c>
      <c r="D62" t="s">
        <v>154</v>
      </c>
    </row>
    <row r="63" spans="1:4">
      <c r="A63">
        <v>160</v>
      </c>
      <c r="B63">
        <v>31</v>
      </c>
      <c r="C63" t="s">
        <v>129</v>
      </c>
      <c r="D63" t="s">
        <v>145</v>
      </c>
    </row>
    <row r="64" spans="1:4">
      <c r="A64">
        <v>162</v>
      </c>
      <c r="B64">
        <v>50</v>
      </c>
      <c r="C64" t="s">
        <v>129</v>
      </c>
      <c r="D64" t="s">
        <v>130</v>
      </c>
    </row>
    <row r="65" spans="1:4">
      <c r="A65">
        <v>164</v>
      </c>
      <c r="B65">
        <v>21</v>
      </c>
      <c r="C65" t="s">
        <v>129</v>
      </c>
      <c r="D65" t="s">
        <v>153</v>
      </c>
    </row>
    <row r="66" spans="1:4">
      <c r="A66">
        <v>169</v>
      </c>
      <c r="B66">
        <v>38</v>
      </c>
      <c r="C66" t="s">
        <v>152</v>
      </c>
      <c r="D66" t="s">
        <v>130</v>
      </c>
    </row>
    <row r="67" spans="1:4">
      <c r="A67">
        <v>178</v>
      </c>
      <c r="B67">
        <v>25</v>
      </c>
      <c r="C67" t="s">
        <v>129</v>
      </c>
      <c r="D67" t="s">
        <v>133</v>
      </c>
    </row>
    <row r="68" spans="1:4">
      <c r="A68">
        <v>183</v>
      </c>
      <c r="B68">
        <v>35</v>
      </c>
      <c r="C68" t="s">
        <v>129</v>
      </c>
      <c r="D68" t="s">
        <v>151</v>
      </c>
    </row>
    <row r="69" spans="1:4">
      <c r="A69">
        <v>194</v>
      </c>
      <c r="B69">
        <v>46</v>
      </c>
      <c r="C69" t="s">
        <v>129</v>
      </c>
      <c r="D69" t="s">
        <v>149</v>
      </c>
    </row>
    <row r="70" spans="1:4">
      <c r="A70">
        <v>200</v>
      </c>
      <c r="B70">
        <v>48</v>
      </c>
      <c r="C70" t="s">
        <v>129</v>
      </c>
      <c r="D70" t="s">
        <v>150</v>
      </c>
    </row>
    <row r="71" spans="1:4">
      <c r="A71">
        <v>203</v>
      </c>
      <c r="B71">
        <v>38</v>
      </c>
      <c r="C71" t="s">
        <v>131</v>
      </c>
      <c r="D71" t="s">
        <v>150</v>
      </c>
    </row>
    <row r="72" spans="1:4">
      <c r="A72">
        <v>204</v>
      </c>
      <c r="B72">
        <v>30</v>
      </c>
      <c r="C72" t="s">
        <v>131</v>
      </c>
      <c r="D72" t="s">
        <v>149</v>
      </c>
    </row>
    <row r="73" spans="1:4">
      <c r="A73">
        <v>208</v>
      </c>
      <c r="B73">
        <v>29</v>
      </c>
      <c r="C73" t="s">
        <v>129</v>
      </c>
      <c r="D73" t="s">
        <v>132</v>
      </c>
    </row>
    <row r="74" spans="1:4">
      <c r="A74">
        <v>211</v>
      </c>
      <c r="B74">
        <v>37</v>
      </c>
      <c r="C74" t="s">
        <v>131</v>
      </c>
      <c r="D74" t="s">
        <v>139</v>
      </c>
    </row>
    <row r="75" spans="1:4">
      <c r="A75">
        <v>215</v>
      </c>
      <c r="B75">
        <v>42</v>
      </c>
      <c r="C75" t="s">
        <v>131</v>
      </c>
      <c r="D75" t="s">
        <v>148</v>
      </c>
    </row>
    <row r="76" spans="1:4">
      <c r="A76">
        <v>226</v>
      </c>
      <c r="B76">
        <v>27</v>
      </c>
      <c r="C76" t="s">
        <v>131</v>
      </c>
      <c r="D76" t="s">
        <v>132</v>
      </c>
    </row>
    <row r="77" spans="1:4">
      <c r="A77">
        <v>227</v>
      </c>
      <c r="B77">
        <v>32</v>
      </c>
      <c r="C77" t="s">
        <v>129</v>
      </c>
      <c r="D77" t="s">
        <v>147</v>
      </c>
    </row>
    <row r="78" spans="1:4">
      <c r="A78">
        <v>230</v>
      </c>
      <c r="B78">
        <v>29</v>
      </c>
      <c r="C78" t="s">
        <v>131</v>
      </c>
      <c r="D78" t="s">
        <v>132</v>
      </c>
    </row>
    <row r="79" spans="1:4">
      <c r="A79">
        <v>231</v>
      </c>
      <c r="B79">
        <v>58</v>
      </c>
      <c r="C79" t="s">
        <v>129</v>
      </c>
      <c r="D79" t="s">
        <v>134</v>
      </c>
    </row>
    <row r="80" spans="1:4">
      <c r="A80">
        <v>232</v>
      </c>
      <c r="B80">
        <v>46</v>
      </c>
      <c r="C80" t="s">
        <v>129</v>
      </c>
      <c r="D80" t="s">
        <v>146</v>
      </c>
    </row>
    <row r="81" spans="1:4">
      <c r="A81">
        <v>233</v>
      </c>
      <c r="B81">
        <v>31</v>
      </c>
      <c r="C81" t="s">
        <v>129</v>
      </c>
      <c r="D81" t="s">
        <v>145</v>
      </c>
    </row>
    <row r="82" spans="1:4">
      <c r="A82">
        <v>234</v>
      </c>
      <c r="B82">
        <v>32</v>
      </c>
      <c r="C82" t="s">
        <v>131</v>
      </c>
      <c r="D82" t="s">
        <v>144</v>
      </c>
    </row>
    <row r="83" spans="1:4">
      <c r="A83">
        <v>235</v>
      </c>
      <c r="B83">
        <v>56</v>
      </c>
      <c r="C83" t="s">
        <v>129</v>
      </c>
      <c r="D83" t="s">
        <v>143</v>
      </c>
    </row>
    <row r="84" spans="1:4">
      <c r="A84">
        <v>236</v>
      </c>
      <c r="B84">
        <v>33</v>
      </c>
      <c r="C84" t="s">
        <v>129</v>
      </c>
      <c r="D84" t="s">
        <v>142</v>
      </c>
    </row>
    <row r="85" spans="1:4">
      <c r="A85">
        <v>237</v>
      </c>
      <c r="B85">
        <v>33</v>
      </c>
      <c r="C85" t="s">
        <v>129</v>
      </c>
      <c r="D85" t="s">
        <v>141</v>
      </c>
    </row>
    <row r="86" spans="1:4">
      <c r="A86">
        <v>238</v>
      </c>
      <c r="B86">
        <v>30</v>
      </c>
      <c r="C86" t="s">
        <v>129</v>
      </c>
      <c r="D86" t="s">
        <v>140</v>
      </c>
    </row>
    <row r="87" spans="1:4">
      <c r="A87">
        <v>240</v>
      </c>
      <c r="B87">
        <v>37</v>
      </c>
      <c r="C87" t="s">
        <v>131</v>
      </c>
      <c r="D87" t="s">
        <v>139</v>
      </c>
    </row>
    <row r="88" spans="1:4">
      <c r="A88">
        <v>242</v>
      </c>
      <c r="B88">
        <v>35</v>
      </c>
      <c r="C88" t="s">
        <v>129</v>
      </c>
      <c r="D88" t="s">
        <v>138</v>
      </c>
    </row>
    <row r="89" spans="1:4">
      <c r="A89">
        <v>243</v>
      </c>
      <c r="B89">
        <v>42</v>
      </c>
      <c r="C89" t="s">
        <v>131</v>
      </c>
      <c r="D89" t="s">
        <v>130</v>
      </c>
    </row>
    <row r="90" spans="1:4">
      <c r="A90">
        <v>244</v>
      </c>
      <c r="B90">
        <v>41</v>
      </c>
      <c r="C90" t="s">
        <v>129</v>
      </c>
      <c r="D90" t="s">
        <v>136</v>
      </c>
    </row>
    <row r="91" spans="1:4">
      <c r="A91">
        <v>245</v>
      </c>
      <c r="B91">
        <v>35</v>
      </c>
      <c r="C91" t="s">
        <v>129</v>
      </c>
      <c r="D91" t="s">
        <v>137</v>
      </c>
    </row>
    <row r="92" spans="1:4">
      <c r="A92">
        <v>246</v>
      </c>
      <c r="B92">
        <v>45</v>
      </c>
      <c r="C92" t="s">
        <v>131</v>
      </c>
      <c r="D92" t="s">
        <v>136</v>
      </c>
    </row>
    <row r="93" spans="1:4">
      <c r="A93">
        <v>251</v>
      </c>
      <c r="B93">
        <v>39</v>
      </c>
      <c r="C93" t="s">
        <v>129</v>
      </c>
      <c r="D93" t="s">
        <v>135</v>
      </c>
    </row>
    <row r="94" spans="1:4">
      <c r="A94">
        <v>252</v>
      </c>
      <c r="B94">
        <v>58</v>
      </c>
      <c r="C94" t="s">
        <v>129</v>
      </c>
      <c r="D94" t="s">
        <v>134</v>
      </c>
    </row>
    <row r="95" spans="1:4">
      <c r="A95">
        <v>253</v>
      </c>
      <c r="B95">
        <v>40</v>
      </c>
      <c r="C95" t="s">
        <v>131</v>
      </c>
      <c r="D95" t="s">
        <v>132</v>
      </c>
    </row>
    <row r="96" spans="1:4">
      <c r="A96">
        <v>254</v>
      </c>
      <c r="B96">
        <v>25</v>
      </c>
      <c r="C96" t="s">
        <v>131</v>
      </c>
      <c r="D96" t="s">
        <v>133</v>
      </c>
    </row>
    <row r="97" spans="1:4">
      <c r="A97">
        <v>255</v>
      </c>
      <c r="B97">
        <v>25</v>
      </c>
      <c r="C97" t="s">
        <v>129</v>
      </c>
      <c r="D97" t="s">
        <v>133</v>
      </c>
    </row>
    <row r="98" spans="1:4">
      <c r="A98">
        <v>256</v>
      </c>
      <c r="B98">
        <v>49</v>
      </c>
      <c r="C98" t="s">
        <v>129</v>
      </c>
      <c r="D98" t="s">
        <v>132</v>
      </c>
    </row>
    <row r="99" spans="1:4">
      <c r="A99">
        <v>257</v>
      </c>
      <c r="B99">
        <v>25</v>
      </c>
      <c r="C99" t="s">
        <v>131</v>
      </c>
      <c r="D99" t="s">
        <v>130</v>
      </c>
    </row>
    <row r="100" spans="1:4">
      <c r="A100">
        <v>258</v>
      </c>
      <c r="B100">
        <v>25</v>
      </c>
      <c r="C100" t="s">
        <v>129</v>
      </c>
      <c r="D100" t="s">
        <v>128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282D-0A4D-9F4C-B7B3-6FAE489385A8}">
  <dimension ref="A1:AI23"/>
  <sheetViews>
    <sheetView workbookViewId="0">
      <selection activeCell="B7" sqref="B7"/>
    </sheetView>
  </sheetViews>
  <sheetFormatPr baseColWidth="10" defaultRowHeight="17"/>
  <sheetData>
    <row r="1" spans="1:35">
      <c r="A1" s="7" t="s">
        <v>13</v>
      </c>
      <c r="B1" s="12">
        <v>0</v>
      </c>
      <c r="C1" s="12">
        <v>1</v>
      </c>
      <c r="D1" s="12">
        <v>2</v>
      </c>
      <c r="E1" s="12">
        <v>3</v>
      </c>
      <c r="F1" s="12">
        <v>4</v>
      </c>
      <c r="G1" s="12">
        <v>5</v>
      </c>
      <c r="H1" s="12">
        <v>6</v>
      </c>
      <c r="I1" s="12">
        <v>7</v>
      </c>
      <c r="J1" s="12">
        <v>8</v>
      </c>
      <c r="K1" s="12">
        <v>9</v>
      </c>
      <c r="L1" s="12">
        <v>10</v>
      </c>
      <c r="M1" s="12">
        <v>11</v>
      </c>
      <c r="N1" s="12">
        <v>12</v>
      </c>
      <c r="O1" s="12">
        <v>13</v>
      </c>
      <c r="P1" s="12">
        <v>14</v>
      </c>
      <c r="Q1" s="12">
        <v>15</v>
      </c>
      <c r="R1" s="12">
        <v>16</v>
      </c>
      <c r="S1" s="12">
        <v>17</v>
      </c>
      <c r="T1" s="12">
        <v>18</v>
      </c>
      <c r="U1" s="12">
        <v>19</v>
      </c>
      <c r="V1" s="12">
        <v>20</v>
      </c>
      <c r="W1" s="12">
        <v>21</v>
      </c>
      <c r="X1" s="12">
        <v>22</v>
      </c>
      <c r="Y1" s="12">
        <v>23</v>
      </c>
      <c r="Z1" s="12">
        <v>24</v>
      </c>
      <c r="AA1" s="12">
        <v>25</v>
      </c>
      <c r="AB1" s="12">
        <v>26</v>
      </c>
      <c r="AC1" s="12">
        <v>27</v>
      </c>
      <c r="AD1" s="12">
        <v>28</v>
      </c>
      <c r="AE1" s="12">
        <v>29</v>
      </c>
      <c r="AF1" s="12">
        <v>30</v>
      </c>
      <c r="AG1" s="12">
        <v>31</v>
      </c>
      <c r="AH1" s="12">
        <v>32</v>
      </c>
      <c r="AI1" s="12" t="s">
        <v>14</v>
      </c>
    </row>
    <row r="2" spans="1:35">
      <c r="A2" s="2">
        <v>8</v>
      </c>
      <c r="B2" s="6">
        <v>5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6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8</v>
      </c>
      <c r="T2" s="6">
        <v>0</v>
      </c>
      <c r="U2" s="6">
        <v>0</v>
      </c>
      <c r="V2" s="6">
        <v>7</v>
      </c>
      <c r="W2" s="6">
        <v>5</v>
      </c>
      <c r="X2" s="6">
        <v>9</v>
      </c>
      <c r="Y2" s="6">
        <v>0</v>
      </c>
      <c r="Z2" s="6">
        <v>0</v>
      </c>
      <c r="AA2" s="6">
        <v>8</v>
      </c>
      <c r="AB2" s="6">
        <v>0</v>
      </c>
      <c r="AC2" s="6">
        <v>8</v>
      </c>
      <c r="AD2" s="6">
        <v>0</v>
      </c>
      <c r="AE2" s="6">
        <v>6</v>
      </c>
      <c r="AF2" s="6">
        <v>0</v>
      </c>
      <c r="AG2" s="6">
        <v>0</v>
      </c>
      <c r="AH2" s="6">
        <v>9</v>
      </c>
      <c r="AI2" s="6">
        <v>71</v>
      </c>
    </row>
    <row r="3" spans="1:35">
      <c r="A3" s="2">
        <v>16</v>
      </c>
      <c r="B3" s="6">
        <v>1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2</v>
      </c>
      <c r="I3" s="6">
        <v>0</v>
      </c>
      <c r="J3" s="6">
        <v>0</v>
      </c>
      <c r="K3" s="6">
        <v>6</v>
      </c>
      <c r="L3" s="6">
        <v>0</v>
      </c>
      <c r="M3" s="6">
        <v>8</v>
      </c>
      <c r="N3" s="6">
        <v>0</v>
      </c>
      <c r="O3" s="6">
        <v>7</v>
      </c>
      <c r="P3" s="6">
        <v>0</v>
      </c>
      <c r="Q3" s="6">
        <v>10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3</v>
      </c>
      <c r="AA3" s="6">
        <v>0</v>
      </c>
      <c r="AB3" s="6">
        <v>5</v>
      </c>
      <c r="AC3" s="6">
        <v>4</v>
      </c>
      <c r="AD3" s="6">
        <v>0</v>
      </c>
      <c r="AE3" s="6">
        <v>0</v>
      </c>
      <c r="AF3" s="6">
        <v>2</v>
      </c>
      <c r="AG3" s="6">
        <v>0</v>
      </c>
      <c r="AH3" s="6">
        <v>0</v>
      </c>
      <c r="AI3" s="6">
        <v>48</v>
      </c>
    </row>
    <row r="4" spans="1:35">
      <c r="A4" s="2">
        <v>30</v>
      </c>
      <c r="B4" s="6">
        <v>4</v>
      </c>
      <c r="C4" s="6">
        <v>0</v>
      </c>
      <c r="D4" s="6">
        <v>5</v>
      </c>
      <c r="E4" s="6">
        <v>0</v>
      </c>
      <c r="F4" s="6">
        <v>7</v>
      </c>
      <c r="G4" s="6">
        <v>0</v>
      </c>
      <c r="H4" s="6">
        <v>0</v>
      </c>
      <c r="I4" s="6">
        <v>0</v>
      </c>
      <c r="J4" s="6">
        <v>0</v>
      </c>
      <c r="K4" s="6">
        <v>4</v>
      </c>
      <c r="L4" s="6">
        <v>0</v>
      </c>
      <c r="M4" s="6">
        <v>0</v>
      </c>
      <c r="N4" s="6">
        <v>0</v>
      </c>
      <c r="O4" s="6">
        <v>0</v>
      </c>
      <c r="P4" s="6">
        <v>6</v>
      </c>
      <c r="Q4" s="6">
        <v>6</v>
      </c>
      <c r="R4" s="6">
        <v>8</v>
      </c>
      <c r="S4" s="6">
        <v>8</v>
      </c>
      <c r="T4" s="6">
        <v>0</v>
      </c>
      <c r="U4" s="6">
        <v>7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9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64</v>
      </c>
    </row>
    <row r="5" spans="1:35">
      <c r="A5" s="2">
        <v>35</v>
      </c>
      <c r="B5" s="6">
        <v>6</v>
      </c>
      <c r="C5" s="6">
        <v>0</v>
      </c>
      <c r="D5" s="6">
        <v>0</v>
      </c>
      <c r="E5" s="6">
        <v>0</v>
      </c>
      <c r="F5" s="6">
        <v>1</v>
      </c>
      <c r="G5" s="6">
        <v>0</v>
      </c>
      <c r="H5" s="6">
        <v>5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2</v>
      </c>
      <c r="O5" s="6">
        <v>0</v>
      </c>
      <c r="P5" s="6">
        <v>0</v>
      </c>
      <c r="Q5" s="6">
        <v>0</v>
      </c>
      <c r="R5" s="6">
        <v>0</v>
      </c>
      <c r="S5" s="6">
        <v>3</v>
      </c>
      <c r="T5" s="6">
        <v>9</v>
      </c>
      <c r="U5" s="6">
        <v>7</v>
      </c>
      <c r="V5" s="6">
        <v>0</v>
      </c>
      <c r="W5" s="6">
        <v>0</v>
      </c>
      <c r="X5" s="6">
        <v>0</v>
      </c>
      <c r="Y5" s="6">
        <v>2</v>
      </c>
      <c r="Z5" s="6">
        <v>0</v>
      </c>
      <c r="AA5" s="6">
        <v>0</v>
      </c>
      <c r="AB5" s="6">
        <v>2</v>
      </c>
      <c r="AC5" s="6">
        <v>7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44</v>
      </c>
    </row>
    <row r="6" spans="1:35">
      <c r="A6" s="2">
        <v>52</v>
      </c>
      <c r="B6" s="6">
        <v>5</v>
      </c>
      <c r="C6" s="6">
        <v>0</v>
      </c>
      <c r="D6" s="6">
        <v>0</v>
      </c>
      <c r="E6" s="6">
        <v>2</v>
      </c>
      <c r="F6" s="6">
        <v>0</v>
      </c>
      <c r="G6" s="6">
        <v>2</v>
      </c>
      <c r="H6" s="6">
        <v>0</v>
      </c>
      <c r="I6" s="6">
        <v>0</v>
      </c>
      <c r="J6" s="6">
        <v>1</v>
      </c>
      <c r="K6" s="6">
        <v>0</v>
      </c>
      <c r="L6" s="6">
        <v>0</v>
      </c>
      <c r="M6" s="6">
        <v>0</v>
      </c>
      <c r="N6" s="6">
        <v>0</v>
      </c>
      <c r="O6" s="6">
        <v>4</v>
      </c>
      <c r="P6" s="6">
        <v>0</v>
      </c>
      <c r="Q6" s="6">
        <v>5</v>
      </c>
      <c r="R6" s="6">
        <v>0</v>
      </c>
      <c r="S6" s="6">
        <v>0</v>
      </c>
      <c r="T6" s="6">
        <v>0</v>
      </c>
      <c r="U6" s="6">
        <v>0</v>
      </c>
      <c r="V6" s="6">
        <v>10</v>
      </c>
      <c r="W6" s="6">
        <v>0</v>
      </c>
      <c r="X6" s="6">
        <v>0</v>
      </c>
      <c r="Y6" s="6">
        <v>0</v>
      </c>
      <c r="Z6" s="6">
        <v>5</v>
      </c>
      <c r="AA6" s="6">
        <v>0</v>
      </c>
      <c r="AB6" s="6">
        <v>8</v>
      </c>
      <c r="AC6" s="6">
        <v>6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48</v>
      </c>
    </row>
    <row r="7" spans="1:35">
      <c r="A7" s="2">
        <v>98</v>
      </c>
      <c r="B7" s="6">
        <v>10</v>
      </c>
      <c r="C7" s="6">
        <v>0</v>
      </c>
      <c r="D7" s="6">
        <v>9</v>
      </c>
      <c r="E7" s="6">
        <v>0</v>
      </c>
      <c r="F7" s="6">
        <v>0</v>
      </c>
      <c r="G7" s="6">
        <v>0</v>
      </c>
      <c r="H7" s="6">
        <v>0</v>
      </c>
      <c r="I7" s="6">
        <v>8</v>
      </c>
      <c r="J7" s="6">
        <v>9</v>
      </c>
      <c r="K7" s="6">
        <v>8</v>
      </c>
      <c r="L7" s="6">
        <v>9</v>
      </c>
      <c r="M7" s="6">
        <v>0</v>
      </c>
      <c r="N7" s="6">
        <v>9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7</v>
      </c>
      <c r="W7" s="6">
        <v>0</v>
      </c>
      <c r="X7" s="6">
        <v>0</v>
      </c>
      <c r="Y7" s="6">
        <v>0</v>
      </c>
      <c r="Z7" s="6">
        <v>8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6</v>
      </c>
      <c r="AI7" s="6">
        <v>83</v>
      </c>
    </row>
    <row r="8" spans="1:35">
      <c r="A8" s="2">
        <v>145</v>
      </c>
      <c r="B8" s="6">
        <v>8</v>
      </c>
      <c r="C8" s="6">
        <v>0</v>
      </c>
      <c r="D8" s="6">
        <v>0</v>
      </c>
      <c r="E8" s="6">
        <v>0</v>
      </c>
      <c r="F8" s="6">
        <v>0</v>
      </c>
      <c r="G8" s="6">
        <v>8</v>
      </c>
      <c r="H8" s="6">
        <v>0</v>
      </c>
      <c r="I8" s="6">
        <v>0</v>
      </c>
      <c r="J8" s="6">
        <v>0</v>
      </c>
      <c r="K8" s="6">
        <v>0</v>
      </c>
      <c r="L8" s="6">
        <v>8</v>
      </c>
      <c r="M8" s="6">
        <v>0</v>
      </c>
      <c r="N8" s="6">
        <v>0</v>
      </c>
      <c r="O8" s="6">
        <v>0</v>
      </c>
      <c r="P8" s="6">
        <v>0</v>
      </c>
      <c r="Q8" s="6">
        <v>8</v>
      </c>
      <c r="R8" s="6">
        <v>0</v>
      </c>
      <c r="S8" s="6">
        <v>0</v>
      </c>
      <c r="T8" s="6">
        <v>0</v>
      </c>
      <c r="U8" s="6">
        <v>7</v>
      </c>
      <c r="V8" s="6">
        <v>0</v>
      </c>
      <c r="W8" s="6">
        <v>0</v>
      </c>
      <c r="X8" s="6">
        <v>0</v>
      </c>
      <c r="Y8" s="6">
        <v>0</v>
      </c>
      <c r="Z8" s="6">
        <v>7</v>
      </c>
      <c r="AA8" s="6">
        <v>0</v>
      </c>
      <c r="AB8" s="6">
        <v>7</v>
      </c>
      <c r="AC8" s="6">
        <v>0</v>
      </c>
      <c r="AD8" s="6">
        <v>6</v>
      </c>
      <c r="AE8" s="6">
        <v>7</v>
      </c>
      <c r="AF8" s="6">
        <v>7</v>
      </c>
      <c r="AG8" s="6">
        <v>0</v>
      </c>
      <c r="AH8" s="6">
        <v>0</v>
      </c>
      <c r="AI8" s="6">
        <v>73</v>
      </c>
    </row>
    <row r="9" spans="1:35">
      <c r="A9" s="2">
        <v>148</v>
      </c>
      <c r="B9" s="6">
        <v>10</v>
      </c>
      <c r="C9" s="6">
        <v>10</v>
      </c>
      <c r="D9" s="6">
        <v>10</v>
      </c>
      <c r="E9" s="6">
        <v>10</v>
      </c>
      <c r="F9" s="6">
        <v>0</v>
      </c>
      <c r="G9" s="6">
        <v>4</v>
      </c>
      <c r="H9" s="6">
        <v>4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2</v>
      </c>
      <c r="S9" s="6">
        <v>0</v>
      </c>
      <c r="T9" s="6">
        <v>2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5</v>
      </c>
      <c r="AA9" s="6">
        <v>0</v>
      </c>
      <c r="AB9" s="6">
        <v>5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62</v>
      </c>
    </row>
    <row r="10" spans="1:35">
      <c r="A10" s="2">
        <v>162</v>
      </c>
      <c r="B10" s="6">
        <v>7</v>
      </c>
      <c r="C10" s="6">
        <v>0</v>
      </c>
      <c r="D10" s="6">
        <v>0</v>
      </c>
      <c r="E10" s="6">
        <v>8</v>
      </c>
      <c r="F10" s="6">
        <v>6</v>
      </c>
      <c r="G10" s="6">
        <v>8</v>
      </c>
      <c r="H10" s="6">
        <v>0</v>
      </c>
      <c r="I10" s="6">
        <v>0</v>
      </c>
      <c r="J10" s="6">
        <v>9</v>
      </c>
      <c r="K10" s="6">
        <v>0</v>
      </c>
      <c r="L10" s="6">
        <v>6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8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8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9</v>
      </c>
      <c r="AG10" s="6">
        <v>0</v>
      </c>
      <c r="AH10" s="6">
        <v>7</v>
      </c>
      <c r="AI10" s="6">
        <v>76</v>
      </c>
    </row>
    <row r="11" spans="1:35">
      <c r="A11" s="2">
        <v>178</v>
      </c>
      <c r="B11" s="6">
        <v>9</v>
      </c>
      <c r="C11" s="6">
        <v>10</v>
      </c>
      <c r="D11" s="6">
        <v>0</v>
      </c>
      <c r="E11" s="6">
        <v>0</v>
      </c>
      <c r="F11" s="6">
        <v>10</v>
      </c>
      <c r="G11" s="6">
        <v>0</v>
      </c>
      <c r="H11" s="6">
        <v>0</v>
      </c>
      <c r="I11" s="6">
        <v>10</v>
      </c>
      <c r="J11" s="6">
        <v>0</v>
      </c>
      <c r="K11" s="6">
        <v>0</v>
      </c>
      <c r="L11" s="6">
        <v>9</v>
      </c>
      <c r="M11" s="6">
        <v>0</v>
      </c>
      <c r="N11" s="6">
        <v>8</v>
      </c>
      <c r="O11" s="6">
        <v>0</v>
      </c>
      <c r="P11" s="6">
        <v>5</v>
      </c>
      <c r="Q11" s="6">
        <v>10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9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6</v>
      </c>
      <c r="AI11" s="6">
        <v>86</v>
      </c>
    </row>
    <row r="12" spans="1:35">
      <c r="A12" s="2">
        <v>204</v>
      </c>
      <c r="B12" s="6">
        <v>9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7</v>
      </c>
      <c r="J12" s="6">
        <v>0</v>
      </c>
      <c r="K12" s="6">
        <v>0</v>
      </c>
      <c r="L12" s="6">
        <v>0</v>
      </c>
      <c r="M12" s="6">
        <v>0</v>
      </c>
      <c r="N12" s="6">
        <v>8</v>
      </c>
      <c r="O12" s="6">
        <v>0</v>
      </c>
      <c r="P12" s="6">
        <v>0</v>
      </c>
      <c r="Q12" s="6">
        <v>6</v>
      </c>
      <c r="R12" s="6">
        <v>0</v>
      </c>
      <c r="S12" s="6">
        <v>0</v>
      </c>
      <c r="T12" s="6">
        <v>8</v>
      </c>
      <c r="U12" s="6">
        <v>6</v>
      </c>
      <c r="V12" s="6">
        <v>0</v>
      </c>
      <c r="W12" s="6">
        <v>0</v>
      </c>
      <c r="X12" s="6">
        <v>0</v>
      </c>
      <c r="Y12" s="6">
        <v>0</v>
      </c>
      <c r="Z12" s="6">
        <v>5</v>
      </c>
      <c r="AA12" s="6">
        <v>9</v>
      </c>
      <c r="AB12" s="6">
        <v>0</v>
      </c>
      <c r="AC12" s="6">
        <v>0</v>
      </c>
      <c r="AD12" s="6">
        <v>0</v>
      </c>
      <c r="AE12" s="6">
        <v>0</v>
      </c>
      <c r="AF12" s="6">
        <v>3</v>
      </c>
      <c r="AG12" s="6">
        <v>0</v>
      </c>
      <c r="AH12" s="6">
        <v>3</v>
      </c>
      <c r="AI12" s="6">
        <v>64</v>
      </c>
    </row>
    <row r="13" spans="1:35">
      <c r="A13" s="2">
        <v>208</v>
      </c>
      <c r="B13" s="6">
        <v>7</v>
      </c>
      <c r="C13" s="6">
        <v>0</v>
      </c>
      <c r="D13" s="6">
        <v>8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8</v>
      </c>
      <c r="O13" s="6">
        <v>10</v>
      </c>
      <c r="P13" s="6">
        <v>0</v>
      </c>
      <c r="Q13" s="6">
        <v>0</v>
      </c>
      <c r="R13" s="6">
        <v>8</v>
      </c>
      <c r="S13" s="6">
        <v>8</v>
      </c>
      <c r="T13" s="6">
        <v>10</v>
      </c>
      <c r="U13" s="6">
        <v>0</v>
      </c>
      <c r="V13" s="6">
        <v>0</v>
      </c>
      <c r="W13" s="6">
        <v>0</v>
      </c>
      <c r="X13" s="6">
        <v>7</v>
      </c>
      <c r="Y13" s="6">
        <v>0</v>
      </c>
      <c r="Z13" s="6">
        <v>0</v>
      </c>
      <c r="AA13" s="6">
        <v>0</v>
      </c>
      <c r="AB13" s="6">
        <v>0</v>
      </c>
      <c r="AC13" s="6">
        <v>7</v>
      </c>
      <c r="AD13" s="6">
        <v>0</v>
      </c>
      <c r="AE13" s="6">
        <v>0</v>
      </c>
      <c r="AF13" s="6">
        <v>8</v>
      </c>
      <c r="AG13" s="6">
        <v>0</v>
      </c>
      <c r="AH13" s="6">
        <v>0</v>
      </c>
      <c r="AI13" s="6">
        <v>81</v>
      </c>
    </row>
    <row r="14" spans="1:35">
      <c r="A14" s="2">
        <v>215</v>
      </c>
      <c r="B14" s="6">
        <v>9</v>
      </c>
      <c r="C14" s="6">
        <v>0</v>
      </c>
      <c r="D14" s="6">
        <v>0</v>
      </c>
      <c r="E14" s="6">
        <v>7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7</v>
      </c>
      <c r="L14" s="6">
        <v>7</v>
      </c>
      <c r="M14" s="6">
        <v>0</v>
      </c>
      <c r="N14" s="6">
        <v>8</v>
      </c>
      <c r="O14" s="6">
        <v>0</v>
      </c>
      <c r="P14" s="6">
        <v>0</v>
      </c>
      <c r="Q14" s="6">
        <v>7</v>
      </c>
      <c r="R14" s="6">
        <v>0</v>
      </c>
      <c r="S14" s="6">
        <v>8</v>
      </c>
      <c r="T14" s="6">
        <v>7</v>
      </c>
      <c r="U14" s="6">
        <v>0</v>
      </c>
      <c r="V14" s="6">
        <v>0</v>
      </c>
      <c r="W14" s="6">
        <v>0</v>
      </c>
      <c r="X14" s="6">
        <v>0</v>
      </c>
      <c r="Y14" s="6">
        <v>8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6</v>
      </c>
      <c r="AI14" s="6">
        <v>74</v>
      </c>
    </row>
    <row r="15" spans="1:35">
      <c r="A15" s="2">
        <v>226</v>
      </c>
      <c r="B15" s="6">
        <v>10</v>
      </c>
      <c r="C15" s="6">
        <v>9</v>
      </c>
      <c r="D15" s="6">
        <v>0</v>
      </c>
      <c r="E15" s="6">
        <v>0</v>
      </c>
      <c r="F15" s="6">
        <v>0</v>
      </c>
      <c r="G15" s="6">
        <v>9</v>
      </c>
      <c r="H15" s="6">
        <v>0</v>
      </c>
      <c r="I15" s="6">
        <v>0</v>
      </c>
      <c r="J15" s="6">
        <v>7</v>
      </c>
      <c r="K15" s="6">
        <v>0</v>
      </c>
      <c r="L15" s="6">
        <v>0</v>
      </c>
      <c r="M15" s="6">
        <v>0</v>
      </c>
      <c r="N15" s="6">
        <v>8</v>
      </c>
      <c r="O15" s="6">
        <v>0</v>
      </c>
      <c r="P15" s="6">
        <v>0</v>
      </c>
      <c r="Q15" s="6">
        <v>9</v>
      </c>
      <c r="R15" s="6">
        <v>0</v>
      </c>
      <c r="S15" s="6">
        <v>0</v>
      </c>
      <c r="T15" s="6">
        <v>10</v>
      </c>
      <c r="U15" s="6">
        <v>0</v>
      </c>
      <c r="V15" s="6">
        <v>0</v>
      </c>
      <c r="W15" s="6">
        <v>0</v>
      </c>
      <c r="X15" s="6">
        <v>10</v>
      </c>
      <c r="Y15" s="6">
        <v>0</v>
      </c>
      <c r="Z15" s="6">
        <v>8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7</v>
      </c>
      <c r="AI15" s="6">
        <v>87</v>
      </c>
    </row>
    <row r="16" spans="1:35">
      <c r="A16" s="2">
        <v>227</v>
      </c>
      <c r="B16" s="6">
        <v>8</v>
      </c>
      <c r="C16" s="6">
        <v>0</v>
      </c>
      <c r="D16" s="6">
        <v>7</v>
      </c>
      <c r="E16" s="6">
        <v>10</v>
      </c>
      <c r="F16" s="6">
        <v>0</v>
      </c>
      <c r="G16" s="6">
        <v>0</v>
      </c>
      <c r="H16" s="6">
        <v>8</v>
      </c>
      <c r="I16" s="6">
        <v>0</v>
      </c>
      <c r="J16" s="6">
        <v>7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7</v>
      </c>
      <c r="Q16" s="6">
        <v>0</v>
      </c>
      <c r="R16" s="6">
        <v>6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7</v>
      </c>
      <c r="Z16" s="6">
        <v>10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9</v>
      </c>
      <c r="AH16" s="6">
        <v>0</v>
      </c>
      <c r="AI16" s="6">
        <v>79</v>
      </c>
    </row>
    <row r="17" spans="1:35">
      <c r="A17" s="2">
        <v>235</v>
      </c>
      <c r="B17" s="6">
        <v>10</v>
      </c>
      <c r="C17" s="6">
        <v>10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8</v>
      </c>
      <c r="K17" s="6">
        <v>8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7</v>
      </c>
      <c r="S17" s="6">
        <v>0</v>
      </c>
      <c r="T17" s="6">
        <v>10</v>
      </c>
      <c r="U17" s="6">
        <v>0</v>
      </c>
      <c r="V17" s="6">
        <v>0</v>
      </c>
      <c r="W17" s="6">
        <v>0</v>
      </c>
      <c r="X17" s="6">
        <v>0</v>
      </c>
      <c r="Y17" s="6">
        <v>8</v>
      </c>
      <c r="Z17" s="6">
        <v>0</v>
      </c>
      <c r="AA17" s="6">
        <v>9</v>
      </c>
      <c r="AB17" s="6">
        <v>0</v>
      </c>
      <c r="AC17" s="6">
        <v>10</v>
      </c>
      <c r="AD17" s="6">
        <v>0</v>
      </c>
      <c r="AE17" s="6">
        <v>0</v>
      </c>
      <c r="AF17" s="6">
        <v>6</v>
      </c>
      <c r="AG17" s="6">
        <v>0</v>
      </c>
      <c r="AH17" s="6">
        <v>0</v>
      </c>
      <c r="AI17" s="6">
        <v>86</v>
      </c>
    </row>
    <row r="18" spans="1:35">
      <c r="A18" s="2">
        <v>244</v>
      </c>
      <c r="B18" s="6">
        <v>9</v>
      </c>
      <c r="C18" s="6">
        <v>0</v>
      </c>
      <c r="D18" s="6">
        <v>0</v>
      </c>
      <c r="E18" s="6">
        <v>0</v>
      </c>
      <c r="F18" s="6">
        <v>0</v>
      </c>
      <c r="G18" s="6">
        <v>8</v>
      </c>
      <c r="H18" s="6">
        <v>0</v>
      </c>
      <c r="I18" s="6">
        <v>0</v>
      </c>
      <c r="J18" s="6">
        <v>0</v>
      </c>
      <c r="K18" s="6">
        <v>9</v>
      </c>
      <c r="L18" s="6">
        <v>0</v>
      </c>
      <c r="M18" s="6">
        <v>0</v>
      </c>
      <c r="N18" s="6">
        <v>9</v>
      </c>
      <c r="O18" s="6">
        <v>0</v>
      </c>
      <c r="P18" s="6">
        <v>0</v>
      </c>
      <c r="Q18" s="6">
        <v>0</v>
      </c>
      <c r="R18" s="6">
        <v>0</v>
      </c>
      <c r="S18" s="6">
        <v>8</v>
      </c>
      <c r="T18" s="6">
        <v>0</v>
      </c>
      <c r="U18" s="6">
        <v>9</v>
      </c>
      <c r="V18" s="6">
        <v>9</v>
      </c>
      <c r="W18" s="6">
        <v>0</v>
      </c>
      <c r="X18" s="6">
        <v>0</v>
      </c>
      <c r="Y18" s="6">
        <v>0</v>
      </c>
      <c r="Z18" s="6">
        <v>9</v>
      </c>
      <c r="AA18" s="6">
        <v>9</v>
      </c>
      <c r="AB18" s="6">
        <v>0</v>
      </c>
      <c r="AC18" s="6">
        <v>0</v>
      </c>
      <c r="AD18" s="6">
        <v>0</v>
      </c>
      <c r="AE18" s="6">
        <v>8</v>
      </c>
      <c r="AF18" s="6">
        <v>0</v>
      </c>
      <c r="AG18" s="6">
        <v>0</v>
      </c>
      <c r="AH18" s="6">
        <v>0</v>
      </c>
      <c r="AI18" s="6">
        <v>87</v>
      </c>
    </row>
    <row r="19" spans="1:35">
      <c r="A19" s="2">
        <v>246</v>
      </c>
      <c r="B19" s="6">
        <v>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6</v>
      </c>
      <c r="I19" s="6">
        <v>2</v>
      </c>
      <c r="J19" s="6">
        <v>3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7</v>
      </c>
      <c r="T19" s="6">
        <v>0</v>
      </c>
      <c r="U19" s="6">
        <v>0</v>
      </c>
      <c r="V19" s="6">
        <v>8</v>
      </c>
      <c r="W19" s="6">
        <v>0</v>
      </c>
      <c r="X19" s="6">
        <v>0</v>
      </c>
      <c r="Y19" s="6">
        <v>9</v>
      </c>
      <c r="Z19" s="6">
        <v>0</v>
      </c>
      <c r="AA19" s="6">
        <v>0</v>
      </c>
      <c r="AB19" s="6">
        <v>0</v>
      </c>
      <c r="AC19" s="6">
        <v>0</v>
      </c>
      <c r="AD19" s="6">
        <v>6</v>
      </c>
      <c r="AE19" s="6">
        <v>3</v>
      </c>
      <c r="AF19" s="6">
        <v>1</v>
      </c>
      <c r="AG19" s="6">
        <v>0</v>
      </c>
      <c r="AH19" s="6">
        <v>0</v>
      </c>
      <c r="AI19" s="6">
        <v>53</v>
      </c>
    </row>
    <row r="20" spans="1:35">
      <c r="A20" s="2">
        <v>253</v>
      </c>
      <c r="B20" s="6">
        <v>8</v>
      </c>
      <c r="C20" s="6">
        <v>0</v>
      </c>
      <c r="D20" s="6">
        <v>0</v>
      </c>
      <c r="E20" s="6">
        <v>4</v>
      </c>
      <c r="F20" s="6">
        <v>8</v>
      </c>
      <c r="G20" s="6">
        <v>0</v>
      </c>
      <c r="H20" s="6">
        <v>0</v>
      </c>
      <c r="I20" s="6">
        <v>8</v>
      </c>
      <c r="J20" s="6">
        <v>6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9</v>
      </c>
      <c r="R20" s="6">
        <v>9</v>
      </c>
      <c r="S20" s="6">
        <v>0</v>
      </c>
      <c r="T20" s="6">
        <v>0</v>
      </c>
      <c r="U20" s="6">
        <v>0</v>
      </c>
      <c r="V20" s="6">
        <v>0</v>
      </c>
      <c r="W20" s="6">
        <v>7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7</v>
      </c>
      <c r="AE20" s="6">
        <v>0</v>
      </c>
      <c r="AF20" s="6">
        <v>6</v>
      </c>
      <c r="AG20" s="6">
        <v>0</v>
      </c>
      <c r="AH20" s="6">
        <v>0</v>
      </c>
      <c r="AI20" s="6">
        <v>72</v>
      </c>
    </row>
    <row r="21" spans="1:35">
      <c r="A21" s="2">
        <v>257</v>
      </c>
      <c r="B21" s="6">
        <v>7</v>
      </c>
      <c r="C21" s="6">
        <v>0</v>
      </c>
      <c r="D21" s="6">
        <v>6</v>
      </c>
      <c r="E21" s="6">
        <v>0</v>
      </c>
      <c r="F21" s="6">
        <v>8</v>
      </c>
      <c r="G21" s="6">
        <v>0</v>
      </c>
      <c r="H21" s="6">
        <v>0</v>
      </c>
      <c r="I21" s="6">
        <v>0</v>
      </c>
      <c r="J21" s="6">
        <v>5</v>
      </c>
      <c r="K21" s="6">
        <v>0</v>
      </c>
      <c r="L21" s="6">
        <v>0</v>
      </c>
      <c r="M21" s="6">
        <v>0</v>
      </c>
      <c r="N21" s="6">
        <v>7</v>
      </c>
      <c r="O21" s="6">
        <v>0</v>
      </c>
      <c r="P21" s="6">
        <v>0</v>
      </c>
      <c r="Q21" s="6">
        <v>0</v>
      </c>
      <c r="R21" s="6">
        <v>0</v>
      </c>
      <c r="S21" s="6">
        <v>9</v>
      </c>
      <c r="T21" s="6">
        <v>0</v>
      </c>
      <c r="U21" s="6">
        <v>0</v>
      </c>
      <c r="V21" s="6">
        <v>8</v>
      </c>
      <c r="W21" s="6">
        <v>0</v>
      </c>
      <c r="X21" s="6">
        <v>0</v>
      </c>
      <c r="Y21" s="6">
        <v>0</v>
      </c>
      <c r="Z21" s="6">
        <v>0</v>
      </c>
      <c r="AA21" s="6">
        <v>8</v>
      </c>
      <c r="AB21" s="6">
        <v>0</v>
      </c>
      <c r="AC21" s="6">
        <v>0</v>
      </c>
      <c r="AD21" s="6">
        <v>0</v>
      </c>
      <c r="AE21" s="6">
        <v>7</v>
      </c>
      <c r="AF21" s="6">
        <v>5</v>
      </c>
      <c r="AG21" s="6">
        <v>0</v>
      </c>
      <c r="AH21" s="6">
        <v>0</v>
      </c>
      <c r="AI21" s="6">
        <v>70</v>
      </c>
    </row>
    <row r="22" spans="1:35">
      <c r="B22" t="s">
        <v>193</v>
      </c>
      <c r="C22">
        <f>CORREL($B$2:$B$21,C2:C21)</f>
        <v>0.48898899440664012</v>
      </c>
      <c r="D22">
        <f t="shared" ref="D22:AH22" si="0">CORREL($B$2:$B$21,D2:D21)</f>
        <v>0.16234846956115179</v>
      </c>
      <c r="E22">
        <f t="shared" si="0"/>
        <v>0.20720207114114156</v>
      </c>
      <c r="F22">
        <f t="shared" si="0"/>
        <v>-8.9315216940944492E-2</v>
      </c>
      <c r="G22">
        <f t="shared" si="0"/>
        <v>0.26171138685454332</v>
      </c>
      <c r="H22">
        <f t="shared" si="0"/>
        <v>-3.2025630761017429E-2</v>
      </c>
      <c r="I22">
        <f t="shared" si="0"/>
        <v>0.33245455428155801</v>
      </c>
      <c r="J22">
        <f t="shared" si="0"/>
        <v>0.36566964013202646</v>
      </c>
      <c r="K22">
        <f t="shared" si="0"/>
        <v>7.2080412727191331E-2</v>
      </c>
      <c r="L22">
        <f t="shared" si="0"/>
        <v>0.30242050579334734</v>
      </c>
      <c r="M22">
        <f t="shared" si="0"/>
        <v>-0.68845710199710697</v>
      </c>
      <c r="N22">
        <f t="shared" si="0"/>
        <v>0.45133310759605583</v>
      </c>
      <c r="O22">
        <f t="shared" si="0"/>
        <v>-0.49381996604370482</v>
      </c>
      <c r="P22">
        <f t="shared" si="0"/>
        <v>-0.10076365940837116</v>
      </c>
      <c r="Q22">
        <f t="shared" si="0"/>
        <v>-0.17809241125400246</v>
      </c>
      <c r="R22">
        <f t="shared" si="0"/>
        <v>-1.3219258625278864E-2</v>
      </c>
      <c r="S22">
        <f t="shared" si="0"/>
        <v>-0.21180103617386931</v>
      </c>
      <c r="T22">
        <f t="shared" si="0"/>
        <v>0.31171151853369106</v>
      </c>
      <c r="U22">
        <f t="shared" si="0"/>
        <v>-6.2230486023376656E-2</v>
      </c>
      <c r="V22">
        <f t="shared" si="0"/>
        <v>-6.6252165226432305E-2</v>
      </c>
      <c r="W22">
        <f t="shared" si="0"/>
        <v>-0.10746316535266094</v>
      </c>
      <c r="X22">
        <f t="shared" si="0"/>
        <v>7.7190279774545623E-2</v>
      </c>
      <c r="Y22">
        <f t="shared" si="0"/>
        <v>0.25268485090922421</v>
      </c>
      <c r="Z22">
        <f t="shared" si="0"/>
        <v>0.27080383974923478</v>
      </c>
      <c r="AA22">
        <f t="shared" si="0"/>
        <v>0.14910559822318531</v>
      </c>
      <c r="AB22">
        <f t="shared" si="0"/>
        <v>-0.51191866491103855</v>
      </c>
      <c r="AC22">
        <f t="shared" si="0"/>
        <v>-0.32472325076971448</v>
      </c>
      <c r="AD22">
        <f t="shared" si="0"/>
        <v>9.1372557369012952E-2</v>
      </c>
      <c r="AE22">
        <f t="shared" si="0"/>
        <v>-1.1610912263995904E-2</v>
      </c>
      <c r="AF22">
        <f t="shared" si="0"/>
        <v>1.7491608227519825E-2</v>
      </c>
      <c r="AG22">
        <f t="shared" si="0"/>
        <v>5.0062617432175903E-2</v>
      </c>
      <c r="AH22">
        <f t="shared" si="0"/>
        <v>0.20052045496421372</v>
      </c>
    </row>
    <row r="23" spans="1:35">
      <c r="B23" t="s">
        <v>194</v>
      </c>
      <c r="C23">
        <f>RANK(C22,$C$22:$AH$22)</f>
        <v>1</v>
      </c>
      <c r="D23">
        <f t="shared" ref="D23:AH23" si="1">RANK(D22,$C$22:$AH$22)</f>
        <v>12</v>
      </c>
      <c r="E23">
        <f t="shared" si="1"/>
        <v>10</v>
      </c>
      <c r="F23">
        <f t="shared" si="1"/>
        <v>24</v>
      </c>
      <c r="G23">
        <f t="shared" si="1"/>
        <v>8</v>
      </c>
      <c r="H23">
        <f t="shared" si="1"/>
        <v>21</v>
      </c>
      <c r="I23">
        <f t="shared" si="1"/>
        <v>4</v>
      </c>
      <c r="J23">
        <f t="shared" si="1"/>
        <v>3</v>
      </c>
      <c r="K23">
        <f t="shared" si="1"/>
        <v>16</v>
      </c>
      <c r="L23">
        <f t="shared" si="1"/>
        <v>6</v>
      </c>
      <c r="M23">
        <f t="shared" si="1"/>
        <v>32</v>
      </c>
      <c r="N23">
        <f t="shared" si="1"/>
        <v>2</v>
      </c>
      <c r="O23">
        <f t="shared" si="1"/>
        <v>30</v>
      </c>
      <c r="P23">
        <f t="shared" si="1"/>
        <v>25</v>
      </c>
      <c r="Q23">
        <f t="shared" si="1"/>
        <v>27</v>
      </c>
      <c r="R23">
        <f t="shared" si="1"/>
        <v>20</v>
      </c>
      <c r="S23">
        <f t="shared" si="1"/>
        <v>28</v>
      </c>
      <c r="T23">
        <f t="shared" si="1"/>
        <v>5</v>
      </c>
      <c r="U23">
        <f t="shared" si="1"/>
        <v>22</v>
      </c>
      <c r="V23">
        <f t="shared" si="1"/>
        <v>23</v>
      </c>
      <c r="W23">
        <f t="shared" si="1"/>
        <v>26</v>
      </c>
      <c r="X23">
        <f t="shared" si="1"/>
        <v>15</v>
      </c>
      <c r="Y23">
        <f t="shared" si="1"/>
        <v>9</v>
      </c>
      <c r="Z23">
        <f t="shared" si="1"/>
        <v>7</v>
      </c>
      <c r="AA23">
        <f t="shared" si="1"/>
        <v>13</v>
      </c>
      <c r="AB23">
        <f t="shared" si="1"/>
        <v>31</v>
      </c>
      <c r="AC23">
        <f t="shared" si="1"/>
        <v>29</v>
      </c>
      <c r="AD23">
        <f t="shared" si="1"/>
        <v>14</v>
      </c>
      <c r="AE23">
        <f t="shared" si="1"/>
        <v>19</v>
      </c>
      <c r="AF23">
        <f t="shared" si="1"/>
        <v>18</v>
      </c>
      <c r="AG23">
        <f t="shared" si="1"/>
        <v>17</v>
      </c>
      <c r="AH23">
        <f t="shared" si="1"/>
        <v>11</v>
      </c>
    </row>
  </sheetData>
  <autoFilter ref="A1:AI21" xr:uid="{A220282D-0A4D-9F4C-B7B3-6FAE489385A8}"/>
  <phoneticPr fontId="3" type="noConversion"/>
  <conditionalFormatting sqref="B2:B2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2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2:N2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C2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ignoredErrors>
    <ignoredError sqref="C22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F3B8-9CDF-FF4A-81CE-09C6A84AA3B7}">
  <dimension ref="A1:C991"/>
  <sheetViews>
    <sheetView workbookViewId="0">
      <selection activeCell="B37" sqref="B37"/>
    </sheetView>
  </sheetViews>
  <sheetFormatPr baseColWidth="10" defaultColWidth="8.83203125" defaultRowHeight="17"/>
  <cols>
    <col min="1" max="1" width="8" bestFit="1" customWidth="1"/>
    <col min="2" max="2" width="12.6640625" bestFit="1" customWidth="1"/>
    <col min="3" max="3" width="7" bestFit="1" customWidth="1"/>
  </cols>
  <sheetData>
    <row r="1" spans="1:3">
      <c r="A1" t="s">
        <v>191</v>
      </c>
      <c r="B1" t="s">
        <v>127</v>
      </c>
      <c r="C1" t="s">
        <v>192</v>
      </c>
    </row>
    <row r="2" spans="1:3">
      <c r="A2">
        <v>0</v>
      </c>
      <c r="B2">
        <v>30</v>
      </c>
      <c r="C2">
        <v>1</v>
      </c>
    </row>
    <row r="3" spans="1:3">
      <c r="A3">
        <v>0</v>
      </c>
      <c r="B3">
        <v>5</v>
      </c>
      <c r="C3">
        <v>3</v>
      </c>
    </row>
    <row r="4" spans="1:3">
      <c r="A4">
        <v>0</v>
      </c>
      <c r="B4">
        <v>10</v>
      </c>
      <c r="C4">
        <v>9</v>
      </c>
    </row>
    <row r="5" spans="1:3">
      <c r="A5">
        <v>0</v>
      </c>
      <c r="B5">
        <v>9</v>
      </c>
      <c r="C5">
        <v>3</v>
      </c>
    </row>
    <row r="6" spans="1:3">
      <c r="A6">
        <v>0</v>
      </c>
      <c r="B6">
        <v>23</v>
      </c>
      <c r="C6">
        <v>2</v>
      </c>
    </row>
    <row r="7" spans="1:3">
      <c r="A7">
        <v>0</v>
      </c>
      <c r="B7">
        <v>8</v>
      </c>
      <c r="C7">
        <v>2</v>
      </c>
    </row>
    <row r="8" spans="1:3">
      <c r="A8">
        <v>0</v>
      </c>
      <c r="B8">
        <v>22</v>
      </c>
      <c r="C8">
        <v>1</v>
      </c>
    </row>
    <row r="9" spans="1:3">
      <c r="A9">
        <v>0</v>
      </c>
      <c r="B9">
        <v>16</v>
      </c>
      <c r="C9">
        <v>2</v>
      </c>
    </row>
    <row r="10" spans="1:3">
      <c r="A10">
        <v>0</v>
      </c>
      <c r="B10">
        <v>19</v>
      </c>
      <c r="C10">
        <v>1</v>
      </c>
    </row>
    <row r="11" spans="1:3">
      <c r="A11">
        <v>0</v>
      </c>
      <c r="B11">
        <v>3</v>
      </c>
      <c r="C11">
        <v>10</v>
      </c>
    </row>
    <row r="12" spans="1:3">
      <c r="A12">
        <v>1</v>
      </c>
      <c r="B12">
        <v>7</v>
      </c>
      <c r="C12">
        <v>8</v>
      </c>
    </row>
    <row r="13" spans="1:3">
      <c r="A13">
        <v>1</v>
      </c>
      <c r="B13">
        <v>31</v>
      </c>
      <c r="C13">
        <v>7</v>
      </c>
    </row>
    <row r="14" spans="1:3">
      <c r="A14">
        <v>1</v>
      </c>
      <c r="B14">
        <v>18</v>
      </c>
      <c r="C14">
        <v>5</v>
      </c>
    </row>
    <row r="15" spans="1:3">
      <c r="A15">
        <v>1</v>
      </c>
      <c r="B15">
        <v>3</v>
      </c>
      <c r="C15">
        <v>10</v>
      </c>
    </row>
    <row r="16" spans="1:3">
      <c r="A16">
        <v>1</v>
      </c>
      <c r="B16">
        <v>32</v>
      </c>
      <c r="C16">
        <v>6</v>
      </c>
    </row>
    <row r="17" spans="1:3">
      <c r="A17">
        <v>1</v>
      </c>
      <c r="B17">
        <v>28</v>
      </c>
      <c r="C17">
        <v>8</v>
      </c>
    </row>
    <row r="18" spans="1:3">
      <c r="A18">
        <v>1</v>
      </c>
      <c r="B18">
        <v>16</v>
      </c>
      <c r="C18">
        <v>7</v>
      </c>
    </row>
    <row r="19" spans="1:3">
      <c r="A19">
        <v>1</v>
      </c>
      <c r="B19">
        <v>15</v>
      </c>
      <c r="C19">
        <v>8</v>
      </c>
    </row>
    <row r="20" spans="1:3">
      <c r="A20">
        <v>1</v>
      </c>
      <c r="B20">
        <v>4</v>
      </c>
      <c r="C20">
        <v>7</v>
      </c>
    </row>
    <row r="21" spans="1:3">
      <c r="A21">
        <v>1</v>
      </c>
      <c r="B21">
        <v>8</v>
      </c>
      <c r="C21">
        <v>8</v>
      </c>
    </row>
    <row r="22" spans="1:3">
      <c r="A22">
        <v>6</v>
      </c>
      <c r="B22">
        <v>13</v>
      </c>
      <c r="C22">
        <v>5</v>
      </c>
    </row>
    <row r="23" spans="1:3">
      <c r="A23">
        <v>6</v>
      </c>
      <c r="B23">
        <v>31</v>
      </c>
      <c r="C23">
        <v>6</v>
      </c>
    </row>
    <row r="24" spans="1:3">
      <c r="A24">
        <v>6</v>
      </c>
      <c r="B24">
        <v>23</v>
      </c>
      <c r="C24">
        <v>8</v>
      </c>
    </row>
    <row r="25" spans="1:3">
      <c r="A25">
        <v>6</v>
      </c>
      <c r="B25">
        <v>1</v>
      </c>
      <c r="C25">
        <v>2</v>
      </c>
    </row>
    <row r="26" spans="1:3">
      <c r="A26">
        <v>6</v>
      </c>
      <c r="B26">
        <v>8</v>
      </c>
      <c r="C26">
        <v>7</v>
      </c>
    </row>
    <row r="27" spans="1:3">
      <c r="A27">
        <v>6</v>
      </c>
      <c r="B27">
        <v>19</v>
      </c>
      <c r="C27">
        <v>1</v>
      </c>
    </row>
    <row r="28" spans="1:3">
      <c r="A28">
        <v>6</v>
      </c>
      <c r="B28">
        <v>32</v>
      </c>
      <c r="C28">
        <v>10</v>
      </c>
    </row>
    <row r="29" spans="1:3">
      <c r="A29">
        <v>6</v>
      </c>
      <c r="B29">
        <v>7</v>
      </c>
      <c r="C29">
        <v>9</v>
      </c>
    </row>
    <row r="30" spans="1:3">
      <c r="A30">
        <v>6</v>
      </c>
      <c r="B30">
        <v>27</v>
      </c>
      <c r="C30">
        <v>4</v>
      </c>
    </row>
    <row r="31" spans="1:3">
      <c r="A31">
        <v>6</v>
      </c>
      <c r="B31">
        <v>16</v>
      </c>
      <c r="C31">
        <v>3</v>
      </c>
    </row>
    <row r="32" spans="1:3">
      <c r="A32">
        <v>8</v>
      </c>
      <c r="B32">
        <v>29</v>
      </c>
      <c r="C32">
        <v>6</v>
      </c>
    </row>
    <row r="33" spans="1:3">
      <c r="A33">
        <v>8</v>
      </c>
      <c r="B33">
        <v>22</v>
      </c>
      <c r="C33">
        <v>9</v>
      </c>
    </row>
    <row r="34" spans="1:3">
      <c r="A34">
        <v>8</v>
      </c>
      <c r="B34">
        <v>32</v>
      </c>
      <c r="C34">
        <v>9</v>
      </c>
    </row>
    <row r="35" spans="1:3">
      <c r="A35">
        <v>8</v>
      </c>
      <c r="B35">
        <v>25</v>
      </c>
      <c r="C35">
        <v>8</v>
      </c>
    </row>
    <row r="36" spans="1:3">
      <c r="A36">
        <v>8</v>
      </c>
      <c r="B36">
        <v>20</v>
      </c>
      <c r="C36">
        <v>7</v>
      </c>
    </row>
    <row r="37" spans="1:3">
      <c r="A37">
        <v>8</v>
      </c>
      <c r="B37">
        <v>0</v>
      </c>
      <c r="C37">
        <v>5</v>
      </c>
    </row>
    <row r="38" spans="1:3">
      <c r="A38">
        <v>8</v>
      </c>
      <c r="B38">
        <v>11</v>
      </c>
      <c r="C38">
        <v>6</v>
      </c>
    </row>
    <row r="39" spans="1:3">
      <c r="A39">
        <v>8</v>
      </c>
      <c r="B39">
        <v>17</v>
      </c>
      <c r="C39">
        <v>8</v>
      </c>
    </row>
    <row r="40" spans="1:3">
      <c r="A40">
        <v>8</v>
      </c>
      <c r="B40">
        <v>21</v>
      </c>
      <c r="C40">
        <v>5</v>
      </c>
    </row>
    <row r="41" spans="1:3">
      <c r="A41">
        <v>8</v>
      </c>
      <c r="B41">
        <v>27</v>
      </c>
      <c r="C41">
        <v>8</v>
      </c>
    </row>
    <row r="42" spans="1:3">
      <c r="A42">
        <v>10</v>
      </c>
      <c r="B42">
        <v>23</v>
      </c>
      <c r="C42">
        <v>9</v>
      </c>
    </row>
    <row r="43" spans="1:3">
      <c r="A43">
        <v>10</v>
      </c>
      <c r="B43">
        <v>5</v>
      </c>
      <c r="C43">
        <v>3</v>
      </c>
    </row>
    <row r="44" spans="1:3">
      <c r="A44">
        <v>10</v>
      </c>
      <c r="B44">
        <v>6</v>
      </c>
      <c r="C44">
        <v>7</v>
      </c>
    </row>
    <row r="45" spans="1:3">
      <c r="A45">
        <v>10</v>
      </c>
      <c r="B45">
        <v>4</v>
      </c>
      <c r="C45">
        <v>9</v>
      </c>
    </row>
    <row r="46" spans="1:3">
      <c r="A46">
        <v>10</v>
      </c>
      <c r="B46">
        <v>14</v>
      </c>
      <c r="C46">
        <v>10</v>
      </c>
    </row>
    <row r="47" spans="1:3">
      <c r="A47">
        <v>10</v>
      </c>
      <c r="B47">
        <v>3</v>
      </c>
      <c r="C47">
        <v>9</v>
      </c>
    </row>
    <row r="48" spans="1:3">
      <c r="A48">
        <v>10</v>
      </c>
      <c r="B48">
        <v>12</v>
      </c>
      <c r="C48">
        <v>8</v>
      </c>
    </row>
    <row r="49" spans="1:3">
      <c r="A49">
        <v>10</v>
      </c>
      <c r="B49">
        <v>16</v>
      </c>
      <c r="C49">
        <v>8</v>
      </c>
    </row>
    <row r="50" spans="1:3">
      <c r="A50">
        <v>10</v>
      </c>
      <c r="B50">
        <v>27</v>
      </c>
      <c r="C50">
        <v>8</v>
      </c>
    </row>
    <row r="51" spans="1:3">
      <c r="A51">
        <v>10</v>
      </c>
      <c r="B51">
        <v>11</v>
      </c>
      <c r="C51">
        <v>8</v>
      </c>
    </row>
    <row r="52" spans="1:3">
      <c r="A52">
        <v>12</v>
      </c>
      <c r="B52">
        <v>24</v>
      </c>
      <c r="C52">
        <v>4</v>
      </c>
    </row>
    <row r="53" spans="1:3">
      <c r="A53">
        <v>12</v>
      </c>
      <c r="B53">
        <v>10</v>
      </c>
      <c r="C53">
        <v>9</v>
      </c>
    </row>
    <row r="54" spans="1:3">
      <c r="A54">
        <v>12</v>
      </c>
      <c r="B54">
        <v>16</v>
      </c>
      <c r="C54">
        <v>7</v>
      </c>
    </row>
    <row r="55" spans="1:3">
      <c r="A55">
        <v>12</v>
      </c>
      <c r="B55">
        <v>13</v>
      </c>
      <c r="C55">
        <v>6</v>
      </c>
    </row>
    <row r="56" spans="1:3">
      <c r="A56">
        <v>12</v>
      </c>
      <c r="B56">
        <v>6</v>
      </c>
      <c r="C56">
        <v>6</v>
      </c>
    </row>
    <row r="57" spans="1:3">
      <c r="A57">
        <v>12</v>
      </c>
      <c r="B57">
        <v>32</v>
      </c>
      <c r="C57">
        <v>5</v>
      </c>
    </row>
    <row r="58" spans="1:3">
      <c r="A58">
        <v>12</v>
      </c>
      <c r="B58">
        <v>27</v>
      </c>
      <c r="C58">
        <v>4</v>
      </c>
    </row>
    <row r="59" spans="1:3">
      <c r="A59">
        <v>12</v>
      </c>
      <c r="B59">
        <v>20</v>
      </c>
      <c r="C59">
        <v>7</v>
      </c>
    </row>
    <row r="60" spans="1:3">
      <c r="A60">
        <v>12</v>
      </c>
      <c r="B60">
        <v>31</v>
      </c>
      <c r="C60">
        <v>3</v>
      </c>
    </row>
    <row r="61" spans="1:3">
      <c r="A61">
        <v>12</v>
      </c>
      <c r="B61">
        <v>23</v>
      </c>
      <c r="C61">
        <v>6</v>
      </c>
    </row>
    <row r="62" spans="1:3">
      <c r="A62">
        <v>16</v>
      </c>
      <c r="B62">
        <v>15</v>
      </c>
      <c r="C62">
        <v>10</v>
      </c>
    </row>
    <row r="63" spans="1:3">
      <c r="A63">
        <v>16</v>
      </c>
      <c r="B63">
        <v>24</v>
      </c>
      <c r="C63">
        <v>3</v>
      </c>
    </row>
    <row r="64" spans="1:3">
      <c r="A64">
        <v>16</v>
      </c>
      <c r="B64">
        <v>0</v>
      </c>
      <c r="C64">
        <v>1</v>
      </c>
    </row>
    <row r="65" spans="1:3">
      <c r="A65">
        <v>16</v>
      </c>
      <c r="B65">
        <v>30</v>
      </c>
      <c r="C65">
        <v>2</v>
      </c>
    </row>
    <row r="66" spans="1:3">
      <c r="A66">
        <v>16</v>
      </c>
      <c r="B66">
        <v>27</v>
      </c>
      <c r="C66">
        <v>4</v>
      </c>
    </row>
    <row r="67" spans="1:3">
      <c r="A67">
        <v>16</v>
      </c>
      <c r="B67">
        <v>11</v>
      </c>
      <c r="C67">
        <v>8</v>
      </c>
    </row>
    <row r="68" spans="1:3">
      <c r="A68">
        <v>16</v>
      </c>
      <c r="B68">
        <v>26</v>
      </c>
      <c r="C68">
        <v>5</v>
      </c>
    </row>
    <row r="69" spans="1:3">
      <c r="A69">
        <v>16</v>
      </c>
      <c r="B69">
        <v>13</v>
      </c>
      <c r="C69">
        <v>7</v>
      </c>
    </row>
    <row r="70" spans="1:3">
      <c r="A70">
        <v>16</v>
      </c>
      <c r="B70">
        <v>9</v>
      </c>
      <c r="C70">
        <v>6</v>
      </c>
    </row>
    <row r="71" spans="1:3">
      <c r="A71">
        <v>16</v>
      </c>
      <c r="B71">
        <v>6</v>
      </c>
      <c r="C71">
        <v>2</v>
      </c>
    </row>
    <row r="72" spans="1:3">
      <c r="A72">
        <v>24</v>
      </c>
      <c r="B72">
        <v>20</v>
      </c>
      <c r="C72">
        <v>9</v>
      </c>
    </row>
    <row r="73" spans="1:3">
      <c r="A73">
        <v>24</v>
      </c>
      <c r="B73">
        <v>28</v>
      </c>
      <c r="C73">
        <v>8</v>
      </c>
    </row>
    <row r="74" spans="1:3">
      <c r="A74">
        <v>24</v>
      </c>
      <c r="B74">
        <v>3</v>
      </c>
      <c r="C74">
        <v>10</v>
      </c>
    </row>
    <row r="75" spans="1:3">
      <c r="A75">
        <v>24</v>
      </c>
      <c r="B75">
        <v>21</v>
      </c>
      <c r="C75">
        <v>8</v>
      </c>
    </row>
    <row r="76" spans="1:3">
      <c r="A76">
        <v>24</v>
      </c>
      <c r="B76">
        <v>22</v>
      </c>
      <c r="C76">
        <v>7</v>
      </c>
    </row>
    <row r="77" spans="1:3">
      <c r="A77">
        <v>24</v>
      </c>
      <c r="B77">
        <v>6</v>
      </c>
      <c r="C77">
        <v>7</v>
      </c>
    </row>
    <row r="78" spans="1:3">
      <c r="A78">
        <v>24</v>
      </c>
      <c r="B78">
        <v>18</v>
      </c>
      <c r="C78">
        <v>8</v>
      </c>
    </row>
    <row r="79" spans="1:3">
      <c r="A79">
        <v>24</v>
      </c>
      <c r="B79">
        <v>10</v>
      </c>
      <c r="C79">
        <v>9</v>
      </c>
    </row>
    <row r="80" spans="1:3">
      <c r="A80">
        <v>24</v>
      </c>
      <c r="B80">
        <v>23</v>
      </c>
      <c r="C80">
        <v>7</v>
      </c>
    </row>
    <row r="81" spans="1:3">
      <c r="A81">
        <v>24</v>
      </c>
      <c r="B81">
        <v>15</v>
      </c>
      <c r="C81">
        <v>10</v>
      </c>
    </row>
    <row r="82" spans="1:3">
      <c r="A82">
        <v>25</v>
      </c>
      <c r="B82">
        <v>2</v>
      </c>
      <c r="C82">
        <v>9</v>
      </c>
    </row>
    <row r="83" spans="1:3">
      <c r="A83">
        <v>25</v>
      </c>
      <c r="B83">
        <v>5</v>
      </c>
      <c r="C83">
        <v>6</v>
      </c>
    </row>
    <row r="84" spans="1:3">
      <c r="A84">
        <v>25</v>
      </c>
      <c r="B84">
        <v>14</v>
      </c>
      <c r="C84">
        <v>2</v>
      </c>
    </row>
    <row r="85" spans="1:3">
      <c r="A85">
        <v>25</v>
      </c>
      <c r="B85">
        <v>30</v>
      </c>
      <c r="C85">
        <v>5</v>
      </c>
    </row>
    <row r="86" spans="1:3">
      <c r="A86">
        <v>25</v>
      </c>
      <c r="B86">
        <v>12</v>
      </c>
      <c r="C86">
        <v>3</v>
      </c>
    </row>
    <row r="87" spans="1:3">
      <c r="A87">
        <v>25</v>
      </c>
      <c r="B87">
        <v>32</v>
      </c>
      <c r="C87">
        <v>9</v>
      </c>
    </row>
    <row r="88" spans="1:3">
      <c r="A88">
        <v>25</v>
      </c>
      <c r="B88">
        <v>8</v>
      </c>
      <c r="C88">
        <v>10</v>
      </c>
    </row>
    <row r="89" spans="1:3">
      <c r="A89">
        <v>25</v>
      </c>
      <c r="B89">
        <v>13</v>
      </c>
      <c r="C89">
        <v>1</v>
      </c>
    </row>
    <row r="90" spans="1:3">
      <c r="A90">
        <v>25</v>
      </c>
      <c r="B90">
        <v>16</v>
      </c>
      <c r="C90">
        <v>9</v>
      </c>
    </row>
    <row r="91" spans="1:3">
      <c r="A91">
        <v>25</v>
      </c>
      <c r="B91">
        <v>20</v>
      </c>
      <c r="C91">
        <v>5</v>
      </c>
    </row>
    <row r="92" spans="1:3">
      <c r="A92">
        <v>26</v>
      </c>
      <c r="B92">
        <v>20</v>
      </c>
      <c r="C92">
        <v>6</v>
      </c>
    </row>
    <row r="93" spans="1:3">
      <c r="A93">
        <v>26</v>
      </c>
      <c r="B93">
        <v>32</v>
      </c>
      <c r="C93">
        <v>9</v>
      </c>
    </row>
    <row r="94" spans="1:3">
      <c r="A94">
        <v>26</v>
      </c>
      <c r="B94">
        <v>3</v>
      </c>
      <c r="C94">
        <v>10</v>
      </c>
    </row>
    <row r="95" spans="1:3">
      <c r="A95">
        <v>26</v>
      </c>
      <c r="B95">
        <v>15</v>
      </c>
      <c r="C95">
        <v>7</v>
      </c>
    </row>
    <row r="96" spans="1:3">
      <c r="A96">
        <v>26</v>
      </c>
      <c r="B96">
        <v>23</v>
      </c>
      <c r="C96">
        <v>6</v>
      </c>
    </row>
    <row r="97" spans="1:3">
      <c r="A97">
        <v>26</v>
      </c>
      <c r="B97">
        <v>25</v>
      </c>
      <c r="C97">
        <v>9</v>
      </c>
    </row>
    <row r="98" spans="1:3">
      <c r="A98">
        <v>26</v>
      </c>
      <c r="B98">
        <v>22</v>
      </c>
      <c r="C98">
        <v>10</v>
      </c>
    </row>
    <row r="99" spans="1:3">
      <c r="A99">
        <v>26</v>
      </c>
      <c r="B99">
        <v>12</v>
      </c>
      <c r="C99">
        <v>8</v>
      </c>
    </row>
    <row r="100" spans="1:3">
      <c r="A100">
        <v>26</v>
      </c>
      <c r="B100">
        <v>18</v>
      </c>
      <c r="C100">
        <v>5</v>
      </c>
    </row>
    <row r="101" spans="1:3">
      <c r="A101">
        <v>26</v>
      </c>
      <c r="B101">
        <v>4</v>
      </c>
      <c r="C101">
        <v>9</v>
      </c>
    </row>
    <row r="102" spans="1:3">
      <c r="A102">
        <v>27</v>
      </c>
      <c r="B102">
        <v>11</v>
      </c>
      <c r="C102">
        <v>8</v>
      </c>
    </row>
    <row r="103" spans="1:3">
      <c r="A103">
        <v>27</v>
      </c>
      <c r="B103">
        <v>8</v>
      </c>
      <c r="C103">
        <v>8</v>
      </c>
    </row>
    <row r="104" spans="1:3">
      <c r="A104">
        <v>27</v>
      </c>
      <c r="B104">
        <v>19</v>
      </c>
      <c r="C104">
        <v>6</v>
      </c>
    </row>
    <row r="105" spans="1:3">
      <c r="A105">
        <v>27</v>
      </c>
      <c r="B105">
        <v>24</v>
      </c>
      <c r="C105">
        <v>7</v>
      </c>
    </row>
    <row r="106" spans="1:3">
      <c r="A106">
        <v>27</v>
      </c>
      <c r="B106">
        <v>27</v>
      </c>
      <c r="C106">
        <v>7</v>
      </c>
    </row>
    <row r="107" spans="1:3">
      <c r="A107">
        <v>27</v>
      </c>
      <c r="B107">
        <v>18</v>
      </c>
      <c r="C107">
        <v>6</v>
      </c>
    </row>
    <row r="108" spans="1:3">
      <c r="A108">
        <v>27</v>
      </c>
      <c r="B108">
        <v>6</v>
      </c>
      <c r="C108">
        <v>8</v>
      </c>
    </row>
    <row r="109" spans="1:3">
      <c r="A109">
        <v>27</v>
      </c>
      <c r="B109">
        <v>21</v>
      </c>
      <c r="C109">
        <v>9</v>
      </c>
    </row>
    <row r="110" spans="1:3">
      <c r="A110">
        <v>27</v>
      </c>
      <c r="B110">
        <v>32</v>
      </c>
      <c r="C110">
        <v>8</v>
      </c>
    </row>
    <row r="111" spans="1:3">
      <c r="A111">
        <v>27</v>
      </c>
      <c r="B111">
        <v>4</v>
      </c>
      <c r="C111">
        <v>10</v>
      </c>
    </row>
    <row r="112" spans="1:3">
      <c r="A112">
        <v>28</v>
      </c>
      <c r="B112">
        <v>28</v>
      </c>
      <c r="C112">
        <v>1</v>
      </c>
    </row>
    <row r="113" spans="1:3">
      <c r="A113">
        <v>28</v>
      </c>
      <c r="B113">
        <v>31</v>
      </c>
      <c r="C113">
        <v>1</v>
      </c>
    </row>
    <row r="114" spans="1:3">
      <c r="A114">
        <v>28</v>
      </c>
      <c r="B114">
        <v>5</v>
      </c>
      <c r="C114">
        <v>10</v>
      </c>
    </row>
    <row r="115" spans="1:3">
      <c r="A115">
        <v>28</v>
      </c>
      <c r="B115">
        <v>8</v>
      </c>
      <c r="C115">
        <v>1</v>
      </c>
    </row>
    <row r="116" spans="1:3">
      <c r="A116">
        <v>28</v>
      </c>
      <c r="B116">
        <v>14</v>
      </c>
      <c r="C116">
        <v>1</v>
      </c>
    </row>
    <row r="117" spans="1:3">
      <c r="A117">
        <v>28</v>
      </c>
      <c r="B117">
        <v>17</v>
      </c>
      <c r="C117">
        <v>1</v>
      </c>
    </row>
    <row r="118" spans="1:3">
      <c r="A118">
        <v>28</v>
      </c>
      <c r="B118">
        <v>22</v>
      </c>
      <c r="C118">
        <v>1</v>
      </c>
    </row>
    <row r="119" spans="1:3">
      <c r="A119">
        <v>28</v>
      </c>
      <c r="B119">
        <v>29</v>
      </c>
      <c r="C119">
        <v>1</v>
      </c>
    </row>
    <row r="120" spans="1:3">
      <c r="A120">
        <v>28</v>
      </c>
      <c r="B120">
        <v>3</v>
      </c>
      <c r="C120">
        <v>10</v>
      </c>
    </row>
    <row r="121" spans="1:3">
      <c r="A121">
        <v>28</v>
      </c>
      <c r="B121">
        <v>25</v>
      </c>
      <c r="C121">
        <v>1</v>
      </c>
    </row>
    <row r="122" spans="1:3">
      <c r="A122">
        <v>29</v>
      </c>
      <c r="B122">
        <v>14</v>
      </c>
      <c r="C122">
        <v>5</v>
      </c>
    </row>
    <row r="123" spans="1:3">
      <c r="A123">
        <v>29</v>
      </c>
      <c r="B123">
        <v>8</v>
      </c>
      <c r="C123">
        <v>7</v>
      </c>
    </row>
    <row r="124" spans="1:3">
      <c r="A124">
        <v>29</v>
      </c>
      <c r="B124">
        <v>19</v>
      </c>
      <c r="C124">
        <v>5</v>
      </c>
    </row>
    <row r="125" spans="1:3">
      <c r="A125">
        <v>29</v>
      </c>
      <c r="B125">
        <v>10</v>
      </c>
      <c r="C125">
        <v>9</v>
      </c>
    </row>
    <row r="126" spans="1:3">
      <c r="A126">
        <v>29</v>
      </c>
      <c r="B126">
        <v>7</v>
      </c>
      <c r="C126">
        <v>6</v>
      </c>
    </row>
    <row r="127" spans="1:3">
      <c r="A127">
        <v>29</v>
      </c>
      <c r="B127">
        <v>24</v>
      </c>
      <c r="C127">
        <v>8</v>
      </c>
    </row>
    <row r="128" spans="1:3">
      <c r="A128">
        <v>29</v>
      </c>
      <c r="B128">
        <v>2</v>
      </c>
      <c r="C128">
        <v>6</v>
      </c>
    </row>
    <row r="129" spans="1:3">
      <c r="A129">
        <v>29</v>
      </c>
      <c r="B129">
        <v>16</v>
      </c>
      <c r="C129">
        <v>7</v>
      </c>
    </row>
    <row r="130" spans="1:3">
      <c r="A130">
        <v>29</v>
      </c>
      <c r="B130">
        <v>26</v>
      </c>
      <c r="C130">
        <v>5</v>
      </c>
    </row>
    <row r="131" spans="1:3">
      <c r="A131">
        <v>29</v>
      </c>
      <c r="B131">
        <v>5</v>
      </c>
      <c r="C131">
        <v>4</v>
      </c>
    </row>
    <row r="132" spans="1:3">
      <c r="A132">
        <v>30</v>
      </c>
      <c r="B132">
        <v>17</v>
      </c>
      <c r="C132">
        <v>8</v>
      </c>
    </row>
    <row r="133" spans="1:3">
      <c r="A133">
        <v>30</v>
      </c>
      <c r="B133">
        <v>14</v>
      </c>
      <c r="C133">
        <v>6</v>
      </c>
    </row>
    <row r="134" spans="1:3">
      <c r="A134">
        <v>30</v>
      </c>
      <c r="B134">
        <v>19</v>
      </c>
      <c r="C134">
        <v>7</v>
      </c>
    </row>
    <row r="135" spans="1:3">
      <c r="A135">
        <v>30</v>
      </c>
      <c r="B135">
        <v>15</v>
      </c>
      <c r="C135">
        <v>6</v>
      </c>
    </row>
    <row r="136" spans="1:3">
      <c r="A136">
        <v>30</v>
      </c>
      <c r="B136">
        <v>26</v>
      </c>
      <c r="C136">
        <v>9</v>
      </c>
    </row>
    <row r="137" spans="1:3">
      <c r="A137">
        <v>30</v>
      </c>
      <c r="B137">
        <v>9</v>
      </c>
      <c r="C137">
        <v>4</v>
      </c>
    </row>
    <row r="138" spans="1:3">
      <c r="A138">
        <v>30</v>
      </c>
      <c r="B138">
        <v>0</v>
      </c>
      <c r="C138">
        <v>4</v>
      </c>
    </row>
    <row r="139" spans="1:3">
      <c r="A139">
        <v>30</v>
      </c>
      <c r="B139">
        <v>16</v>
      </c>
      <c r="C139">
        <v>8</v>
      </c>
    </row>
    <row r="140" spans="1:3">
      <c r="A140">
        <v>30</v>
      </c>
      <c r="B140">
        <v>4</v>
      </c>
      <c r="C140">
        <v>7</v>
      </c>
    </row>
    <row r="141" spans="1:3">
      <c r="A141">
        <v>30</v>
      </c>
      <c r="B141">
        <v>2</v>
      </c>
      <c r="C141">
        <v>5</v>
      </c>
    </row>
    <row r="142" spans="1:3">
      <c r="A142">
        <v>32</v>
      </c>
      <c r="B142">
        <v>12</v>
      </c>
      <c r="C142">
        <v>1</v>
      </c>
    </row>
    <row r="143" spans="1:3">
      <c r="A143">
        <v>32</v>
      </c>
      <c r="B143">
        <v>2</v>
      </c>
      <c r="C143">
        <v>9</v>
      </c>
    </row>
    <row r="144" spans="1:3">
      <c r="A144">
        <v>32</v>
      </c>
      <c r="B144">
        <v>13</v>
      </c>
      <c r="C144">
        <v>1</v>
      </c>
    </row>
    <row r="145" spans="1:3">
      <c r="A145">
        <v>32</v>
      </c>
      <c r="B145">
        <v>26</v>
      </c>
      <c r="C145">
        <v>9</v>
      </c>
    </row>
    <row r="146" spans="1:3">
      <c r="A146">
        <v>32</v>
      </c>
      <c r="B146">
        <v>11</v>
      </c>
      <c r="C146">
        <v>1</v>
      </c>
    </row>
    <row r="147" spans="1:3">
      <c r="A147">
        <v>32</v>
      </c>
      <c r="B147">
        <v>31</v>
      </c>
      <c r="C147">
        <v>3</v>
      </c>
    </row>
    <row r="148" spans="1:3">
      <c r="A148">
        <v>32</v>
      </c>
      <c r="B148">
        <v>20</v>
      </c>
      <c r="C148">
        <v>2</v>
      </c>
    </row>
    <row r="149" spans="1:3">
      <c r="A149">
        <v>32</v>
      </c>
      <c r="B149">
        <v>30</v>
      </c>
      <c r="C149">
        <v>1</v>
      </c>
    </row>
    <row r="150" spans="1:3">
      <c r="A150">
        <v>32</v>
      </c>
      <c r="B150">
        <v>6</v>
      </c>
      <c r="C150">
        <v>2</v>
      </c>
    </row>
    <row r="151" spans="1:3">
      <c r="A151">
        <v>32</v>
      </c>
      <c r="B151">
        <v>10</v>
      </c>
      <c r="C151">
        <v>8</v>
      </c>
    </row>
    <row r="152" spans="1:3">
      <c r="A152">
        <v>33</v>
      </c>
      <c r="B152">
        <v>30</v>
      </c>
      <c r="C152">
        <v>10</v>
      </c>
    </row>
    <row r="153" spans="1:3">
      <c r="A153">
        <v>33</v>
      </c>
      <c r="B153">
        <v>29</v>
      </c>
      <c r="C153">
        <v>9</v>
      </c>
    </row>
    <row r="154" spans="1:3">
      <c r="A154">
        <v>33</v>
      </c>
      <c r="B154">
        <v>13</v>
      </c>
      <c r="C154">
        <v>8</v>
      </c>
    </row>
    <row r="155" spans="1:3">
      <c r="A155">
        <v>33</v>
      </c>
      <c r="B155">
        <v>6</v>
      </c>
      <c r="C155">
        <v>8</v>
      </c>
    </row>
    <row r="156" spans="1:3">
      <c r="A156">
        <v>33</v>
      </c>
      <c r="B156">
        <v>2</v>
      </c>
      <c r="C156">
        <v>10</v>
      </c>
    </row>
    <row r="157" spans="1:3">
      <c r="A157">
        <v>33</v>
      </c>
      <c r="B157">
        <v>19</v>
      </c>
      <c r="C157">
        <v>10</v>
      </c>
    </row>
    <row r="158" spans="1:3">
      <c r="A158">
        <v>33</v>
      </c>
      <c r="B158">
        <v>9</v>
      </c>
      <c r="C158">
        <v>10</v>
      </c>
    </row>
    <row r="159" spans="1:3">
      <c r="A159">
        <v>33</v>
      </c>
      <c r="B159">
        <v>10</v>
      </c>
      <c r="C159">
        <v>10</v>
      </c>
    </row>
    <row r="160" spans="1:3">
      <c r="A160">
        <v>33</v>
      </c>
      <c r="B160">
        <v>25</v>
      </c>
      <c r="C160">
        <v>10</v>
      </c>
    </row>
    <row r="161" spans="1:3">
      <c r="A161">
        <v>33</v>
      </c>
      <c r="B161">
        <v>32</v>
      </c>
      <c r="C161">
        <v>8</v>
      </c>
    </row>
    <row r="162" spans="1:3">
      <c r="A162">
        <v>35</v>
      </c>
      <c r="B162">
        <v>19</v>
      </c>
      <c r="C162">
        <v>7</v>
      </c>
    </row>
    <row r="163" spans="1:3">
      <c r="A163">
        <v>35</v>
      </c>
      <c r="B163">
        <v>12</v>
      </c>
      <c r="C163">
        <v>2</v>
      </c>
    </row>
    <row r="164" spans="1:3">
      <c r="A164">
        <v>35</v>
      </c>
      <c r="B164">
        <v>26</v>
      </c>
      <c r="C164">
        <v>2</v>
      </c>
    </row>
    <row r="165" spans="1:3">
      <c r="A165">
        <v>35</v>
      </c>
      <c r="B165">
        <v>17</v>
      </c>
      <c r="C165">
        <v>3</v>
      </c>
    </row>
    <row r="166" spans="1:3">
      <c r="A166">
        <v>35</v>
      </c>
      <c r="B166">
        <v>23</v>
      </c>
      <c r="C166">
        <v>2</v>
      </c>
    </row>
    <row r="167" spans="1:3">
      <c r="A167">
        <v>35</v>
      </c>
      <c r="B167">
        <v>0</v>
      </c>
      <c r="C167">
        <v>6</v>
      </c>
    </row>
    <row r="168" spans="1:3">
      <c r="A168">
        <v>35</v>
      </c>
      <c r="B168">
        <v>18</v>
      </c>
      <c r="C168">
        <v>9</v>
      </c>
    </row>
    <row r="169" spans="1:3">
      <c r="A169">
        <v>35</v>
      </c>
      <c r="B169">
        <v>27</v>
      </c>
      <c r="C169">
        <v>7</v>
      </c>
    </row>
    <row r="170" spans="1:3">
      <c r="A170">
        <v>35</v>
      </c>
      <c r="B170">
        <v>6</v>
      </c>
      <c r="C170">
        <v>5</v>
      </c>
    </row>
    <row r="171" spans="1:3">
      <c r="A171">
        <v>35</v>
      </c>
      <c r="B171">
        <v>4</v>
      </c>
      <c r="C171">
        <v>1</v>
      </c>
    </row>
    <row r="172" spans="1:3">
      <c r="A172">
        <v>36</v>
      </c>
      <c r="B172">
        <v>2</v>
      </c>
      <c r="C172">
        <v>10</v>
      </c>
    </row>
    <row r="173" spans="1:3">
      <c r="A173">
        <v>36</v>
      </c>
      <c r="B173">
        <v>26</v>
      </c>
      <c r="C173">
        <v>1</v>
      </c>
    </row>
    <row r="174" spans="1:3">
      <c r="A174">
        <v>36</v>
      </c>
      <c r="B174">
        <v>6</v>
      </c>
      <c r="C174">
        <v>1</v>
      </c>
    </row>
    <row r="175" spans="1:3">
      <c r="A175">
        <v>36</v>
      </c>
      <c r="B175">
        <v>1</v>
      </c>
      <c r="C175">
        <v>6</v>
      </c>
    </row>
    <row r="176" spans="1:3">
      <c r="A176">
        <v>36</v>
      </c>
      <c r="B176">
        <v>5</v>
      </c>
      <c r="C176">
        <v>6</v>
      </c>
    </row>
    <row r="177" spans="1:3">
      <c r="A177">
        <v>36</v>
      </c>
      <c r="B177">
        <v>10</v>
      </c>
      <c r="C177">
        <v>4</v>
      </c>
    </row>
    <row r="178" spans="1:3">
      <c r="A178">
        <v>36</v>
      </c>
      <c r="B178">
        <v>22</v>
      </c>
      <c r="C178">
        <v>4</v>
      </c>
    </row>
    <row r="179" spans="1:3">
      <c r="A179">
        <v>36</v>
      </c>
      <c r="B179">
        <v>14</v>
      </c>
      <c r="C179">
        <v>1</v>
      </c>
    </row>
    <row r="180" spans="1:3">
      <c r="A180">
        <v>36</v>
      </c>
      <c r="B180">
        <v>9</v>
      </c>
      <c r="C180">
        <v>4</v>
      </c>
    </row>
    <row r="181" spans="1:3">
      <c r="A181">
        <v>36</v>
      </c>
      <c r="B181">
        <v>17</v>
      </c>
      <c r="C181">
        <v>2</v>
      </c>
    </row>
    <row r="182" spans="1:3">
      <c r="A182">
        <v>37</v>
      </c>
      <c r="B182">
        <v>24</v>
      </c>
      <c r="C182">
        <v>6</v>
      </c>
    </row>
    <row r="183" spans="1:3">
      <c r="A183">
        <v>37</v>
      </c>
      <c r="B183">
        <v>32</v>
      </c>
      <c r="C183">
        <v>5</v>
      </c>
    </row>
    <row r="184" spans="1:3">
      <c r="A184">
        <v>37</v>
      </c>
      <c r="B184">
        <v>28</v>
      </c>
      <c r="C184">
        <v>10</v>
      </c>
    </row>
    <row r="185" spans="1:3">
      <c r="A185">
        <v>37</v>
      </c>
      <c r="B185">
        <v>7</v>
      </c>
      <c r="C185">
        <v>1</v>
      </c>
    </row>
    <row r="186" spans="1:3">
      <c r="A186">
        <v>37</v>
      </c>
      <c r="B186">
        <v>18</v>
      </c>
      <c r="C186">
        <v>5</v>
      </c>
    </row>
    <row r="187" spans="1:3">
      <c r="A187">
        <v>37</v>
      </c>
      <c r="B187">
        <v>31</v>
      </c>
      <c r="C187">
        <v>2</v>
      </c>
    </row>
    <row r="188" spans="1:3">
      <c r="A188">
        <v>37</v>
      </c>
      <c r="B188">
        <v>23</v>
      </c>
      <c r="C188">
        <v>9</v>
      </c>
    </row>
    <row r="189" spans="1:3">
      <c r="A189">
        <v>37</v>
      </c>
      <c r="B189">
        <v>30</v>
      </c>
      <c r="C189">
        <v>1</v>
      </c>
    </row>
    <row r="190" spans="1:3">
      <c r="A190">
        <v>37</v>
      </c>
      <c r="B190">
        <v>13</v>
      </c>
      <c r="C190">
        <v>5</v>
      </c>
    </row>
    <row r="191" spans="1:3">
      <c r="A191">
        <v>37</v>
      </c>
      <c r="B191">
        <v>15</v>
      </c>
      <c r="C191">
        <v>5</v>
      </c>
    </row>
    <row r="192" spans="1:3">
      <c r="A192">
        <v>38</v>
      </c>
      <c r="B192">
        <v>1</v>
      </c>
      <c r="C192">
        <v>7</v>
      </c>
    </row>
    <row r="193" spans="1:3">
      <c r="A193">
        <v>38</v>
      </c>
      <c r="B193">
        <v>30</v>
      </c>
      <c r="C193">
        <v>4</v>
      </c>
    </row>
    <row r="194" spans="1:3">
      <c r="A194">
        <v>38</v>
      </c>
      <c r="B194">
        <v>5</v>
      </c>
      <c r="C194">
        <v>8</v>
      </c>
    </row>
    <row r="195" spans="1:3">
      <c r="A195">
        <v>38</v>
      </c>
      <c r="B195">
        <v>24</v>
      </c>
      <c r="C195">
        <v>7</v>
      </c>
    </row>
    <row r="196" spans="1:3">
      <c r="A196">
        <v>38</v>
      </c>
      <c r="B196">
        <v>10</v>
      </c>
      <c r="C196">
        <v>7</v>
      </c>
    </row>
    <row r="197" spans="1:3">
      <c r="A197">
        <v>38</v>
      </c>
      <c r="B197">
        <v>15</v>
      </c>
      <c r="C197">
        <v>2</v>
      </c>
    </row>
    <row r="198" spans="1:3">
      <c r="A198">
        <v>38</v>
      </c>
      <c r="B198">
        <v>2</v>
      </c>
      <c r="C198">
        <v>8</v>
      </c>
    </row>
    <row r="199" spans="1:3">
      <c r="A199">
        <v>38</v>
      </c>
      <c r="B199">
        <v>11</v>
      </c>
      <c r="C199">
        <v>7</v>
      </c>
    </row>
    <row r="200" spans="1:3">
      <c r="A200">
        <v>38</v>
      </c>
      <c r="B200">
        <v>6</v>
      </c>
      <c r="C200">
        <v>5</v>
      </c>
    </row>
    <row r="201" spans="1:3">
      <c r="A201">
        <v>38</v>
      </c>
      <c r="B201">
        <v>25</v>
      </c>
      <c r="C201">
        <v>6</v>
      </c>
    </row>
    <row r="202" spans="1:3">
      <c r="A202">
        <v>52</v>
      </c>
      <c r="B202">
        <v>20</v>
      </c>
      <c r="C202">
        <v>10</v>
      </c>
    </row>
    <row r="203" spans="1:3">
      <c r="A203">
        <v>52</v>
      </c>
      <c r="B203">
        <v>0</v>
      </c>
      <c r="C203">
        <v>5</v>
      </c>
    </row>
    <row r="204" spans="1:3">
      <c r="A204">
        <v>52</v>
      </c>
      <c r="B204">
        <v>13</v>
      </c>
      <c r="C204">
        <v>4</v>
      </c>
    </row>
    <row r="205" spans="1:3">
      <c r="A205">
        <v>52</v>
      </c>
      <c r="B205">
        <v>27</v>
      </c>
      <c r="C205">
        <v>6</v>
      </c>
    </row>
    <row r="206" spans="1:3">
      <c r="A206">
        <v>52</v>
      </c>
      <c r="B206">
        <v>26</v>
      </c>
      <c r="C206">
        <v>8</v>
      </c>
    </row>
    <row r="207" spans="1:3">
      <c r="A207">
        <v>52</v>
      </c>
      <c r="B207">
        <v>8</v>
      </c>
      <c r="C207">
        <v>1</v>
      </c>
    </row>
    <row r="208" spans="1:3">
      <c r="A208">
        <v>52</v>
      </c>
      <c r="B208">
        <v>5</v>
      </c>
      <c r="C208">
        <v>2</v>
      </c>
    </row>
    <row r="209" spans="1:3">
      <c r="A209">
        <v>52</v>
      </c>
      <c r="B209">
        <v>3</v>
      </c>
      <c r="C209">
        <v>2</v>
      </c>
    </row>
    <row r="210" spans="1:3">
      <c r="A210">
        <v>52</v>
      </c>
      <c r="B210">
        <v>24</v>
      </c>
      <c r="C210">
        <v>5</v>
      </c>
    </row>
    <row r="211" spans="1:3">
      <c r="A211">
        <v>52</v>
      </c>
      <c r="B211">
        <v>15</v>
      </c>
      <c r="C211">
        <v>5</v>
      </c>
    </row>
    <row r="212" spans="1:3">
      <c r="A212">
        <v>53</v>
      </c>
      <c r="B212">
        <v>32</v>
      </c>
      <c r="C212">
        <v>9</v>
      </c>
    </row>
    <row r="213" spans="1:3">
      <c r="A213">
        <v>53</v>
      </c>
      <c r="B213">
        <v>5</v>
      </c>
      <c r="C213">
        <v>8</v>
      </c>
    </row>
    <row r="214" spans="1:3">
      <c r="A214">
        <v>53</v>
      </c>
      <c r="B214">
        <v>15</v>
      </c>
      <c r="C214">
        <v>10</v>
      </c>
    </row>
    <row r="215" spans="1:3">
      <c r="A215">
        <v>53</v>
      </c>
      <c r="B215">
        <v>4</v>
      </c>
      <c r="C215">
        <v>9</v>
      </c>
    </row>
    <row r="216" spans="1:3">
      <c r="A216">
        <v>53</v>
      </c>
      <c r="B216">
        <v>26</v>
      </c>
      <c r="C216">
        <v>9</v>
      </c>
    </row>
    <row r="217" spans="1:3">
      <c r="A217">
        <v>53</v>
      </c>
      <c r="B217">
        <v>9</v>
      </c>
      <c r="C217">
        <v>8</v>
      </c>
    </row>
    <row r="218" spans="1:3">
      <c r="A218">
        <v>53</v>
      </c>
      <c r="B218">
        <v>7</v>
      </c>
      <c r="C218">
        <v>8</v>
      </c>
    </row>
    <row r="219" spans="1:3">
      <c r="A219">
        <v>53</v>
      </c>
      <c r="B219">
        <v>29</v>
      </c>
      <c r="C219">
        <v>8</v>
      </c>
    </row>
    <row r="220" spans="1:3">
      <c r="A220">
        <v>53</v>
      </c>
      <c r="B220">
        <v>25</v>
      </c>
      <c r="C220">
        <v>9</v>
      </c>
    </row>
    <row r="221" spans="1:3">
      <c r="A221">
        <v>53</v>
      </c>
      <c r="B221">
        <v>17</v>
      </c>
      <c r="C221">
        <v>8</v>
      </c>
    </row>
    <row r="222" spans="1:3">
      <c r="A222">
        <v>56</v>
      </c>
      <c r="B222">
        <v>15</v>
      </c>
      <c r="C222">
        <v>5</v>
      </c>
    </row>
    <row r="223" spans="1:3">
      <c r="A223">
        <v>56</v>
      </c>
      <c r="B223">
        <v>32</v>
      </c>
      <c r="C223">
        <v>3</v>
      </c>
    </row>
    <row r="224" spans="1:3">
      <c r="A224">
        <v>56</v>
      </c>
      <c r="B224">
        <v>30</v>
      </c>
      <c r="C224">
        <v>2</v>
      </c>
    </row>
    <row r="225" spans="1:3">
      <c r="A225">
        <v>56</v>
      </c>
      <c r="B225">
        <v>5</v>
      </c>
      <c r="C225">
        <v>9</v>
      </c>
    </row>
    <row r="226" spans="1:3">
      <c r="A226">
        <v>56</v>
      </c>
      <c r="B226">
        <v>25</v>
      </c>
      <c r="C226">
        <v>3</v>
      </c>
    </row>
    <row r="227" spans="1:3">
      <c r="A227">
        <v>56</v>
      </c>
      <c r="B227">
        <v>1</v>
      </c>
      <c r="C227">
        <v>9</v>
      </c>
    </row>
    <row r="228" spans="1:3">
      <c r="A228">
        <v>56</v>
      </c>
      <c r="B228">
        <v>12</v>
      </c>
      <c r="C228">
        <v>5</v>
      </c>
    </row>
    <row r="229" spans="1:3">
      <c r="A229">
        <v>56</v>
      </c>
      <c r="B229">
        <v>8</v>
      </c>
      <c r="C229">
        <v>10</v>
      </c>
    </row>
    <row r="230" spans="1:3">
      <c r="A230">
        <v>56</v>
      </c>
      <c r="B230">
        <v>17</v>
      </c>
      <c r="C230">
        <v>6</v>
      </c>
    </row>
    <row r="231" spans="1:3">
      <c r="A231">
        <v>56</v>
      </c>
      <c r="B231">
        <v>13</v>
      </c>
      <c r="C231">
        <v>9</v>
      </c>
    </row>
    <row r="232" spans="1:3">
      <c r="A232">
        <v>60</v>
      </c>
      <c r="B232">
        <v>16</v>
      </c>
      <c r="C232">
        <v>6</v>
      </c>
    </row>
    <row r="233" spans="1:3">
      <c r="A233">
        <v>60</v>
      </c>
      <c r="B233">
        <v>11</v>
      </c>
      <c r="C233">
        <v>3</v>
      </c>
    </row>
    <row r="234" spans="1:3">
      <c r="A234">
        <v>60</v>
      </c>
      <c r="B234">
        <v>32</v>
      </c>
      <c r="C234">
        <v>8</v>
      </c>
    </row>
    <row r="235" spans="1:3">
      <c r="A235">
        <v>60</v>
      </c>
      <c r="B235">
        <v>9</v>
      </c>
      <c r="C235">
        <v>5</v>
      </c>
    </row>
    <row r="236" spans="1:3">
      <c r="A236">
        <v>60</v>
      </c>
      <c r="B236">
        <v>28</v>
      </c>
      <c r="C236">
        <v>1</v>
      </c>
    </row>
    <row r="237" spans="1:3">
      <c r="A237">
        <v>60</v>
      </c>
      <c r="B237">
        <v>26</v>
      </c>
      <c r="C237">
        <v>9</v>
      </c>
    </row>
    <row r="238" spans="1:3">
      <c r="A238">
        <v>60</v>
      </c>
      <c r="B238">
        <v>15</v>
      </c>
      <c r="C238">
        <v>4</v>
      </c>
    </row>
    <row r="239" spans="1:3">
      <c r="A239">
        <v>60</v>
      </c>
      <c r="B239">
        <v>31</v>
      </c>
      <c r="C239">
        <v>10</v>
      </c>
    </row>
    <row r="240" spans="1:3">
      <c r="A240">
        <v>60</v>
      </c>
      <c r="B240">
        <v>13</v>
      </c>
      <c r="C240">
        <v>2</v>
      </c>
    </row>
    <row r="241" spans="1:3">
      <c r="A241">
        <v>60</v>
      </c>
      <c r="B241">
        <v>29</v>
      </c>
      <c r="C241">
        <v>7</v>
      </c>
    </row>
    <row r="242" spans="1:3">
      <c r="A242">
        <v>74</v>
      </c>
      <c r="B242">
        <v>26</v>
      </c>
      <c r="C242">
        <v>8</v>
      </c>
    </row>
    <row r="243" spans="1:3">
      <c r="A243">
        <v>74</v>
      </c>
      <c r="B243">
        <v>25</v>
      </c>
      <c r="C243">
        <v>7</v>
      </c>
    </row>
    <row r="244" spans="1:3">
      <c r="A244">
        <v>74</v>
      </c>
      <c r="B244">
        <v>17</v>
      </c>
      <c r="C244">
        <v>7</v>
      </c>
    </row>
    <row r="245" spans="1:3">
      <c r="A245">
        <v>74</v>
      </c>
      <c r="B245">
        <v>11</v>
      </c>
      <c r="C245">
        <v>8</v>
      </c>
    </row>
    <row r="246" spans="1:3">
      <c r="A246">
        <v>74</v>
      </c>
      <c r="B246">
        <v>21</v>
      </c>
      <c r="C246">
        <v>7</v>
      </c>
    </row>
    <row r="247" spans="1:3">
      <c r="A247">
        <v>74</v>
      </c>
      <c r="B247">
        <v>8</v>
      </c>
      <c r="C247">
        <v>6</v>
      </c>
    </row>
    <row r="248" spans="1:3">
      <c r="A248">
        <v>74</v>
      </c>
      <c r="B248">
        <v>30</v>
      </c>
      <c r="C248">
        <v>6</v>
      </c>
    </row>
    <row r="249" spans="1:3">
      <c r="A249">
        <v>74</v>
      </c>
      <c r="B249">
        <v>28</v>
      </c>
      <c r="C249">
        <v>7</v>
      </c>
    </row>
    <row r="250" spans="1:3">
      <c r="A250">
        <v>74</v>
      </c>
      <c r="B250">
        <v>32</v>
      </c>
      <c r="C250">
        <v>7</v>
      </c>
    </row>
    <row r="251" spans="1:3">
      <c r="A251">
        <v>74</v>
      </c>
      <c r="B251">
        <v>16</v>
      </c>
      <c r="C251">
        <v>6</v>
      </c>
    </row>
    <row r="252" spans="1:3">
      <c r="A252">
        <v>79</v>
      </c>
      <c r="B252">
        <v>16</v>
      </c>
      <c r="C252">
        <v>8</v>
      </c>
    </row>
    <row r="253" spans="1:3">
      <c r="A253">
        <v>79</v>
      </c>
      <c r="B253">
        <v>11</v>
      </c>
      <c r="C253">
        <v>8</v>
      </c>
    </row>
    <row r="254" spans="1:3">
      <c r="A254">
        <v>79</v>
      </c>
      <c r="B254">
        <v>19</v>
      </c>
      <c r="C254">
        <v>7</v>
      </c>
    </row>
    <row r="255" spans="1:3">
      <c r="A255">
        <v>79</v>
      </c>
      <c r="B255">
        <v>10</v>
      </c>
      <c r="C255">
        <v>8</v>
      </c>
    </row>
    <row r="256" spans="1:3">
      <c r="A256">
        <v>79</v>
      </c>
      <c r="B256">
        <v>3</v>
      </c>
      <c r="C256">
        <v>9</v>
      </c>
    </row>
    <row r="257" spans="1:3">
      <c r="A257">
        <v>79</v>
      </c>
      <c r="B257">
        <v>23</v>
      </c>
      <c r="C257">
        <v>8</v>
      </c>
    </row>
    <row r="258" spans="1:3">
      <c r="A258">
        <v>79</v>
      </c>
      <c r="B258">
        <v>32</v>
      </c>
      <c r="C258">
        <v>7</v>
      </c>
    </row>
    <row r="259" spans="1:3">
      <c r="A259">
        <v>79</v>
      </c>
      <c r="B259">
        <v>31</v>
      </c>
      <c r="C259">
        <v>5</v>
      </c>
    </row>
    <row r="260" spans="1:3">
      <c r="A260">
        <v>79</v>
      </c>
      <c r="B260">
        <v>14</v>
      </c>
      <c r="C260">
        <v>7</v>
      </c>
    </row>
    <row r="261" spans="1:3">
      <c r="A261">
        <v>79</v>
      </c>
      <c r="B261">
        <v>5</v>
      </c>
      <c r="C261">
        <v>6</v>
      </c>
    </row>
    <row r="262" spans="1:3">
      <c r="A262">
        <v>80</v>
      </c>
      <c r="B262">
        <v>7</v>
      </c>
      <c r="C262">
        <v>8</v>
      </c>
    </row>
    <row r="263" spans="1:3">
      <c r="A263">
        <v>80</v>
      </c>
      <c r="B263">
        <v>19</v>
      </c>
      <c r="C263">
        <v>7</v>
      </c>
    </row>
    <row r="264" spans="1:3">
      <c r="A264">
        <v>80</v>
      </c>
      <c r="B264">
        <v>30</v>
      </c>
      <c r="C264">
        <v>8</v>
      </c>
    </row>
    <row r="265" spans="1:3">
      <c r="A265">
        <v>80</v>
      </c>
      <c r="B265">
        <v>9</v>
      </c>
      <c r="C265">
        <v>9</v>
      </c>
    </row>
    <row r="266" spans="1:3">
      <c r="A266">
        <v>80</v>
      </c>
      <c r="B266">
        <v>28</v>
      </c>
      <c r="C266">
        <v>9</v>
      </c>
    </row>
    <row r="267" spans="1:3">
      <c r="A267">
        <v>80</v>
      </c>
      <c r="B267">
        <v>31</v>
      </c>
      <c r="C267">
        <v>8</v>
      </c>
    </row>
    <row r="268" spans="1:3">
      <c r="A268">
        <v>80</v>
      </c>
      <c r="B268">
        <v>22</v>
      </c>
      <c r="C268">
        <v>10</v>
      </c>
    </row>
    <row r="269" spans="1:3">
      <c r="A269">
        <v>80</v>
      </c>
      <c r="B269">
        <v>5</v>
      </c>
      <c r="C269">
        <v>7</v>
      </c>
    </row>
    <row r="270" spans="1:3">
      <c r="A270">
        <v>80</v>
      </c>
      <c r="B270">
        <v>8</v>
      </c>
      <c r="C270">
        <v>8</v>
      </c>
    </row>
    <row r="271" spans="1:3">
      <c r="A271">
        <v>80</v>
      </c>
      <c r="B271">
        <v>2</v>
      </c>
      <c r="C271">
        <v>9</v>
      </c>
    </row>
    <row r="272" spans="1:3">
      <c r="A272">
        <v>84</v>
      </c>
      <c r="B272">
        <v>25</v>
      </c>
      <c r="C272">
        <v>1</v>
      </c>
    </row>
    <row r="273" spans="1:3">
      <c r="A273">
        <v>84</v>
      </c>
      <c r="B273">
        <v>2</v>
      </c>
      <c r="C273">
        <v>10</v>
      </c>
    </row>
    <row r="274" spans="1:3">
      <c r="A274">
        <v>84</v>
      </c>
      <c r="B274">
        <v>31</v>
      </c>
      <c r="C274">
        <v>9</v>
      </c>
    </row>
    <row r="275" spans="1:3">
      <c r="A275">
        <v>84</v>
      </c>
      <c r="B275">
        <v>28</v>
      </c>
      <c r="C275">
        <v>10</v>
      </c>
    </row>
    <row r="276" spans="1:3">
      <c r="A276">
        <v>84</v>
      </c>
      <c r="B276">
        <v>21</v>
      </c>
      <c r="C276">
        <v>1</v>
      </c>
    </row>
    <row r="277" spans="1:3">
      <c r="A277">
        <v>84</v>
      </c>
      <c r="B277">
        <v>7</v>
      </c>
      <c r="C277">
        <v>10</v>
      </c>
    </row>
    <row r="278" spans="1:3">
      <c r="A278">
        <v>84</v>
      </c>
      <c r="B278">
        <v>30</v>
      </c>
      <c r="C278">
        <v>9</v>
      </c>
    </row>
    <row r="279" spans="1:3">
      <c r="A279">
        <v>84</v>
      </c>
      <c r="B279">
        <v>14</v>
      </c>
      <c r="C279">
        <v>10</v>
      </c>
    </row>
    <row r="280" spans="1:3">
      <c r="A280">
        <v>84</v>
      </c>
      <c r="B280">
        <v>17</v>
      </c>
      <c r="C280">
        <v>9</v>
      </c>
    </row>
    <row r="281" spans="1:3">
      <c r="A281">
        <v>84</v>
      </c>
      <c r="B281">
        <v>26</v>
      </c>
      <c r="C281">
        <v>1</v>
      </c>
    </row>
    <row r="282" spans="1:3">
      <c r="A282">
        <v>85</v>
      </c>
      <c r="B282">
        <v>18</v>
      </c>
      <c r="C282">
        <v>1</v>
      </c>
    </row>
    <row r="283" spans="1:3">
      <c r="A283">
        <v>85</v>
      </c>
      <c r="B283">
        <v>30</v>
      </c>
      <c r="C283">
        <v>1</v>
      </c>
    </row>
    <row r="284" spans="1:3">
      <c r="A284">
        <v>85</v>
      </c>
      <c r="B284">
        <v>25</v>
      </c>
      <c r="C284">
        <v>1</v>
      </c>
    </row>
    <row r="285" spans="1:3">
      <c r="A285">
        <v>85</v>
      </c>
      <c r="B285">
        <v>1</v>
      </c>
      <c r="C285">
        <v>10</v>
      </c>
    </row>
    <row r="286" spans="1:3">
      <c r="A286">
        <v>85</v>
      </c>
      <c r="B286">
        <v>15</v>
      </c>
      <c r="C286">
        <v>1</v>
      </c>
    </row>
    <row r="287" spans="1:3">
      <c r="A287">
        <v>85</v>
      </c>
      <c r="B287">
        <v>2</v>
      </c>
      <c r="C287">
        <v>10</v>
      </c>
    </row>
    <row r="288" spans="1:3">
      <c r="A288">
        <v>85</v>
      </c>
      <c r="B288">
        <v>4</v>
      </c>
      <c r="C288">
        <v>10</v>
      </c>
    </row>
    <row r="289" spans="1:3">
      <c r="A289">
        <v>85</v>
      </c>
      <c r="B289">
        <v>14</v>
      </c>
      <c r="C289">
        <v>1</v>
      </c>
    </row>
    <row r="290" spans="1:3">
      <c r="A290">
        <v>85</v>
      </c>
      <c r="B290">
        <v>17</v>
      </c>
      <c r="C290">
        <v>1</v>
      </c>
    </row>
    <row r="291" spans="1:3">
      <c r="A291">
        <v>85</v>
      </c>
      <c r="B291">
        <v>21</v>
      </c>
      <c r="C291">
        <v>1</v>
      </c>
    </row>
    <row r="292" spans="1:3">
      <c r="A292">
        <v>91</v>
      </c>
      <c r="B292">
        <v>31</v>
      </c>
      <c r="C292">
        <v>8</v>
      </c>
    </row>
    <row r="293" spans="1:3">
      <c r="A293">
        <v>91</v>
      </c>
      <c r="B293">
        <v>16</v>
      </c>
      <c r="C293">
        <v>7</v>
      </c>
    </row>
    <row r="294" spans="1:3">
      <c r="A294">
        <v>91</v>
      </c>
      <c r="B294">
        <v>1</v>
      </c>
      <c r="C294">
        <v>9</v>
      </c>
    </row>
    <row r="295" spans="1:3">
      <c r="A295">
        <v>91</v>
      </c>
      <c r="B295">
        <v>2</v>
      </c>
      <c r="C295">
        <v>9</v>
      </c>
    </row>
    <row r="296" spans="1:3">
      <c r="A296">
        <v>91</v>
      </c>
      <c r="B296">
        <v>15</v>
      </c>
      <c r="C296">
        <v>6</v>
      </c>
    </row>
    <row r="297" spans="1:3">
      <c r="A297">
        <v>91</v>
      </c>
      <c r="B297">
        <v>22</v>
      </c>
      <c r="C297">
        <v>5</v>
      </c>
    </row>
    <row r="298" spans="1:3">
      <c r="A298">
        <v>91</v>
      </c>
      <c r="B298">
        <v>19</v>
      </c>
      <c r="C298">
        <v>8</v>
      </c>
    </row>
    <row r="299" spans="1:3">
      <c r="A299">
        <v>91</v>
      </c>
      <c r="B299">
        <v>21</v>
      </c>
      <c r="C299">
        <v>8</v>
      </c>
    </row>
    <row r="300" spans="1:3">
      <c r="A300">
        <v>91</v>
      </c>
      <c r="B300">
        <v>12</v>
      </c>
      <c r="C300">
        <v>9</v>
      </c>
    </row>
    <row r="301" spans="1:3">
      <c r="A301">
        <v>91</v>
      </c>
      <c r="B301">
        <v>11</v>
      </c>
      <c r="C301">
        <v>7</v>
      </c>
    </row>
    <row r="302" spans="1:3">
      <c r="A302">
        <v>95</v>
      </c>
      <c r="B302">
        <v>17</v>
      </c>
      <c r="C302">
        <v>9</v>
      </c>
    </row>
    <row r="303" spans="1:3">
      <c r="A303">
        <v>95</v>
      </c>
      <c r="B303">
        <v>22</v>
      </c>
      <c r="C303">
        <v>10</v>
      </c>
    </row>
    <row r="304" spans="1:3">
      <c r="A304">
        <v>95</v>
      </c>
      <c r="B304">
        <v>30</v>
      </c>
      <c r="C304">
        <v>5</v>
      </c>
    </row>
    <row r="305" spans="1:3">
      <c r="A305">
        <v>95</v>
      </c>
      <c r="B305">
        <v>25</v>
      </c>
      <c r="C305">
        <v>9</v>
      </c>
    </row>
    <row r="306" spans="1:3">
      <c r="A306">
        <v>95</v>
      </c>
      <c r="B306">
        <v>29</v>
      </c>
      <c r="C306">
        <v>6</v>
      </c>
    </row>
    <row r="307" spans="1:3">
      <c r="A307">
        <v>95</v>
      </c>
      <c r="B307">
        <v>27</v>
      </c>
      <c r="C307">
        <v>7</v>
      </c>
    </row>
    <row r="308" spans="1:3">
      <c r="A308">
        <v>95</v>
      </c>
      <c r="B308">
        <v>6</v>
      </c>
      <c r="C308">
        <v>7</v>
      </c>
    </row>
    <row r="309" spans="1:3">
      <c r="A309">
        <v>95</v>
      </c>
      <c r="B309">
        <v>32</v>
      </c>
      <c r="C309">
        <v>4</v>
      </c>
    </row>
    <row r="310" spans="1:3">
      <c r="A310">
        <v>95</v>
      </c>
      <c r="B310">
        <v>15</v>
      </c>
      <c r="C310">
        <v>5</v>
      </c>
    </row>
    <row r="311" spans="1:3">
      <c r="A311">
        <v>95</v>
      </c>
      <c r="B311">
        <v>5</v>
      </c>
      <c r="C311">
        <v>5</v>
      </c>
    </row>
    <row r="312" spans="1:3">
      <c r="A312">
        <v>98</v>
      </c>
      <c r="B312">
        <v>0</v>
      </c>
      <c r="C312">
        <v>10</v>
      </c>
    </row>
    <row r="313" spans="1:3">
      <c r="A313">
        <v>98</v>
      </c>
      <c r="B313">
        <v>2</v>
      </c>
      <c r="C313">
        <v>9</v>
      </c>
    </row>
    <row r="314" spans="1:3">
      <c r="A314">
        <v>98</v>
      </c>
      <c r="B314">
        <v>12</v>
      </c>
      <c r="C314">
        <v>9</v>
      </c>
    </row>
    <row r="315" spans="1:3">
      <c r="A315">
        <v>98</v>
      </c>
      <c r="B315">
        <v>20</v>
      </c>
      <c r="C315">
        <v>7</v>
      </c>
    </row>
    <row r="316" spans="1:3">
      <c r="A316">
        <v>98</v>
      </c>
      <c r="B316">
        <v>24</v>
      </c>
      <c r="C316">
        <v>8</v>
      </c>
    </row>
    <row r="317" spans="1:3">
      <c r="A317">
        <v>98</v>
      </c>
      <c r="B317">
        <v>8</v>
      </c>
      <c r="C317">
        <v>9</v>
      </c>
    </row>
    <row r="318" spans="1:3">
      <c r="A318">
        <v>98</v>
      </c>
      <c r="B318">
        <v>9</v>
      </c>
      <c r="C318">
        <v>8</v>
      </c>
    </row>
    <row r="319" spans="1:3">
      <c r="A319">
        <v>98</v>
      </c>
      <c r="B319">
        <v>32</v>
      </c>
      <c r="C319">
        <v>6</v>
      </c>
    </row>
    <row r="320" spans="1:3">
      <c r="A320">
        <v>98</v>
      </c>
      <c r="B320">
        <v>10</v>
      </c>
      <c r="C320">
        <v>9</v>
      </c>
    </row>
    <row r="321" spans="1:3">
      <c r="A321">
        <v>98</v>
      </c>
      <c r="B321">
        <v>7</v>
      </c>
      <c r="C321">
        <v>8</v>
      </c>
    </row>
    <row r="322" spans="1:3">
      <c r="A322">
        <v>99</v>
      </c>
      <c r="B322">
        <v>17</v>
      </c>
      <c r="C322">
        <v>10</v>
      </c>
    </row>
    <row r="323" spans="1:3">
      <c r="A323">
        <v>99</v>
      </c>
      <c r="B323">
        <v>26</v>
      </c>
      <c r="C323">
        <v>9</v>
      </c>
    </row>
    <row r="324" spans="1:3">
      <c r="A324">
        <v>99</v>
      </c>
      <c r="B324">
        <v>13</v>
      </c>
      <c r="C324">
        <v>10</v>
      </c>
    </row>
    <row r="325" spans="1:3">
      <c r="A325">
        <v>99</v>
      </c>
      <c r="B325">
        <v>22</v>
      </c>
      <c r="C325">
        <v>10</v>
      </c>
    </row>
    <row r="326" spans="1:3">
      <c r="A326">
        <v>99</v>
      </c>
      <c r="B326">
        <v>21</v>
      </c>
      <c r="C326">
        <v>9</v>
      </c>
    </row>
    <row r="327" spans="1:3">
      <c r="A327">
        <v>99</v>
      </c>
      <c r="B327">
        <v>4</v>
      </c>
      <c r="C327">
        <v>10</v>
      </c>
    </row>
    <row r="328" spans="1:3">
      <c r="A328">
        <v>99</v>
      </c>
      <c r="B328">
        <v>8</v>
      </c>
      <c r="C328">
        <v>9</v>
      </c>
    </row>
    <row r="329" spans="1:3">
      <c r="A329">
        <v>99</v>
      </c>
      <c r="B329">
        <v>3</v>
      </c>
      <c r="C329">
        <v>10</v>
      </c>
    </row>
    <row r="330" spans="1:3">
      <c r="A330">
        <v>99</v>
      </c>
      <c r="B330">
        <v>25</v>
      </c>
      <c r="C330">
        <v>10</v>
      </c>
    </row>
    <row r="331" spans="1:3">
      <c r="A331">
        <v>99</v>
      </c>
      <c r="B331">
        <v>30</v>
      </c>
      <c r="C331">
        <v>10</v>
      </c>
    </row>
    <row r="332" spans="1:3">
      <c r="A332">
        <v>100</v>
      </c>
      <c r="B332">
        <v>20</v>
      </c>
      <c r="C332">
        <v>10</v>
      </c>
    </row>
    <row r="333" spans="1:3">
      <c r="A333">
        <v>100</v>
      </c>
      <c r="B333">
        <v>27</v>
      </c>
      <c r="C333">
        <v>9</v>
      </c>
    </row>
    <row r="334" spans="1:3">
      <c r="A334">
        <v>100</v>
      </c>
      <c r="B334">
        <v>24</v>
      </c>
      <c r="C334">
        <v>8</v>
      </c>
    </row>
    <row r="335" spans="1:3">
      <c r="A335">
        <v>100</v>
      </c>
      <c r="B335">
        <v>30</v>
      </c>
      <c r="C335">
        <v>8</v>
      </c>
    </row>
    <row r="336" spans="1:3">
      <c r="A336">
        <v>100</v>
      </c>
      <c r="B336">
        <v>29</v>
      </c>
      <c r="C336">
        <v>8</v>
      </c>
    </row>
    <row r="337" spans="1:3">
      <c r="A337">
        <v>100</v>
      </c>
      <c r="B337">
        <v>8</v>
      </c>
      <c r="C337">
        <v>10</v>
      </c>
    </row>
    <row r="338" spans="1:3">
      <c r="A338">
        <v>100</v>
      </c>
      <c r="B338">
        <v>26</v>
      </c>
      <c r="C338">
        <v>8</v>
      </c>
    </row>
    <row r="339" spans="1:3">
      <c r="A339">
        <v>100</v>
      </c>
      <c r="B339">
        <v>7</v>
      </c>
      <c r="C339">
        <v>9</v>
      </c>
    </row>
    <row r="340" spans="1:3">
      <c r="A340">
        <v>100</v>
      </c>
      <c r="B340">
        <v>13</v>
      </c>
      <c r="C340">
        <v>10</v>
      </c>
    </row>
    <row r="341" spans="1:3">
      <c r="A341">
        <v>100</v>
      </c>
      <c r="B341">
        <v>10</v>
      </c>
      <c r="C341">
        <v>9</v>
      </c>
    </row>
    <row r="342" spans="1:3">
      <c r="A342">
        <v>104</v>
      </c>
      <c r="B342">
        <v>30</v>
      </c>
      <c r="C342">
        <v>6</v>
      </c>
    </row>
    <row r="343" spans="1:3">
      <c r="A343">
        <v>104</v>
      </c>
      <c r="B343">
        <v>24</v>
      </c>
      <c r="C343">
        <v>7</v>
      </c>
    </row>
    <row r="344" spans="1:3">
      <c r="A344">
        <v>104</v>
      </c>
      <c r="B344">
        <v>13</v>
      </c>
      <c r="C344">
        <v>8</v>
      </c>
    </row>
    <row r="345" spans="1:3">
      <c r="A345">
        <v>104</v>
      </c>
      <c r="B345">
        <v>12</v>
      </c>
      <c r="C345">
        <v>9</v>
      </c>
    </row>
    <row r="346" spans="1:3">
      <c r="A346">
        <v>104</v>
      </c>
      <c r="B346">
        <v>15</v>
      </c>
      <c r="C346">
        <v>8</v>
      </c>
    </row>
    <row r="347" spans="1:3">
      <c r="A347">
        <v>104</v>
      </c>
      <c r="B347">
        <v>11</v>
      </c>
      <c r="C347">
        <v>10</v>
      </c>
    </row>
    <row r="348" spans="1:3">
      <c r="A348">
        <v>104</v>
      </c>
      <c r="B348">
        <v>28</v>
      </c>
      <c r="C348">
        <v>10</v>
      </c>
    </row>
    <row r="349" spans="1:3">
      <c r="A349">
        <v>104</v>
      </c>
      <c r="B349">
        <v>31</v>
      </c>
      <c r="C349">
        <v>10</v>
      </c>
    </row>
    <row r="350" spans="1:3">
      <c r="A350">
        <v>104</v>
      </c>
      <c r="B350">
        <v>27</v>
      </c>
      <c r="C350">
        <v>8</v>
      </c>
    </row>
    <row r="351" spans="1:3">
      <c r="A351">
        <v>104</v>
      </c>
      <c r="B351">
        <v>16</v>
      </c>
      <c r="C351">
        <v>10</v>
      </c>
    </row>
    <row r="352" spans="1:3">
      <c r="A352">
        <v>105</v>
      </c>
      <c r="B352">
        <v>17</v>
      </c>
      <c r="C352">
        <v>8</v>
      </c>
    </row>
    <row r="353" spans="1:3">
      <c r="A353">
        <v>105</v>
      </c>
      <c r="B353">
        <v>18</v>
      </c>
      <c r="C353">
        <v>7</v>
      </c>
    </row>
    <row r="354" spans="1:3">
      <c r="A354">
        <v>105</v>
      </c>
      <c r="B354">
        <v>4</v>
      </c>
      <c r="C354">
        <v>10</v>
      </c>
    </row>
    <row r="355" spans="1:3">
      <c r="A355">
        <v>105</v>
      </c>
      <c r="B355">
        <v>19</v>
      </c>
      <c r="C355">
        <v>6</v>
      </c>
    </row>
    <row r="356" spans="1:3">
      <c r="A356">
        <v>105</v>
      </c>
      <c r="B356">
        <v>9</v>
      </c>
      <c r="C356">
        <v>8</v>
      </c>
    </row>
    <row r="357" spans="1:3">
      <c r="A357">
        <v>105</v>
      </c>
      <c r="B357">
        <v>12</v>
      </c>
      <c r="C357">
        <v>9</v>
      </c>
    </row>
    <row r="358" spans="1:3">
      <c r="A358">
        <v>105</v>
      </c>
      <c r="B358">
        <v>14</v>
      </c>
      <c r="C358">
        <v>9</v>
      </c>
    </row>
    <row r="359" spans="1:3">
      <c r="A359">
        <v>105</v>
      </c>
      <c r="B359">
        <v>22</v>
      </c>
      <c r="C359">
        <v>8</v>
      </c>
    </row>
    <row r="360" spans="1:3">
      <c r="A360">
        <v>105</v>
      </c>
      <c r="B360">
        <v>7</v>
      </c>
      <c r="C360">
        <v>9</v>
      </c>
    </row>
    <row r="361" spans="1:3">
      <c r="A361">
        <v>105</v>
      </c>
      <c r="B361">
        <v>20</v>
      </c>
      <c r="C361">
        <v>10</v>
      </c>
    </row>
    <row r="362" spans="1:3">
      <c r="A362">
        <v>106</v>
      </c>
      <c r="B362">
        <v>24</v>
      </c>
      <c r="C362">
        <v>7</v>
      </c>
    </row>
    <row r="363" spans="1:3">
      <c r="A363">
        <v>106</v>
      </c>
      <c r="B363">
        <v>20</v>
      </c>
      <c r="C363">
        <v>6</v>
      </c>
    </row>
    <row r="364" spans="1:3">
      <c r="A364">
        <v>106</v>
      </c>
      <c r="B364">
        <v>15</v>
      </c>
      <c r="C364">
        <v>7</v>
      </c>
    </row>
    <row r="365" spans="1:3">
      <c r="A365">
        <v>106</v>
      </c>
      <c r="B365">
        <v>14</v>
      </c>
      <c r="C365">
        <v>8</v>
      </c>
    </row>
    <row r="366" spans="1:3">
      <c r="A366">
        <v>106</v>
      </c>
      <c r="B366">
        <v>4</v>
      </c>
      <c r="C366">
        <v>6</v>
      </c>
    </row>
    <row r="367" spans="1:3">
      <c r="A367">
        <v>106</v>
      </c>
      <c r="B367">
        <v>26</v>
      </c>
      <c r="C367">
        <v>7</v>
      </c>
    </row>
    <row r="368" spans="1:3">
      <c r="A368">
        <v>106</v>
      </c>
      <c r="B368">
        <v>18</v>
      </c>
      <c r="C368">
        <v>5</v>
      </c>
    </row>
    <row r="369" spans="1:3">
      <c r="A369">
        <v>106</v>
      </c>
      <c r="B369">
        <v>5</v>
      </c>
      <c r="C369">
        <v>6</v>
      </c>
    </row>
    <row r="370" spans="1:3">
      <c r="A370">
        <v>106</v>
      </c>
      <c r="B370">
        <v>12</v>
      </c>
      <c r="C370">
        <v>8</v>
      </c>
    </row>
    <row r="371" spans="1:3">
      <c r="A371">
        <v>106</v>
      </c>
      <c r="B371">
        <v>16</v>
      </c>
      <c r="C371">
        <v>7</v>
      </c>
    </row>
    <row r="372" spans="1:3">
      <c r="A372">
        <v>110</v>
      </c>
      <c r="B372">
        <v>8</v>
      </c>
      <c r="C372">
        <v>2</v>
      </c>
    </row>
    <row r="373" spans="1:3">
      <c r="A373">
        <v>110</v>
      </c>
      <c r="B373">
        <v>12</v>
      </c>
      <c r="C373">
        <v>6</v>
      </c>
    </row>
    <row r="374" spans="1:3">
      <c r="A374">
        <v>110</v>
      </c>
      <c r="B374">
        <v>27</v>
      </c>
      <c r="C374">
        <v>1</v>
      </c>
    </row>
    <row r="375" spans="1:3">
      <c r="A375">
        <v>110</v>
      </c>
      <c r="B375">
        <v>31</v>
      </c>
      <c r="C375">
        <v>2</v>
      </c>
    </row>
    <row r="376" spans="1:3">
      <c r="A376">
        <v>110</v>
      </c>
      <c r="B376">
        <v>24</v>
      </c>
      <c r="C376">
        <v>1</v>
      </c>
    </row>
    <row r="377" spans="1:3">
      <c r="A377">
        <v>110</v>
      </c>
      <c r="B377">
        <v>5</v>
      </c>
      <c r="C377">
        <v>2</v>
      </c>
    </row>
    <row r="378" spans="1:3">
      <c r="A378">
        <v>110</v>
      </c>
      <c r="B378">
        <v>3</v>
      </c>
      <c r="C378">
        <v>3</v>
      </c>
    </row>
    <row r="379" spans="1:3">
      <c r="A379">
        <v>110</v>
      </c>
      <c r="B379">
        <v>29</v>
      </c>
      <c r="C379">
        <v>6</v>
      </c>
    </row>
    <row r="380" spans="1:3">
      <c r="A380">
        <v>110</v>
      </c>
      <c r="B380">
        <v>9</v>
      </c>
      <c r="C380">
        <v>7</v>
      </c>
    </row>
    <row r="381" spans="1:3">
      <c r="A381">
        <v>110</v>
      </c>
      <c r="B381">
        <v>14</v>
      </c>
      <c r="C381">
        <v>1</v>
      </c>
    </row>
    <row r="382" spans="1:3">
      <c r="A382">
        <v>111</v>
      </c>
      <c r="B382">
        <v>8</v>
      </c>
      <c r="C382">
        <v>4</v>
      </c>
    </row>
    <row r="383" spans="1:3">
      <c r="A383">
        <v>111</v>
      </c>
      <c r="B383">
        <v>4</v>
      </c>
      <c r="C383">
        <v>1</v>
      </c>
    </row>
    <row r="384" spans="1:3">
      <c r="A384">
        <v>111</v>
      </c>
      <c r="B384">
        <v>7</v>
      </c>
      <c r="C384">
        <v>3</v>
      </c>
    </row>
    <row r="385" spans="1:3">
      <c r="A385">
        <v>111</v>
      </c>
      <c r="B385">
        <v>20</v>
      </c>
      <c r="C385">
        <v>10</v>
      </c>
    </row>
    <row r="386" spans="1:3">
      <c r="A386">
        <v>111</v>
      </c>
      <c r="B386">
        <v>25</v>
      </c>
      <c r="C386">
        <v>5</v>
      </c>
    </row>
    <row r="387" spans="1:3">
      <c r="A387">
        <v>111</v>
      </c>
      <c r="B387">
        <v>30</v>
      </c>
      <c r="C387">
        <v>9</v>
      </c>
    </row>
    <row r="388" spans="1:3">
      <c r="A388">
        <v>111</v>
      </c>
      <c r="B388">
        <v>5</v>
      </c>
      <c r="C388">
        <v>2</v>
      </c>
    </row>
    <row r="389" spans="1:3">
      <c r="A389">
        <v>111</v>
      </c>
      <c r="B389">
        <v>23</v>
      </c>
      <c r="C389">
        <v>7</v>
      </c>
    </row>
    <row r="390" spans="1:3">
      <c r="A390">
        <v>111</v>
      </c>
      <c r="B390">
        <v>18</v>
      </c>
      <c r="C390">
        <v>6</v>
      </c>
    </row>
    <row r="391" spans="1:3">
      <c r="A391">
        <v>111</v>
      </c>
      <c r="B391">
        <v>26</v>
      </c>
      <c r="C391">
        <v>8</v>
      </c>
    </row>
    <row r="392" spans="1:3">
      <c r="A392">
        <v>112</v>
      </c>
      <c r="B392">
        <v>17</v>
      </c>
      <c r="C392">
        <v>10</v>
      </c>
    </row>
    <row r="393" spans="1:3">
      <c r="A393">
        <v>112</v>
      </c>
      <c r="B393">
        <v>23</v>
      </c>
      <c r="C393">
        <v>10</v>
      </c>
    </row>
    <row r="394" spans="1:3">
      <c r="A394">
        <v>112</v>
      </c>
      <c r="B394">
        <v>13</v>
      </c>
      <c r="C394">
        <v>8</v>
      </c>
    </row>
    <row r="395" spans="1:3">
      <c r="A395">
        <v>112</v>
      </c>
      <c r="B395">
        <v>27</v>
      </c>
      <c r="C395">
        <v>9</v>
      </c>
    </row>
    <row r="396" spans="1:3">
      <c r="A396">
        <v>112</v>
      </c>
      <c r="B396">
        <v>11</v>
      </c>
      <c r="C396">
        <v>1</v>
      </c>
    </row>
    <row r="397" spans="1:3">
      <c r="A397">
        <v>112</v>
      </c>
      <c r="B397">
        <v>31</v>
      </c>
      <c r="C397">
        <v>2</v>
      </c>
    </row>
    <row r="398" spans="1:3">
      <c r="A398">
        <v>112</v>
      </c>
      <c r="B398">
        <v>6</v>
      </c>
      <c r="C398">
        <v>4</v>
      </c>
    </row>
    <row r="399" spans="1:3">
      <c r="A399">
        <v>112</v>
      </c>
      <c r="B399">
        <v>29</v>
      </c>
      <c r="C399">
        <v>3</v>
      </c>
    </row>
    <row r="400" spans="1:3">
      <c r="A400">
        <v>112</v>
      </c>
      <c r="B400">
        <v>14</v>
      </c>
      <c r="C400">
        <v>2</v>
      </c>
    </row>
    <row r="401" spans="1:3">
      <c r="A401">
        <v>112</v>
      </c>
      <c r="B401">
        <v>3</v>
      </c>
      <c r="C401">
        <v>8</v>
      </c>
    </row>
    <row r="402" spans="1:3">
      <c r="A402">
        <v>113</v>
      </c>
      <c r="B402">
        <v>14</v>
      </c>
      <c r="C402">
        <v>5</v>
      </c>
    </row>
    <row r="403" spans="1:3">
      <c r="A403">
        <v>113</v>
      </c>
      <c r="B403">
        <v>1</v>
      </c>
      <c r="C403">
        <v>5</v>
      </c>
    </row>
    <row r="404" spans="1:3">
      <c r="A404">
        <v>113</v>
      </c>
      <c r="B404">
        <v>29</v>
      </c>
      <c r="C404">
        <v>2</v>
      </c>
    </row>
    <row r="405" spans="1:3">
      <c r="A405">
        <v>113</v>
      </c>
      <c r="B405">
        <v>27</v>
      </c>
      <c r="C405">
        <v>1</v>
      </c>
    </row>
    <row r="406" spans="1:3">
      <c r="A406">
        <v>113</v>
      </c>
      <c r="B406">
        <v>3</v>
      </c>
      <c r="C406">
        <v>10</v>
      </c>
    </row>
    <row r="407" spans="1:3">
      <c r="A407">
        <v>113</v>
      </c>
      <c r="B407">
        <v>26</v>
      </c>
      <c r="C407">
        <v>1</v>
      </c>
    </row>
    <row r="408" spans="1:3">
      <c r="A408">
        <v>113</v>
      </c>
      <c r="B408">
        <v>7</v>
      </c>
      <c r="C408">
        <v>10</v>
      </c>
    </row>
    <row r="409" spans="1:3">
      <c r="A409">
        <v>113</v>
      </c>
      <c r="B409">
        <v>21</v>
      </c>
      <c r="C409">
        <v>1</v>
      </c>
    </row>
    <row r="410" spans="1:3">
      <c r="A410">
        <v>113</v>
      </c>
      <c r="B410">
        <v>15</v>
      </c>
      <c r="C410">
        <v>6</v>
      </c>
    </row>
    <row r="411" spans="1:3">
      <c r="A411">
        <v>113</v>
      </c>
      <c r="B411">
        <v>4</v>
      </c>
      <c r="C411">
        <v>10</v>
      </c>
    </row>
    <row r="412" spans="1:3">
      <c r="A412">
        <v>114</v>
      </c>
      <c r="B412">
        <v>3</v>
      </c>
      <c r="C412">
        <v>7</v>
      </c>
    </row>
    <row r="413" spans="1:3">
      <c r="A413">
        <v>114</v>
      </c>
      <c r="B413">
        <v>22</v>
      </c>
      <c r="C413">
        <v>8</v>
      </c>
    </row>
    <row r="414" spans="1:3">
      <c r="A414">
        <v>114</v>
      </c>
      <c r="B414">
        <v>28</v>
      </c>
      <c r="C414">
        <v>7</v>
      </c>
    </row>
    <row r="415" spans="1:3">
      <c r="A415">
        <v>114</v>
      </c>
      <c r="B415">
        <v>24</v>
      </c>
      <c r="C415">
        <v>6</v>
      </c>
    </row>
    <row r="416" spans="1:3">
      <c r="A416">
        <v>114</v>
      </c>
      <c r="B416">
        <v>8</v>
      </c>
      <c r="C416">
        <v>6</v>
      </c>
    </row>
    <row r="417" spans="1:3">
      <c r="A417">
        <v>114</v>
      </c>
      <c r="B417">
        <v>29</v>
      </c>
      <c r="C417">
        <v>6</v>
      </c>
    </row>
    <row r="418" spans="1:3">
      <c r="A418">
        <v>114</v>
      </c>
      <c r="B418">
        <v>4</v>
      </c>
      <c r="C418">
        <v>7</v>
      </c>
    </row>
    <row r="419" spans="1:3">
      <c r="A419">
        <v>114</v>
      </c>
      <c r="B419">
        <v>25</v>
      </c>
      <c r="C419">
        <v>8</v>
      </c>
    </row>
    <row r="420" spans="1:3">
      <c r="A420">
        <v>114</v>
      </c>
      <c r="B420">
        <v>12</v>
      </c>
      <c r="C420">
        <v>9</v>
      </c>
    </row>
    <row r="421" spans="1:3">
      <c r="A421">
        <v>114</v>
      </c>
      <c r="B421">
        <v>26</v>
      </c>
      <c r="C421">
        <v>8</v>
      </c>
    </row>
    <row r="422" spans="1:3">
      <c r="A422">
        <v>115</v>
      </c>
      <c r="B422">
        <v>7</v>
      </c>
      <c r="C422">
        <v>1</v>
      </c>
    </row>
    <row r="423" spans="1:3">
      <c r="A423">
        <v>115</v>
      </c>
      <c r="B423">
        <v>25</v>
      </c>
      <c r="C423">
        <v>10</v>
      </c>
    </row>
    <row r="424" spans="1:3">
      <c r="A424">
        <v>115</v>
      </c>
      <c r="B424">
        <v>3</v>
      </c>
      <c r="C424">
        <v>7</v>
      </c>
    </row>
    <row r="425" spans="1:3">
      <c r="A425">
        <v>115</v>
      </c>
      <c r="B425">
        <v>6</v>
      </c>
      <c r="C425">
        <v>7</v>
      </c>
    </row>
    <row r="426" spans="1:3">
      <c r="A426">
        <v>115</v>
      </c>
      <c r="B426">
        <v>11</v>
      </c>
      <c r="C426">
        <v>9</v>
      </c>
    </row>
    <row r="427" spans="1:3">
      <c r="A427">
        <v>115</v>
      </c>
      <c r="B427">
        <v>2</v>
      </c>
      <c r="C427">
        <v>6</v>
      </c>
    </row>
    <row r="428" spans="1:3">
      <c r="A428">
        <v>115</v>
      </c>
      <c r="B428">
        <v>13</v>
      </c>
      <c r="C428">
        <v>4</v>
      </c>
    </row>
    <row r="429" spans="1:3">
      <c r="A429">
        <v>115</v>
      </c>
      <c r="B429">
        <v>19</v>
      </c>
      <c r="C429">
        <v>7</v>
      </c>
    </row>
    <row r="430" spans="1:3">
      <c r="A430">
        <v>115</v>
      </c>
      <c r="B430">
        <v>30</v>
      </c>
      <c r="C430">
        <v>5</v>
      </c>
    </row>
    <row r="431" spans="1:3">
      <c r="A431">
        <v>115</v>
      </c>
      <c r="B431">
        <v>26</v>
      </c>
      <c r="C431">
        <v>10</v>
      </c>
    </row>
    <row r="432" spans="1:3">
      <c r="A432">
        <v>116</v>
      </c>
      <c r="B432">
        <v>19</v>
      </c>
      <c r="C432">
        <v>1</v>
      </c>
    </row>
    <row r="433" spans="1:3">
      <c r="A433">
        <v>116</v>
      </c>
      <c r="B433">
        <v>4</v>
      </c>
      <c r="C433">
        <v>10</v>
      </c>
    </row>
    <row r="434" spans="1:3">
      <c r="A434">
        <v>116</v>
      </c>
      <c r="B434">
        <v>20</v>
      </c>
      <c r="C434">
        <v>1</v>
      </c>
    </row>
    <row r="435" spans="1:3">
      <c r="A435">
        <v>116</v>
      </c>
      <c r="B435">
        <v>10</v>
      </c>
      <c r="C435">
        <v>1</v>
      </c>
    </row>
    <row r="436" spans="1:3">
      <c r="A436">
        <v>116</v>
      </c>
      <c r="B436">
        <v>12</v>
      </c>
      <c r="C436">
        <v>1</v>
      </c>
    </row>
    <row r="437" spans="1:3">
      <c r="A437">
        <v>116</v>
      </c>
      <c r="B437">
        <v>13</v>
      </c>
      <c r="C437">
        <v>1</v>
      </c>
    </row>
    <row r="438" spans="1:3">
      <c r="A438">
        <v>116</v>
      </c>
      <c r="B438">
        <v>3</v>
      </c>
      <c r="C438">
        <v>10</v>
      </c>
    </row>
    <row r="439" spans="1:3">
      <c r="A439">
        <v>116</v>
      </c>
      <c r="B439">
        <v>16</v>
      </c>
      <c r="C439">
        <v>1</v>
      </c>
    </row>
    <row r="440" spans="1:3">
      <c r="A440">
        <v>116</v>
      </c>
      <c r="B440">
        <v>31</v>
      </c>
      <c r="C440">
        <v>1</v>
      </c>
    </row>
    <row r="441" spans="1:3">
      <c r="A441">
        <v>116</v>
      </c>
      <c r="B441">
        <v>27</v>
      </c>
      <c r="C441">
        <v>1</v>
      </c>
    </row>
    <row r="442" spans="1:3">
      <c r="A442">
        <v>119</v>
      </c>
      <c r="B442">
        <v>25</v>
      </c>
      <c r="C442">
        <v>8</v>
      </c>
    </row>
    <row r="443" spans="1:3">
      <c r="A443">
        <v>119</v>
      </c>
      <c r="B443">
        <v>3</v>
      </c>
      <c r="C443">
        <v>1</v>
      </c>
    </row>
    <row r="444" spans="1:3">
      <c r="A444">
        <v>119</v>
      </c>
      <c r="B444">
        <v>16</v>
      </c>
      <c r="C444">
        <v>4</v>
      </c>
    </row>
    <row r="445" spans="1:3">
      <c r="A445">
        <v>119</v>
      </c>
      <c r="B445">
        <v>7</v>
      </c>
      <c r="C445">
        <v>5</v>
      </c>
    </row>
    <row r="446" spans="1:3">
      <c r="A446">
        <v>119</v>
      </c>
      <c r="B446">
        <v>23</v>
      </c>
      <c r="C446">
        <v>9</v>
      </c>
    </row>
    <row r="447" spans="1:3">
      <c r="A447">
        <v>119</v>
      </c>
      <c r="B447">
        <v>10</v>
      </c>
      <c r="C447">
        <v>3</v>
      </c>
    </row>
    <row r="448" spans="1:3">
      <c r="A448">
        <v>119</v>
      </c>
      <c r="B448">
        <v>11</v>
      </c>
      <c r="C448">
        <v>2</v>
      </c>
    </row>
    <row r="449" spans="1:3">
      <c r="A449">
        <v>119</v>
      </c>
      <c r="B449">
        <v>28</v>
      </c>
      <c r="C449">
        <v>10</v>
      </c>
    </row>
    <row r="450" spans="1:3">
      <c r="A450">
        <v>119</v>
      </c>
      <c r="B450">
        <v>19</v>
      </c>
      <c r="C450">
        <v>7</v>
      </c>
    </row>
    <row r="451" spans="1:3">
      <c r="A451">
        <v>119</v>
      </c>
      <c r="B451">
        <v>15</v>
      </c>
      <c r="C451">
        <v>6</v>
      </c>
    </row>
    <row r="452" spans="1:3">
      <c r="A452">
        <v>120</v>
      </c>
      <c r="B452">
        <v>8</v>
      </c>
      <c r="C452">
        <v>10</v>
      </c>
    </row>
    <row r="453" spans="1:3">
      <c r="A453">
        <v>120</v>
      </c>
      <c r="B453">
        <v>7</v>
      </c>
      <c r="C453">
        <v>8</v>
      </c>
    </row>
    <row r="454" spans="1:3">
      <c r="A454">
        <v>120</v>
      </c>
      <c r="B454">
        <v>9</v>
      </c>
      <c r="C454">
        <v>6</v>
      </c>
    </row>
    <row r="455" spans="1:3">
      <c r="A455">
        <v>120</v>
      </c>
      <c r="B455">
        <v>25</v>
      </c>
      <c r="C455">
        <v>5</v>
      </c>
    </row>
    <row r="456" spans="1:3">
      <c r="A456">
        <v>120</v>
      </c>
      <c r="B456">
        <v>30</v>
      </c>
      <c r="C456">
        <v>6</v>
      </c>
    </row>
    <row r="457" spans="1:3">
      <c r="A457">
        <v>120</v>
      </c>
      <c r="B457">
        <v>29</v>
      </c>
      <c r="C457">
        <v>10</v>
      </c>
    </row>
    <row r="458" spans="1:3">
      <c r="A458">
        <v>120</v>
      </c>
      <c r="B458">
        <v>17</v>
      </c>
      <c r="C458">
        <v>8</v>
      </c>
    </row>
    <row r="459" spans="1:3">
      <c r="A459">
        <v>120</v>
      </c>
      <c r="B459">
        <v>20</v>
      </c>
      <c r="C459">
        <v>8</v>
      </c>
    </row>
    <row r="460" spans="1:3">
      <c r="A460">
        <v>120</v>
      </c>
      <c r="B460">
        <v>21</v>
      </c>
      <c r="C460">
        <v>7</v>
      </c>
    </row>
    <row r="461" spans="1:3">
      <c r="A461">
        <v>120</v>
      </c>
      <c r="B461">
        <v>1</v>
      </c>
      <c r="C461">
        <v>7</v>
      </c>
    </row>
    <row r="462" spans="1:3">
      <c r="A462">
        <v>123</v>
      </c>
      <c r="B462">
        <v>24</v>
      </c>
      <c r="C462">
        <v>8</v>
      </c>
    </row>
    <row r="463" spans="1:3">
      <c r="A463">
        <v>123</v>
      </c>
      <c r="B463">
        <v>14</v>
      </c>
      <c r="C463">
        <v>7</v>
      </c>
    </row>
    <row r="464" spans="1:3">
      <c r="A464">
        <v>123</v>
      </c>
      <c r="B464">
        <v>19</v>
      </c>
      <c r="C464">
        <v>7</v>
      </c>
    </row>
    <row r="465" spans="1:3">
      <c r="A465">
        <v>123</v>
      </c>
      <c r="B465">
        <v>3</v>
      </c>
      <c r="C465">
        <v>8</v>
      </c>
    </row>
    <row r="466" spans="1:3">
      <c r="A466">
        <v>123</v>
      </c>
      <c r="B466">
        <v>8</v>
      </c>
      <c r="C466">
        <v>7</v>
      </c>
    </row>
    <row r="467" spans="1:3">
      <c r="A467">
        <v>123</v>
      </c>
      <c r="B467">
        <v>12</v>
      </c>
      <c r="C467">
        <v>8</v>
      </c>
    </row>
    <row r="468" spans="1:3">
      <c r="A468">
        <v>123</v>
      </c>
      <c r="B468">
        <v>29</v>
      </c>
      <c r="C468">
        <v>7</v>
      </c>
    </row>
    <row r="469" spans="1:3">
      <c r="A469">
        <v>123</v>
      </c>
      <c r="B469">
        <v>2</v>
      </c>
      <c r="C469">
        <v>6</v>
      </c>
    </row>
    <row r="470" spans="1:3">
      <c r="A470">
        <v>123</v>
      </c>
      <c r="B470">
        <v>31</v>
      </c>
      <c r="C470">
        <v>7</v>
      </c>
    </row>
    <row r="471" spans="1:3">
      <c r="A471">
        <v>123</v>
      </c>
      <c r="B471">
        <v>26</v>
      </c>
      <c r="C471">
        <v>7</v>
      </c>
    </row>
    <row r="472" spans="1:3">
      <c r="A472">
        <v>124</v>
      </c>
      <c r="B472">
        <v>18</v>
      </c>
      <c r="C472">
        <v>6</v>
      </c>
    </row>
    <row r="473" spans="1:3">
      <c r="A473">
        <v>124</v>
      </c>
      <c r="B473">
        <v>19</v>
      </c>
      <c r="C473">
        <v>9</v>
      </c>
    </row>
    <row r="474" spans="1:3">
      <c r="A474">
        <v>124</v>
      </c>
      <c r="B474">
        <v>14</v>
      </c>
      <c r="C474">
        <v>8</v>
      </c>
    </row>
    <row r="475" spans="1:3">
      <c r="A475">
        <v>124</v>
      </c>
      <c r="B475">
        <v>13</v>
      </c>
      <c r="C475">
        <v>6</v>
      </c>
    </row>
    <row r="476" spans="1:3">
      <c r="A476">
        <v>124</v>
      </c>
      <c r="B476">
        <v>16</v>
      </c>
      <c r="C476">
        <v>6</v>
      </c>
    </row>
    <row r="477" spans="1:3">
      <c r="A477">
        <v>124</v>
      </c>
      <c r="B477">
        <v>29</v>
      </c>
      <c r="C477">
        <v>8</v>
      </c>
    </row>
    <row r="478" spans="1:3">
      <c r="A478">
        <v>124</v>
      </c>
      <c r="B478">
        <v>25</v>
      </c>
      <c r="C478">
        <v>9</v>
      </c>
    </row>
    <row r="479" spans="1:3">
      <c r="A479">
        <v>124</v>
      </c>
      <c r="B479">
        <v>6</v>
      </c>
      <c r="C479">
        <v>8</v>
      </c>
    </row>
    <row r="480" spans="1:3">
      <c r="A480">
        <v>124</v>
      </c>
      <c r="B480">
        <v>24</v>
      </c>
      <c r="C480">
        <v>7</v>
      </c>
    </row>
    <row r="481" spans="1:3">
      <c r="A481">
        <v>124</v>
      </c>
      <c r="B481">
        <v>7</v>
      </c>
      <c r="C481">
        <v>9</v>
      </c>
    </row>
    <row r="482" spans="1:3">
      <c r="A482">
        <v>126</v>
      </c>
      <c r="B482">
        <v>14</v>
      </c>
      <c r="C482">
        <v>9</v>
      </c>
    </row>
    <row r="483" spans="1:3">
      <c r="A483">
        <v>126</v>
      </c>
      <c r="B483">
        <v>18</v>
      </c>
      <c r="C483">
        <v>7</v>
      </c>
    </row>
    <row r="484" spans="1:3">
      <c r="A484">
        <v>126</v>
      </c>
      <c r="B484">
        <v>10</v>
      </c>
      <c r="C484">
        <v>8</v>
      </c>
    </row>
    <row r="485" spans="1:3">
      <c r="A485">
        <v>126</v>
      </c>
      <c r="B485">
        <v>1</v>
      </c>
      <c r="C485">
        <v>7</v>
      </c>
    </row>
    <row r="486" spans="1:3">
      <c r="A486">
        <v>126</v>
      </c>
      <c r="B486">
        <v>4</v>
      </c>
      <c r="C486">
        <v>9</v>
      </c>
    </row>
    <row r="487" spans="1:3">
      <c r="A487">
        <v>126</v>
      </c>
      <c r="B487">
        <v>32</v>
      </c>
      <c r="C487">
        <v>6</v>
      </c>
    </row>
    <row r="488" spans="1:3">
      <c r="A488">
        <v>126</v>
      </c>
      <c r="B488">
        <v>5</v>
      </c>
      <c r="C488">
        <v>10</v>
      </c>
    </row>
    <row r="489" spans="1:3">
      <c r="A489">
        <v>126</v>
      </c>
      <c r="B489">
        <v>12</v>
      </c>
      <c r="C489">
        <v>10</v>
      </c>
    </row>
    <row r="490" spans="1:3">
      <c r="A490">
        <v>126</v>
      </c>
      <c r="B490">
        <v>25</v>
      </c>
      <c r="C490">
        <v>8</v>
      </c>
    </row>
    <row r="491" spans="1:3">
      <c r="A491">
        <v>126</v>
      </c>
      <c r="B491">
        <v>22</v>
      </c>
      <c r="C491">
        <v>8</v>
      </c>
    </row>
    <row r="492" spans="1:3">
      <c r="A492">
        <v>128</v>
      </c>
      <c r="B492">
        <v>24</v>
      </c>
      <c r="C492">
        <v>5</v>
      </c>
    </row>
    <row r="493" spans="1:3">
      <c r="A493">
        <v>128</v>
      </c>
      <c r="B493">
        <v>14</v>
      </c>
      <c r="C493">
        <v>6</v>
      </c>
    </row>
    <row r="494" spans="1:3">
      <c r="A494">
        <v>128</v>
      </c>
      <c r="B494">
        <v>8</v>
      </c>
      <c r="C494">
        <v>8</v>
      </c>
    </row>
    <row r="495" spans="1:3">
      <c r="A495">
        <v>128</v>
      </c>
      <c r="B495">
        <v>4</v>
      </c>
      <c r="C495">
        <v>6</v>
      </c>
    </row>
    <row r="496" spans="1:3">
      <c r="A496">
        <v>128</v>
      </c>
      <c r="B496">
        <v>6</v>
      </c>
      <c r="C496">
        <v>5</v>
      </c>
    </row>
    <row r="497" spans="1:3">
      <c r="A497">
        <v>128</v>
      </c>
      <c r="B497">
        <v>13</v>
      </c>
      <c r="C497">
        <v>4</v>
      </c>
    </row>
    <row r="498" spans="1:3">
      <c r="A498">
        <v>128</v>
      </c>
      <c r="B498">
        <v>23</v>
      </c>
      <c r="C498">
        <v>8</v>
      </c>
    </row>
    <row r="499" spans="1:3">
      <c r="A499">
        <v>128</v>
      </c>
      <c r="B499">
        <v>28</v>
      </c>
      <c r="C499">
        <v>5</v>
      </c>
    </row>
    <row r="500" spans="1:3">
      <c r="A500">
        <v>128</v>
      </c>
      <c r="B500">
        <v>12</v>
      </c>
      <c r="C500">
        <v>5</v>
      </c>
    </row>
    <row r="501" spans="1:3">
      <c r="A501">
        <v>128</v>
      </c>
      <c r="B501">
        <v>32</v>
      </c>
      <c r="C501">
        <v>2</v>
      </c>
    </row>
    <row r="502" spans="1:3">
      <c r="A502">
        <v>129</v>
      </c>
      <c r="B502">
        <v>18</v>
      </c>
      <c r="C502">
        <v>6</v>
      </c>
    </row>
    <row r="503" spans="1:3">
      <c r="A503">
        <v>129</v>
      </c>
      <c r="B503">
        <v>4</v>
      </c>
      <c r="C503">
        <v>8</v>
      </c>
    </row>
    <row r="504" spans="1:3">
      <c r="A504">
        <v>129</v>
      </c>
      <c r="B504">
        <v>27</v>
      </c>
      <c r="C504">
        <v>9</v>
      </c>
    </row>
    <row r="505" spans="1:3">
      <c r="A505">
        <v>129</v>
      </c>
      <c r="B505">
        <v>9</v>
      </c>
      <c r="C505">
        <v>10</v>
      </c>
    </row>
    <row r="506" spans="1:3">
      <c r="A506">
        <v>129</v>
      </c>
      <c r="B506">
        <v>26</v>
      </c>
      <c r="C506">
        <v>7</v>
      </c>
    </row>
    <row r="507" spans="1:3">
      <c r="A507">
        <v>129</v>
      </c>
      <c r="B507">
        <v>5</v>
      </c>
      <c r="C507">
        <v>9</v>
      </c>
    </row>
    <row r="508" spans="1:3">
      <c r="A508">
        <v>129</v>
      </c>
      <c r="B508">
        <v>31</v>
      </c>
      <c r="C508">
        <v>7</v>
      </c>
    </row>
    <row r="509" spans="1:3">
      <c r="A509">
        <v>129</v>
      </c>
      <c r="B509">
        <v>21</v>
      </c>
      <c r="C509">
        <v>7</v>
      </c>
    </row>
    <row r="510" spans="1:3">
      <c r="A510">
        <v>129</v>
      </c>
      <c r="B510">
        <v>25</v>
      </c>
      <c r="C510">
        <v>9</v>
      </c>
    </row>
    <row r="511" spans="1:3">
      <c r="A511">
        <v>129</v>
      </c>
      <c r="B511">
        <v>2</v>
      </c>
      <c r="C511">
        <v>10</v>
      </c>
    </row>
    <row r="512" spans="1:3">
      <c r="A512">
        <v>137</v>
      </c>
      <c r="B512">
        <v>1</v>
      </c>
      <c r="C512">
        <v>7</v>
      </c>
    </row>
    <row r="513" spans="1:3">
      <c r="A513">
        <v>137</v>
      </c>
      <c r="B513">
        <v>9</v>
      </c>
      <c r="C513">
        <v>9</v>
      </c>
    </row>
    <row r="514" spans="1:3">
      <c r="A514">
        <v>137</v>
      </c>
      <c r="B514">
        <v>14</v>
      </c>
      <c r="C514">
        <v>9</v>
      </c>
    </row>
    <row r="515" spans="1:3">
      <c r="A515">
        <v>137</v>
      </c>
      <c r="B515">
        <v>16</v>
      </c>
      <c r="C515">
        <v>7</v>
      </c>
    </row>
    <row r="516" spans="1:3">
      <c r="A516">
        <v>137</v>
      </c>
      <c r="B516">
        <v>31</v>
      </c>
      <c r="C516">
        <v>10</v>
      </c>
    </row>
    <row r="517" spans="1:3">
      <c r="A517">
        <v>137</v>
      </c>
      <c r="B517">
        <v>25</v>
      </c>
      <c r="C517">
        <v>8</v>
      </c>
    </row>
    <row r="518" spans="1:3">
      <c r="A518">
        <v>137</v>
      </c>
      <c r="B518">
        <v>32</v>
      </c>
      <c r="C518">
        <v>10</v>
      </c>
    </row>
    <row r="519" spans="1:3">
      <c r="A519">
        <v>137</v>
      </c>
      <c r="B519">
        <v>22</v>
      </c>
      <c r="C519">
        <v>9</v>
      </c>
    </row>
    <row r="520" spans="1:3">
      <c r="A520">
        <v>137</v>
      </c>
      <c r="B520">
        <v>26</v>
      </c>
      <c r="C520">
        <v>6</v>
      </c>
    </row>
    <row r="521" spans="1:3">
      <c r="A521">
        <v>137</v>
      </c>
      <c r="B521">
        <v>19</v>
      </c>
      <c r="C521">
        <v>6</v>
      </c>
    </row>
    <row r="522" spans="1:3">
      <c r="A522">
        <v>140</v>
      </c>
      <c r="B522">
        <v>6</v>
      </c>
      <c r="C522">
        <v>7</v>
      </c>
    </row>
    <row r="523" spans="1:3">
      <c r="A523">
        <v>140</v>
      </c>
      <c r="B523">
        <v>18</v>
      </c>
      <c r="C523">
        <v>7</v>
      </c>
    </row>
    <row r="524" spans="1:3">
      <c r="A524">
        <v>140</v>
      </c>
      <c r="B524">
        <v>32</v>
      </c>
      <c r="C524">
        <v>9</v>
      </c>
    </row>
    <row r="525" spans="1:3">
      <c r="A525">
        <v>140</v>
      </c>
      <c r="B525">
        <v>14</v>
      </c>
      <c r="C525">
        <v>8</v>
      </c>
    </row>
    <row r="526" spans="1:3">
      <c r="A526">
        <v>140</v>
      </c>
      <c r="B526">
        <v>20</v>
      </c>
      <c r="C526">
        <v>10</v>
      </c>
    </row>
    <row r="527" spans="1:3">
      <c r="A527">
        <v>140</v>
      </c>
      <c r="B527">
        <v>19</v>
      </c>
      <c r="C527">
        <v>9</v>
      </c>
    </row>
    <row r="528" spans="1:3">
      <c r="A528">
        <v>140</v>
      </c>
      <c r="B528">
        <v>11</v>
      </c>
      <c r="C528">
        <v>9</v>
      </c>
    </row>
    <row r="529" spans="1:3">
      <c r="A529">
        <v>140</v>
      </c>
      <c r="B529">
        <v>3</v>
      </c>
      <c r="C529">
        <v>8</v>
      </c>
    </row>
    <row r="530" spans="1:3">
      <c r="A530">
        <v>140</v>
      </c>
      <c r="B530">
        <v>15</v>
      </c>
      <c r="C530">
        <v>8</v>
      </c>
    </row>
    <row r="531" spans="1:3">
      <c r="A531">
        <v>140</v>
      </c>
      <c r="B531">
        <v>13</v>
      </c>
      <c r="C531">
        <v>10</v>
      </c>
    </row>
    <row r="532" spans="1:3">
      <c r="A532">
        <v>142</v>
      </c>
      <c r="B532">
        <v>31</v>
      </c>
      <c r="C532">
        <v>7</v>
      </c>
    </row>
    <row r="533" spans="1:3">
      <c r="A533">
        <v>142</v>
      </c>
      <c r="B533">
        <v>22</v>
      </c>
      <c r="C533">
        <v>8</v>
      </c>
    </row>
    <row r="534" spans="1:3">
      <c r="A534">
        <v>142</v>
      </c>
      <c r="B534">
        <v>12</v>
      </c>
      <c r="C534">
        <v>8</v>
      </c>
    </row>
    <row r="535" spans="1:3">
      <c r="A535">
        <v>142</v>
      </c>
      <c r="B535">
        <v>17</v>
      </c>
      <c r="C535">
        <v>8</v>
      </c>
    </row>
    <row r="536" spans="1:3">
      <c r="A536">
        <v>142</v>
      </c>
      <c r="B536">
        <v>28</v>
      </c>
      <c r="C536">
        <v>7</v>
      </c>
    </row>
    <row r="537" spans="1:3">
      <c r="A537">
        <v>142</v>
      </c>
      <c r="B537">
        <v>15</v>
      </c>
      <c r="C537">
        <v>7</v>
      </c>
    </row>
    <row r="538" spans="1:3">
      <c r="A538">
        <v>142</v>
      </c>
      <c r="B538">
        <v>9</v>
      </c>
      <c r="C538">
        <v>7</v>
      </c>
    </row>
    <row r="539" spans="1:3">
      <c r="A539">
        <v>142</v>
      </c>
      <c r="B539">
        <v>32</v>
      </c>
      <c r="C539">
        <v>8</v>
      </c>
    </row>
    <row r="540" spans="1:3">
      <c r="A540">
        <v>142</v>
      </c>
      <c r="B540">
        <v>11</v>
      </c>
      <c r="C540">
        <v>6</v>
      </c>
    </row>
    <row r="541" spans="1:3">
      <c r="A541">
        <v>142</v>
      </c>
      <c r="B541">
        <v>6</v>
      </c>
      <c r="C541">
        <v>7</v>
      </c>
    </row>
    <row r="542" spans="1:3">
      <c r="A542">
        <v>143</v>
      </c>
      <c r="B542">
        <v>10</v>
      </c>
      <c r="C542">
        <v>8</v>
      </c>
    </row>
    <row r="543" spans="1:3">
      <c r="A543">
        <v>143</v>
      </c>
      <c r="B543">
        <v>22</v>
      </c>
      <c r="C543">
        <v>8</v>
      </c>
    </row>
    <row r="544" spans="1:3">
      <c r="A544">
        <v>143</v>
      </c>
      <c r="B544">
        <v>18</v>
      </c>
      <c r="C544">
        <v>7</v>
      </c>
    </row>
    <row r="545" spans="1:3">
      <c r="A545">
        <v>143</v>
      </c>
      <c r="B545">
        <v>28</v>
      </c>
      <c r="C545">
        <v>7</v>
      </c>
    </row>
    <row r="546" spans="1:3">
      <c r="A546">
        <v>143</v>
      </c>
      <c r="B546">
        <v>4</v>
      </c>
      <c r="C546">
        <v>8</v>
      </c>
    </row>
    <row r="547" spans="1:3">
      <c r="A547">
        <v>143</v>
      </c>
      <c r="B547">
        <v>32</v>
      </c>
      <c r="C547">
        <v>6</v>
      </c>
    </row>
    <row r="548" spans="1:3">
      <c r="A548">
        <v>143</v>
      </c>
      <c r="B548">
        <v>27</v>
      </c>
      <c r="C548">
        <v>6</v>
      </c>
    </row>
    <row r="549" spans="1:3">
      <c r="A549">
        <v>143</v>
      </c>
      <c r="B549">
        <v>19</v>
      </c>
      <c r="C549">
        <v>7</v>
      </c>
    </row>
    <row r="550" spans="1:3">
      <c r="A550">
        <v>143</v>
      </c>
      <c r="B550">
        <v>13</v>
      </c>
      <c r="C550">
        <v>7</v>
      </c>
    </row>
    <row r="551" spans="1:3">
      <c r="A551">
        <v>143</v>
      </c>
      <c r="B551">
        <v>14</v>
      </c>
      <c r="C551">
        <v>8</v>
      </c>
    </row>
    <row r="552" spans="1:3">
      <c r="A552">
        <v>144</v>
      </c>
      <c r="B552">
        <v>30</v>
      </c>
      <c r="C552">
        <v>7</v>
      </c>
    </row>
    <row r="553" spans="1:3">
      <c r="A553">
        <v>144</v>
      </c>
      <c r="B553">
        <v>5</v>
      </c>
      <c r="C553">
        <v>10</v>
      </c>
    </row>
    <row r="554" spans="1:3">
      <c r="A554">
        <v>144</v>
      </c>
      <c r="B554">
        <v>28</v>
      </c>
      <c r="C554">
        <v>9</v>
      </c>
    </row>
    <row r="555" spans="1:3">
      <c r="A555">
        <v>144</v>
      </c>
      <c r="B555">
        <v>22</v>
      </c>
      <c r="C555">
        <v>7</v>
      </c>
    </row>
    <row r="556" spans="1:3">
      <c r="A556">
        <v>144</v>
      </c>
      <c r="B556">
        <v>32</v>
      </c>
      <c r="C556">
        <v>7</v>
      </c>
    </row>
    <row r="557" spans="1:3">
      <c r="A557">
        <v>144</v>
      </c>
      <c r="B557">
        <v>15</v>
      </c>
      <c r="C557">
        <v>9</v>
      </c>
    </row>
    <row r="558" spans="1:3">
      <c r="A558">
        <v>144</v>
      </c>
      <c r="B558">
        <v>3</v>
      </c>
      <c r="C558">
        <v>10</v>
      </c>
    </row>
    <row r="559" spans="1:3">
      <c r="A559">
        <v>144</v>
      </c>
      <c r="B559">
        <v>18</v>
      </c>
      <c r="C559">
        <v>8</v>
      </c>
    </row>
    <row r="560" spans="1:3">
      <c r="A560">
        <v>144</v>
      </c>
      <c r="B560">
        <v>8</v>
      </c>
      <c r="C560">
        <v>8</v>
      </c>
    </row>
    <row r="561" spans="1:3">
      <c r="A561">
        <v>144</v>
      </c>
      <c r="B561">
        <v>29</v>
      </c>
      <c r="C561">
        <v>7</v>
      </c>
    </row>
    <row r="562" spans="1:3">
      <c r="A562">
        <v>145</v>
      </c>
      <c r="B562">
        <v>5</v>
      </c>
      <c r="C562">
        <v>8</v>
      </c>
    </row>
    <row r="563" spans="1:3">
      <c r="A563">
        <v>145</v>
      </c>
      <c r="B563">
        <v>29</v>
      </c>
      <c r="C563">
        <v>7</v>
      </c>
    </row>
    <row r="564" spans="1:3">
      <c r="A564">
        <v>145</v>
      </c>
      <c r="B564">
        <v>30</v>
      </c>
      <c r="C564">
        <v>7</v>
      </c>
    </row>
    <row r="565" spans="1:3">
      <c r="A565">
        <v>145</v>
      </c>
      <c r="B565">
        <v>24</v>
      </c>
      <c r="C565">
        <v>7</v>
      </c>
    </row>
    <row r="566" spans="1:3">
      <c r="A566">
        <v>145</v>
      </c>
      <c r="B566">
        <v>0</v>
      </c>
      <c r="C566">
        <v>8</v>
      </c>
    </row>
    <row r="567" spans="1:3">
      <c r="A567">
        <v>145</v>
      </c>
      <c r="B567">
        <v>15</v>
      </c>
      <c r="C567">
        <v>8</v>
      </c>
    </row>
    <row r="568" spans="1:3">
      <c r="A568">
        <v>145</v>
      </c>
      <c r="B568">
        <v>26</v>
      </c>
      <c r="C568">
        <v>7</v>
      </c>
    </row>
    <row r="569" spans="1:3">
      <c r="A569">
        <v>145</v>
      </c>
      <c r="B569">
        <v>28</v>
      </c>
      <c r="C569">
        <v>6</v>
      </c>
    </row>
    <row r="570" spans="1:3">
      <c r="A570">
        <v>145</v>
      </c>
      <c r="B570">
        <v>19</v>
      </c>
      <c r="C570">
        <v>7</v>
      </c>
    </row>
    <row r="571" spans="1:3">
      <c r="A571">
        <v>145</v>
      </c>
      <c r="B571">
        <v>10</v>
      </c>
      <c r="C571">
        <v>8</v>
      </c>
    </row>
    <row r="572" spans="1:3">
      <c r="A572">
        <v>148</v>
      </c>
      <c r="B572">
        <v>3</v>
      </c>
      <c r="C572">
        <v>10</v>
      </c>
    </row>
    <row r="573" spans="1:3">
      <c r="A573">
        <v>148</v>
      </c>
      <c r="B573">
        <v>18</v>
      </c>
      <c r="C573">
        <v>2</v>
      </c>
    </row>
    <row r="574" spans="1:3">
      <c r="A574">
        <v>148</v>
      </c>
      <c r="B574">
        <v>6</v>
      </c>
      <c r="C574">
        <v>4</v>
      </c>
    </row>
    <row r="575" spans="1:3">
      <c r="A575">
        <v>148</v>
      </c>
      <c r="B575">
        <v>16</v>
      </c>
      <c r="C575">
        <v>2</v>
      </c>
    </row>
    <row r="576" spans="1:3">
      <c r="A576">
        <v>148</v>
      </c>
      <c r="B576">
        <v>26</v>
      </c>
      <c r="C576">
        <v>5</v>
      </c>
    </row>
    <row r="577" spans="1:3">
      <c r="A577">
        <v>148</v>
      </c>
      <c r="B577">
        <v>0</v>
      </c>
      <c r="C577">
        <v>10</v>
      </c>
    </row>
    <row r="578" spans="1:3">
      <c r="A578">
        <v>148</v>
      </c>
      <c r="B578">
        <v>1</v>
      </c>
      <c r="C578">
        <v>10</v>
      </c>
    </row>
    <row r="579" spans="1:3">
      <c r="A579">
        <v>148</v>
      </c>
      <c r="B579">
        <v>24</v>
      </c>
      <c r="C579">
        <v>5</v>
      </c>
    </row>
    <row r="580" spans="1:3">
      <c r="A580">
        <v>148</v>
      </c>
      <c r="B580">
        <v>5</v>
      </c>
      <c r="C580">
        <v>4</v>
      </c>
    </row>
    <row r="581" spans="1:3">
      <c r="A581">
        <v>148</v>
      </c>
      <c r="B581">
        <v>2</v>
      </c>
      <c r="C581">
        <v>10</v>
      </c>
    </row>
    <row r="582" spans="1:3">
      <c r="A582">
        <v>152</v>
      </c>
      <c r="B582">
        <v>25</v>
      </c>
      <c r="C582">
        <v>9</v>
      </c>
    </row>
    <row r="583" spans="1:3">
      <c r="A583">
        <v>152</v>
      </c>
      <c r="B583">
        <v>5</v>
      </c>
      <c r="C583">
        <v>9</v>
      </c>
    </row>
    <row r="584" spans="1:3">
      <c r="A584">
        <v>152</v>
      </c>
      <c r="B584">
        <v>27</v>
      </c>
      <c r="C584">
        <v>7</v>
      </c>
    </row>
    <row r="585" spans="1:3">
      <c r="A585">
        <v>152</v>
      </c>
      <c r="B585">
        <v>24</v>
      </c>
      <c r="C585">
        <v>5</v>
      </c>
    </row>
    <row r="586" spans="1:3">
      <c r="A586">
        <v>152</v>
      </c>
      <c r="B586">
        <v>4</v>
      </c>
      <c r="C586">
        <v>8</v>
      </c>
    </row>
    <row r="587" spans="1:3">
      <c r="A587">
        <v>152</v>
      </c>
      <c r="B587">
        <v>10</v>
      </c>
      <c r="C587">
        <v>2</v>
      </c>
    </row>
    <row r="588" spans="1:3">
      <c r="A588">
        <v>152</v>
      </c>
      <c r="B588">
        <v>28</v>
      </c>
      <c r="C588">
        <v>2</v>
      </c>
    </row>
    <row r="589" spans="1:3">
      <c r="A589">
        <v>152</v>
      </c>
      <c r="B589">
        <v>15</v>
      </c>
      <c r="C589">
        <v>1</v>
      </c>
    </row>
    <row r="590" spans="1:3">
      <c r="A590">
        <v>152</v>
      </c>
      <c r="B590">
        <v>8</v>
      </c>
      <c r="C590">
        <v>2</v>
      </c>
    </row>
    <row r="591" spans="1:3">
      <c r="A591">
        <v>152</v>
      </c>
      <c r="B591">
        <v>19</v>
      </c>
      <c r="C591">
        <v>8</v>
      </c>
    </row>
    <row r="592" spans="1:3">
      <c r="A592">
        <v>154</v>
      </c>
      <c r="B592">
        <v>25</v>
      </c>
      <c r="C592">
        <v>7</v>
      </c>
    </row>
    <row r="593" spans="1:3">
      <c r="A593">
        <v>154</v>
      </c>
      <c r="B593">
        <v>6</v>
      </c>
      <c r="C593">
        <v>9</v>
      </c>
    </row>
    <row r="594" spans="1:3">
      <c r="A594">
        <v>154</v>
      </c>
      <c r="B594">
        <v>21</v>
      </c>
      <c r="C594">
        <v>6</v>
      </c>
    </row>
    <row r="595" spans="1:3">
      <c r="A595">
        <v>154</v>
      </c>
      <c r="B595">
        <v>13</v>
      </c>
      <c r="C595">
        <v>6</v>
      </c>
    </row>
    <row r="596" spans="1:3">
      <c r="A596">
        <v>154</v>
      </c>
      <c r="B596">
        <v>20</v>
      </c>
      <c r="C596">
        <v>6</v>
      </c>
    </row>
    <row r="597" spans="1:3">
      <c r="A597">
        <v>154</v>
      </c>
      <c r="B597">
        <v>30</v>
      </c>
      <c r="C597">
        <v>6</v>
      </c>
    </row>
    <row r="598" spans="1:3">
      <c r="A598">
        <v>154</v>
      </c>
      <c r="B598">
        <v>4</v>
      </c>
      <c r="C598">
        <v>10</v>
      </c>
    </row>
    <row r="599" spans="1:3">
      <c r="A599">
        <v>154</v>
      </c>
      <c r="B599">
        <v>27</v>
      </c>
      <c r="C599">
        <v>9</v>
      </c>
    </row>
    <row r="600" spans="1:3">
      <c r="A600">
        <v>154</v>
      </c>
      <c r="B600">
        <v>11</v>
      </c>
      <c r="C600">
        <v>8</v>
      </c>
    </row>
    <row r="601" spans="1:3">
      <c r="A601">
        <v>154</v>
      </c>
      <c r="B601">
        <v>8</v>
      </c>
      <c r="C601">
        <v>9</v>
      </c>
    </row>
    <row r="602" spans="1:3">
      <c r="A602">
        <v>156</v>
      </c>
      <c r="B602">
        <v>21</v>
      </c>
      <c r="C602">
        <v>8</v>
      </c>
    </row>
    <row r="603" spans="1:3">
      <c r="A603">
        <v>156</v>
      </c>
      <c r="B603">
        <v>12</v>
      </c>
      <c r="C603">
        <v>9</v>
      </c>
    </row>
    <row r="604" spans="1:3">
      <c r="A604">
        <v>156</v>
      </c>
      <c r="B604">
        <v>26</v>
      </c>
      <c r="C604">
        <v>8</v>
      </c>
    </row>
    <row r="605" spans="1:3">
      <c r="A605">
        <v>156</v>
      </c>
      <c r="B605">
        <v>28</v>
      </c>
      <c r="C605">
        <v>8</v>
      </c>
    </row>
    <row r="606" spans="1:3">
      <c r="A606">
        <v>156</v>
      </c>
      <c r="B606">
        <v>5</v>
      </c>
      <c r="C606">
        <v>10</v>
      </c>
    </row>
    <row r="607" spans="1:3">
      <c r="A607">
        <v>156</v>
      </c>
      <c r="B607">
        <v>22</v>
      </c>
      <c r="C607">
        <v>8</v>
      </c>
    </row>
    <row r="608" spans="1:3">
      <c r="A608">
        <v>156</v>
      </c>
      <c r="B608">
        <v>1</v>
      </c>
      <c r="C608">
        <v>10</v>
      </c>
    </row>
    <row r="609" spans="1:3">
      <c r="A609">
        <v>156</v>
      </c>
      <c r="B609">
        <v>9</v>
      </c>
      <c r="C609">
        <v>8</v>
      </c>
    </row>
    <row r="610" spans="1:3">
      <c r="A610">
        <v>156</v>
      </c>
      <c r="B610">
        <v>19</v>
      </c>
      <c r="C610">
        <v>9</v>
      </c>
    </row>
    <row r="611" spans="1:3">
      <c r="A611">
        <v>156</v>
      </c>
      <c r="B611">
        <v>23</v>
      </c>
      <c r="C611">
        <v>6</v>
      </c>
    </row>
    <row r="612" spans="1:3">
      <c r="A612">
        <v>160</v>
      </c>
      <c r="B612">
        <v>8</v>
      </c>
      <c r="C612">
        <v>1</v>
      </c>
    </row>
    <row r="613" spans="1:3">
      <c r="A613">
        <v>160</v>
      </c>
      <c r="B613">
        <v>27</v>
      </c>
      <c r="C613">
        <v>3</v>
      </c>
    </row>
    <row r="614" spans="1:3">
      <c r="A614">
        <v>160</v>
      </c>
      <c r="B614">
        <v>12</v>
      </c>
      <c r="C614">
        <v>10</v>
      </c>
    </row>
    <row r="615" spans="1:3">
      <c r="A615">
        <v>160</v>
      </c>
      <c r="B615">
        <v>31</v>
      </c>
      <c r="C615">
        <v>1</v>
      </c>
    </row>
    <row r="616" spans="1:3">
      <c r="A616">
        <v>160</v>
      </c>
      <c r="B616">
        <v>7</v>
      </c>
      <c r="C616">
        <v>1</v>
      </c>
    </row>
    <row r="617" spans="1:3">
      <c r="A617">
        <v>160</v>
      </c>
      <c r="B617">
        <v>9</v>
      </c>
      <c r="C617">
        <v>6</v>
      </c>
    </row>
    <row r="618" spans="1:3">
      <c r="A618">
        <v>160</v>
      </c>
      <c r="B618">
        <v>6</v>
      </c>
      <c r="C618">
        <v>4</v>
      </c>
    </row>
    <row r="619" spans="1:3">
      <c r="A619">
        <v>160</v>
      </c>
      <c r="B619">
        <v>20</v>
      </c>
      <c r="C619">
        <v>7</v>
      </c>
    </row>
    <row r="620" spans="1:3">
      <c r="A620">
        <v>160</v>
      </c>
      <c r="B620">
        <v>30</v>
      </c>
      <c r="C620">
        <v>1</v>
      </c>
    </row>
    <row r="621" spans="1:3">
      <c r="A621">
        <v>160</v>
      </c>
      <c r="B621">
        <v>18</v>
      </c>
      <c r="C621">
        <v>1</v>
      </c>
    </row>
    <row r="622" spans="1:3">
      <c r="A622">
        <v>162</v>
      </c>
      <c r="B622">
        <v>30</v>
      </c>
      <c r="C622">
        <v>9</v>
      </c>
    </row>
    <row r="623" spans="1:3">
      <c r="A623">
        <v>162</v>
      </c>
      <c r="B623">
        <v>17</v>
      </c>
      <c r="C623">
        <v>8</v>
      </c>
    </row>
    <row r="624" spans="1:3">
      <c r="A624">
        <v>162</v>
      </c>
      <c r="B624">
        <v>4</v>
      </c>
      <c r="C624">
        <v>6</v>
      </c>
    </row>
    <row r="625" spans="1:3">
      <c r="A625">
        <v>162</v>
      </c>
      <c r="B625">
        <v>24</v>
      </c>
      <c r="C625">
        <v>8</v>
      </c>
    </row>
    <row r="626" spans="1:3">
      <c r="A626">
        <v>162</v>
      </c>
      <c r="B626">
        <v>8</v>
      </c>
      <c r="C626">
        <v>9</v>
      </c>
    </row>
    <row r="627" spans="1:3">
      <c r="A627">
        <v>162</v>
      </c>
      <c r="B627">
        <v>32</v>
      </c>
      <c r="C627">
        <v>7</v>
      </c>
    </row>
    <row r="628" spans="1:3">
      <c r="A628">
        <v>162</v>
      </c>
      <c r="B628">
        <v>10</v>
      </c>
      <c r="C628">
        <v>6</v>
      </c>
    </row>
    <row r="629" spans="1:3">
      <c r="A629">
        <v>162</v>
      </c>
      <c r="B629">
        <v>5</v>
      </c>
      <c r="C629">
        <v>8</v>
      </c>
    </row>
    <row r="630" spans="1:3">
      <c r="A630">
        <v>162</v>
      </c>
      <c r="B630">
        <v>0</v>
      </c>
      <c r="C630">
        <v>7</v>
      </c>
    </row>
    <row r="631" spans="1:3">
      <c r="A631">
        <v>162</v>
      </c>
      <c r="B631">
        <v>3</v>
      </c>
      <c r="C631">
        <v>8</v>
      </c>
    </row>
    <row r="632" spans="1:3">
      <c r="A632">
        <v>164</v>
      </c>
      <c r="B632">
        <v>26</v>
      </c>
      <c r="C632">
        <v>8</v>
      </c>
    </row>
    <row r="633" spans="1:3">
      <c r="A633">
        <v>164</v>
      </c>
      <c r="B633">
        <v>9</v>
      </c>
      <c r="C633">
        <v>6</v>
      </c>
    </row>
    <row r="634" spans="1:3">
      <c r="A634">
        <v>164</v>
      </c>
      <c r="B634">
        <v>2</v>
      </c>
      <c r="C634">
        <v>7</v>
      </c>
    </row>
    <row r="635" spans="1:3">
      <c r="A635">
        <v>164</v>
      </c>
      <c r="B635">
        <v>28</v>
      </c>
      <c r="C635">
        <v>8</v>
      </c>
    </row>
    <row r="636" spans="1:3">
      <c r="A636">
        <v>164</v>
      </c>
      <c r="B636">
        <v>17</v>
      </c>
      <c r="C636">
        <v>6</v>
      </c>
    </row>
    <row r="637" spans="1:3">
      <c r="A637">
        <v>164</v>
      </c>
      <c r="B637">
        <v>4</v>
      </c>
      <c r="C637">
        <v>4</v>
      </c>
    </row>
    <row r="638" spans="1:3">
      <c r="A638">
        <v>164</v>
      </c>
      <c r="B638">
        <v>23</v>
      </c>
      <c r="C638">
        <v>6</v>
      </c>
    </row>
    <row r="639" spans="1:3">
      <c r="A639">
        <v>164</v>
      </c>
      <c r="B639">
        <v>7</v>
      </c>
      <c r="C639">
        <v>8</v>
      </c>
    </row>
    <row r="640" spans="1:3">
      <c r="A640">
        <v>164</v>
      </c>
      <c r="B640">
        <v>16</v>
      </c>
      <c r="C640">
        <v>5</v>
      </c>
    </row>
    <row r="641" spans="1:3">
      <c r="A641">
        <v>164</v>
      </c>
      <c r="B641">
        <v>24</v>
      </c>
      <c r="C641">
        <v>7</v>
      </c>
    </row>
    <row r="642" spans="1:3">
      <c r="A642">
        <v>169</v>
      </c>
      <c r="B642">
        <v>31</v>
      </c>
      <c r="C642">
        <v>1</v>
      </c>
    </row>
    <row r="643" spans="1:3">
      <c r="A643">
        <v>169</v>
      </c>
      <c r="B643">
        <v>1</v>
      </c>
      <c r="C643">
        <v>5</v>
      </c>
    </row>
    <row r="644" spans="1:3">
      <c r="A644">
        <v>169</v>
      </c>
      <c r="B644">
        <v>5</v>
      </c>
      <c r="C644">
        <v>7</v>
      </c>
    </row>
    <row r="645" spans="1:3">
      <c r="A645">
        <v>169</v>
      </c>
      <c r="B645">
        <v>25</v>
      </c>
      <c r="C645">
        <v>9</v>
      </c>
    </row>
    <row r="646" spans="1:3">
      <c r="A646">
        <v>169</v>
      </c>
      <c r="B646">
        <v>3</v>
      </c>
      <c r="C646">
        <v>10</v>
      </c>
    </row>
    <row r="647" spans="1:3">
      <c r="A647">
        <v>169</v>
      </c>
      <c r="B647">
        <v>27</v>
      </c>
      <c r="C647">
        <v>7</v>
      </c>
    </row>
    <row r="648" spans="1:3">
      <c r="A648">
        <v>169</v>
      </c>
      <c r="B648">
        <v>2</v>
      </c>
      <c r="C648">
        <v>10</v>
      </c>
    </row>
    <row r="649" spans="1:3">
      <c r="A649">
        <v>169</v>
      </c>
      <c r="B649">
        <v>12</v>
      </c>
      <c r="C649">
        <v>10</v>
      </c>
    </row>
    <row r="650" spans="1:3">
      <c r="A650">
        <v>169</v>
      </c>
      <c r="B650">
        <v>9</v>
      </c>
      <c r="C650">
        <v>8</v>
      </c>
    </row>
    <row r="651" spans="1:3">
      <c r="A651">
        <v>169</v>
      </c>
      <c r="B651">
        <v>26</v>
      </c>
      <c r="C651">
        <v>8</v>
      </c>
    </row>
    <row r="652" spans="1:3">
      <c r="A652">
        <v>178</v>
      </c>
      <c r="B652">
        <v>1</v>
      </c>
      <c r="C652">
        <v>10</v>
      </c>
    </row>
    <row r="653" spans="1:3">
      <c r="A653">
        <v>178</v>
      </c>
      <c r="B653">
        <v>10</v>
      </c>
      <c r="C653">
        <v>9</v>
      </c>
    </row>
    <row r="654" spans="1:3">
      <c r="A654">
        <v>178</v>
      </c>
      <c r="B654">
        <v>14</v>
      </c>
      <c r="C654">
        <v>5</v>
      </c>
    </row>
    <row r="655" spans="1:3">
      <c r="A655">
        <v>178</v>
      </c>
      <c r="B655">
        <v>4</v>
      </c>
      <c r="C655">
        <v>10</v>
      </c>
    </row>
    <row r="656" spans="1:3">
      <c r="A656">
        <v>178</v>
      </c>
      <c r="B656">
        <v>12</v>
      </c>
      <c r="C656">
        <v>8</v>
      </c>
    </row>
    <row r="657" spans="1:3">
      <c r="A657">
        <v>178</v>
      </c>
      <c r="B657">
        <v>0</v>
      </c>
      <c r="C657">
        <v>9</v>
      </c>
    </row>
    <row r="658" spans="1:3">
      <c r="A658">
        <v>178</v>
      </c>
      <c r="B658">
        <v>32</v>
      </c>
      <c r="C658">
        <v>6</v>
      </c>
    </row>
    <row r="659" spans="1:3">
      <c r="A659">
        <v>178</v>
      </c>
      <c r="B659">
        <v>22</v>
      </c>
      <c r="C659">
        <v>9</v>
      </c>
    </row>
    <row r="660" spans="1:3">
      <c r="A660">
        <v>178</v>
      </c>
      <c r="B660">
        <v>7</v>
      </c>
      <c r="C660">
        <v>10</v>
      </c>
    </row>
    <row r="661" spans="1:3">
      <c r="A661">
        <v>178</v>
      </c>
      <c r="B661">
        <v>15</v>
      </c>
      <c r="C661">
        <v>10</v>
      </c>
    </row>
    <row r="662" spans="1:3">
      <c r="A662">
        <v>183</v>
      </c>
      <c r="B662">
        <v>14</v>
      </c>
      <c r="C662">
        <v>7</v>
      </c>
    </row>
    <row r="663" spans="1:3">
      <c r="A663">
        <v>183</v>
      </c>
      <c r="B663">
        <v>22</v>
      </c>
      <c r="C663">
        <v>6</v>
      </c>
    </row>
    <row r="664" spans="1:3">
      <c r="A664">
        <v>183</v>
      </c>
      <c r="B664">
        <v>20</v>
      </c>
      <c r="C664">
        <v>8</v>
      </c>
    </row>
    <row r="665" spans="1:3">
      <c r="A665">
        <v>183</v>
      </c>
      <c r="B665">
        <v>17</v>
      </c>
      <c r="C665">
        <v>5</v>
      </c>
    </row>
    <row r="666" spans="1:3">
      <c r="A666">
        <v>183</v>
      </c>
      <c r="B666">
        <v>27</v>
      </c>
      <c r="C666">
        <v>5</v>
      </c>
    </row>
    <row r="667" spans="1:3">
      <c r="A667">
        <v>183</v>
      </c>
      <c r="B667">
        <v>32</v>
      </c>
      <c r="C667">
        <v>7</v>
      </c>
    </row>
    <row r="668" spans="1:3">
      <c r="A668">
        <v>183</v>
      </c>
      <c r="B668">
        <v>28</v>
      </c>
      <c r="C668">
        <v>7</v>
      </c>
    </row>
    <row r="669" spans="1:3">
      <c r="A669">
        <v>183</v>
      </c>
      <c r="B669">
        <v>30</v>
      </c>
      <c r="C669">
        <v>6</v>
      </c>
    </row>
    <row r="670" spans="1:3">
      <c r="A670">
        <v>183</v>
      </c>
      <c r="B670">
        <v>7</v>
      </c>
      <c r="C670">
        <v>6</v>
      </c>
    </row>
    <row r="671" spans="1:3">
      <c r="A671">
        <v>183</v>
      </c>
      <c r="B671">
        <v>2</v>
      </c>
      <c r="C671">
        <v>8</v>
      </c>
    </row>
    <row r="672" spans="1:3">
      <c r="A672">
        <v>194</v>
      </c>
      <c r="B672">
        <v>10</v>
      </c>
      <c r="C672">
        <v>7</v>
      </c>
    </row>
    <row r="673" spans="1:3">
      <c r="A673">
        <v>194</v>
      </c>
      <c r="B673">
        <v>8</v>
      </c>
      <c r="C673">
        <v>8</v>
      </c>
    </row>
    <row r="674" spans="1:3">
      <c r="A674">
        <v>194</v>
      </c>
      <c r="B674">
        <v>1</v>
      </c>
      <c r="C674">
        <v>9</v>
      </c>
    </row>
    <row r="675" spans="1:3">
      <c r="A675">
        <v>194</v>
      </c>
      <c r="B675">
        <v>11</v>
      </c>
      <c r="C675">
        <v>5</v>
      </c>
    </row>
    <row r="676" spans="1:3">
      <c r="A676">
        <v>194</v>
      </c>
      <c r="B676">
        <v>19</v>
      </c>
      <c r="C676">
        <v>4</v>
      </c>
    </row>
    <row r="677" spans="1:3">
      <c r="A677">
        <v>194</v>
      </c>
      <c r="B677">
        <v>18</v>
      </c>
      <c r="C677">
        <v>2</v>
      </c>
    </row>
    <row r="678" spans="1:3">
      <c r="A678">
        <v>194</v>
      </c>
      <c r="B678">
        <v>9</v>
      </c>
      <c r="C678">
        <v>3</v>
      </c>
    </row>
    <row r="679" spans="1:3">
      <c r="A679">
        <v>194</v>
      </c>
      <c r="B679">
        <v>22</v>
      </c>
      <c r="C679">
        <v>8</v>
      </c>
    </row>
    <row r="680" spans="1:3">
      <c r="A680">
        <v>194</v>
      </c>
      <c r="B680">
        <v>3</v>
      </c>
      <c r="C680">
        <v>6</v>
      </c>
    </row>
    <row r="681" spans="1:3">
      <c r="A681">
        <v>194</v>
      </c>
      <c r="B681">
        <v>7</v>
      </c>
      <c r="C681">
        <v>8</v>
      </c>
    </row>
    <row r="682" spans="1:3">
      <c r="A682">
        <v>200</v>
      </c>
      <c r="B682">
        <v>16</v>
      </c>
      <c r="C682">
        <v>3</v>
      </c>
    </row>
    <row r="683" spans="1:3">
      <c r="A683">
        <v>200</v>
      </c>
      <c r="B683">
        <v>17</v>
      </c>
      <c r="C683">
        <v>4</v>
      </c>
    </row>
    <row r="684" spans="1:3">
      <c r="A684">
        <v>200</v>
      </c>
      <c r="B684">
        <v>30</v>
      </c>
      <c r="C684">
        <v>9</v>
      </c>
    </row>
    <row r="685" spans="1:3">
      <c r="A685">
        <v>200</v>
      </c>
      <c r="B685">
        <v>20</v>
      </c>
      <c r="C685">
        <v>7</v>
      </c>
    </row>
    <row r="686" spans="1:3">
      <c r="A686">
        <v>200</v>
      </c>
      <c r="B686">
        <v>13</v>
      </c>
      <c r="C686">
        <v>2</v>
      </c>
    </row>
    <row r="687" spans="1:3">
      <c r="A687">
        <v>200</v>
      </c>
      <c r="B687">
        <v>31</v>
      </c>
      <c r="C687">
        <v>10</v>
      </c>
    </row>
    <row r="688" spans="1:3">
      <c r="A688">
        <v>200</v>
      </c>
      <c r="B688">
        <v>11</v>
      </c>
      <c r="C688">
        <v>1</v>
      </c>
    </row>
    <row r="689" spans="1:3">
      <c r="A689">
        <v>200</v>
      </c>
      <c r="B689">
        <v>32</v>
      </c>
      <c r="C689">
        <v>8</v>
      </c>
    </row>
    <row r="690" spans="1:3">
      <c r="A690">
        <v>200</v>
      </c>
      <c r="B690">
        <v>6</v>
      </c>
      <c r="C690">
        <v>5</v>
      </c>
    </row>
    <row r="691" spans="1:3">
      <c r="A691">
        <v>200</v>
      </c>
      <c r="B691">
        <v>21</v>
      </c>
      <c r="C691">
        <v>6</v>
      </c>
    </row>
    <row r="692" spans="1:3">
      <c r="A692">
        <v>203</v>
      </c>
      <c r="B692">
        <v>32</v>
      </c>
      <c r="C692">
        <v>7</v>
      </c>
    </row>
    <row r="693" spans="1:3">
      <c r="A693">
        <v>203</v>
      </c>
      <c r="B693">
        <v>30</v>
      </c>
      <c r="C693">
        <v>9</v>
      </c>
    </row>
    <row r="694" spans="1:3">
      <c r="A694">
        <v>203</v>
      </c>
      <c r="B694">
        <v>31</v>
      </c>
      <c r="C694">
        <v>10</v>
      </c>
    </row>
    <row r="695" spans="1:3">
      <c r="A695">
        <v>203</v>
      </c>
      <c r="B695">
        <v>29</v>
      </c>
      <c r="C695">
        <v>5</v>
      </c>
    </row>
    <row r="696" spans="1:3">
      <c r="A696">
        <v>203</v>
      </c>
      <c r="B696">
        <v>1</v>
      </c>
      <c r="C696">
        <v>4</v>
      </c>
    </row>
    <row r="697" spans="1:3">
      <c r="A697">
        <v>203</v>
      </c>
      <c r="B697">
        <v>8</v>
      </c>
      <c r="C697">
        <v>8</v>
      </c>
    </row>
    <row r="698" spans="1:3">
      <c r="A698">
        <v>203</v>
      </c>
      <c r="B698">
        <v>11</v>
      </c>
      <c r="C698">
        <v>1</v>
      </c>
    </row>
    <row r="699" spans="1:3">
      <c r="A699">
        <v>203</v>
      </c>
      <c r="B699">
        <v>13</v>
      </c>
      <c r="C699">
        <v>2</v>
      </c>
    </row>
    <row r="700" spans="1:3">
      <c r="A700">
        <v>203</v>
      </c>
      <c r="B700">
        <v>23</v>
      </c>
      <c r="C700">
        <v>3</v>
      </c>
    </row>
    <row r="701" spans="1:3">
      <c r="A701">
        <v>203</v>
      </c>
      <c r="B701">
        <v>27</v>
      </c>
      <c r="C701">
        <v>6</v>
      </c>
    </row>
    <row r="702" spans="1:3">
      <c r="A702">
        <v>204</v>
      </c>
      <c r="B702">
        <v>19</v>
      </c>
      <c r="C702">
        <v>6</v>
      </c>
    </row>
    <row r="703" spans="1:3">
      <c r="A703">
        <v>204</v>
      </c>
      <c r="B703">
        <v>24</v>
      </c>
      <c r="C703">
        <v>5</v>
      </c>
    </row>
    <row r="704" spans="1:3">
      <c r="A704">
        <v>204</v>
      </c>
      <c r="B704">
        <v>12</v>
      </c>
      <c r="C704">
        <v>8</v>
      </c>
    </row>
    <row r="705" spans="1:3">
      <c r="A705">
        <v>204</v>
      </c>
      <c r="B705">
        <v>30</v>
      </c>
      <c r="C705">
        <v>3</v>
      </c>
    </row>
    <row r="706" spans="1:3">
      <c r="A706">
        <v>204</v>
      </c>
      <c r="B706">
        <v>0</v>
      </c>
      <c r="C706">
        <v>9</v>
      </c>
    </row>
    <row r="707" spans="1:3">
      <c r="A707">
        <v>204</v>
      </c>
      <c r="B707">
        <v>32</v>
      </c>
      <c r="C707">
        <v>3</v>
      </c>
    </row>
    <row r="708" spans="1:3">
      <c r="A708">
        <v>204</v>
      </c>
      <c r="B708">
        <v>25</v>
      </c>
      <c r="C708">
        <v>9</v>
      </c>
    </row>
    <row r="709" spans="1:3">
      <c r="A709">
        <v>204</v>
      </c>
      <c r="B709">
        <v>7</v>
      </c>
      <c r="C709">
        <v>7</v>
      </c>
    </row>
    <row r="710" spans="1:3">
      <c r="A710">
        <v>204</v>
      </c>
      <c r="B710">
        <v>18</v>
      </c>
      <c r="C710">
        <v>8</v>
      </c>
    </row>
    <row r="711" spans="1:3">
      <c r="A711">
        <v>204</v>
      </c>
      <c r="B711">
        <v>15</v>
      </c>
      <c r="C711">
        <v>6</v>
      </c>
    </row>
    <row r="712" spans="1:3">
      <c r="A712">
        <v>208</v>
      </c>
      <c r="B712">
        <v>27</v>
      </c>
      <c r="C712">
        <v>7</v>
      </c>
    </row>
    <row r="713" spans="1:3">
      <c r="A713">
        <v>208</v>
      </c>
      <c r="B713">
        <v>0</v>
      </c>
      <c r="C713">
        <v>7</v>
      </c>
    </row>
    <row r="714" spans="1:3">
      <c r="A714">
        <v>208</v>
      </c>
      <c r="B714">
        <v>17</v>
      </c>
      <c r="C714">
        <v>8</v>
      </c>
    </row>
    <row r="715" spans="1:3">
      <c r="A715">
        <v>208</v>
      </c>
      <c r="B715">
        <v>13</v>
      </c>
      <c r="C715">
        <v>10</v>
      </c>
    </row>
    <row r="716" spans="1:3">
      <c r="A716">
        <v>208</v>
      </c>
      <c r="B716">
        <v>12</v>
      </c>
      <c r="C716">
        <v>8</v>
      </c>
    </row>
    <row r="717" spans="1:3">
      <c r="A717">
        <v>208</v>
      </c>
      <c r="B717">
        <v>30</v>
      </c>
      <c r="C717">
        <v>8</v>
      </c>
    </row>
    <row r="718" spans="1:3">
      <c r="A718">
        <v>208</v>
      </c>
      <c r="B718">
        <v>18</v>
      </c>
      <c r="C718">
        <v>10</v>
      </c>
    </row>
    <row r="719" spans="1:3">
      <c r="A719">
        <v>208</v>
      </c>
      <c r="B719">
        <v>16</v>
      </c>
      <c r="C719">
        <v>8</v>
      </c>
    </row>
    <row r="720" spans="1:3">
      <c r="A720">
        <v>208</v>
      </c>
      <c r="B720">
        <v>2</v>
      </c>
      <c r="C720">
        <v>8</v>
      </c>
    </row>
    <row r="721" spans="1:3">
      <c r="A721">
        <v>208</v>
      </c>
      <c r="B721">
        <v>22</v>
      </c>
      <c r="C721">
        <v>7</v>
      </c>
    </row>
    <row r="722" spans="1:3">
      <c r="A722">
        <v>211</v>
      </c>
      <c r="B722">
        <v>23</v>
      </c>
      <c r="C722">
        <v>8</v>
      </c>
    </row>
    <row r="723" spans="1:3">
      <c r="A723">
        <v>211</v>
      </c>
      <c r="B723">
        <v>20</v>
      </c>
      <c r="C723">
        <v>7</v>
      </c>
    </row>
    <row r="724" spans="1:3">
      <c r="A724">
        <v>211</v>
      </c>
      <c r="B724">
        <v>3</v>
      </c>
      <c r="C724">
        <v>8</v>
      </c>
    </row>
    <row r="725" spans="1:3">
      <c r="A725">
        <v>211</v>
      </c>
      <c r="B725">
        <v>29</v>
      </c>
      <c r="C725">
        <v>9</v>
      </c>
    </row>
    <row r="726" spans="1:3">
      <c r="A726">
        <v>211</v>
      </c>
      <c r="B726">
        <v>13</v>
      </c>
      <c r="C726">
        <v>7</v>
      </c>
    </row>
    <row r="727" spans="1:3">
      <c r="A727">
        <v>211</v>
      </c>
      <c r="B727">
        <v>2</v>
      </c>
      <c r="C727">
        <v>8</v>
      </c>
    </row>
    <row r="728" spans="1:3">
      <c r="A728">
        <v>211</v>
      </c>
      <c r="B728">
        <v>22</v>
      </c>
      <c r="C728">
        <v>6</v>
      </c>
    </row>
    <row r="729" spans="1:3">
      <c r="A729">
        <v>211</v>
      </c>
      <c r="B729">
        <v>10</v>
      </c>
      <c r="C729">
        <v>7</v>
      </c>
    </row>
    <row r="730" spans="1:3">
      <c r="A730">
        <v>211</v>
      </c>
      <c r="B730">
        <v>24</v>
      </c>
      <c r="C730">
        <v>8</v>
      </c>
    </row>
    <row r="731" spans="1:3">
      <c r="A731">
        <v>211</v>
      </c>
      <c r="B731">
        <v>14</v>
      </c>
      <c r="C731">
        <v>8</v>
      </c>
    </row>
    <row r="732" spans="1:3">
      <c r="A732">
        <v>215</v>
      </c>
      <c r="B732">
        <v>23</v>
      </c>
      <c r="C732">
        <v>8</v>
      </c>
    </row>
    <row r="733" spans="1:3">
      <c r="A733">
        <v>215</v>
      </c>
      <c r="B733">
        <v>9</v>
      </c>
      <c r="C733">
        <v>7</v>
      </c>
    </row>
    <row r="734" spans="1:3">
      <c r="A734">
        <v>215</v>
      </c>
      <c r="B734">
        <v>32</v>
      </c>
      <c r="C734">
        <v>6</v>
      </c>
    </row>
    <row r="735" spans="1:3">
      <c r="A735">
        <v>215</v>
      </c>
      <c r="B735">
        <v>18</v>
      </c>
      <c r="C735">
        <v>7</v>
      </c>
    </row>
    <row r="736" spans="1:3">
      <c r="A736">
        <v>215</v>
      </c>
      <c r="B736">
        <v>0</v>
      </c>
      <c r="C736">
        <v>9</v>
      </c>
    </row>
    <row r="737" spans="1:3">
      <c r="A737">
        <v>215</v>
      </c>
      <c r="B737">
        <v>15</v>
      </c>
      <c r="C737">
        <v>7</v>
      </c>
    </row>
    <row r="738" spans="1:3">
      <c r="A738">
        <v>215</v>
      </c>
      <c r="B738">
        <v>10</v>
      </c>
      <c r="C738">
        <v>7</v>
      </c>
    </row>
    <row r="739" spans="1:3">
      <c r="A739">
        <v>215</v>
      </c>
      <c r="B739">
        <v>17</v>
      </c>
      <c r="C739">
        <v>8</v>
      </c>
    </row>
    <row r="740" spans="1:3">
      <c r="A740">
        <v>215</v>
      </c>
      <c r="B740">
        <v>12</v>
      </c>
      <c r="C740">
        <v>8</v>
      </c>
    </row>
    <row r="741" spans="1:3">
      <c r="A741">
        <v>215</v>
      </c>
      <c r="B741">
        <v>3</v>
      </c>
      <c r="C741">
        <v>7</v>
      </c>
    </row>
    <row r="742" spans="1:3">
      <c r="A742">
        <v>226</v>
      </c>
      <c r="B742">
        <v>8</v>
      </c>
      <c r="C742">
        <v>7</v>
      </c>
    </row>
    <row r="743" spans="1:3">
      <c r="A743">
        <v>226</v>
      </c>
      <c r="B743">
        <v>32</v>
      </c>
      <c r="C743">
        <v>7</v>
      </c>
    </row>
    <row r="744" spans="1:3">
      <c r="A744">
        <v>226</v>
      </c>
      <c r="B744">
        <v>1</v>
      </c>
      <c r="C744">
        <v>9</v>
      </c>
    </row>
    <row r="745" spans="1:3">
      <c r="A745">
        <v>226</v>
      </c>
      <c r="B745">
        <v>22</v>
      </c>
      <c r="C745">
        <v>10</v>
      </c>
    </row>
    <row r="746" spans="1:3">
      <c r="A746">
        <v>226</v>
      </c>
      <c r="B746">
        <v>24</v>
      </c>
      <c r="C746">
        <v>8</v>
      </c>
    </row>
    <row r="747" spans="1:3">
      <c r="A747">
        <v>226</v>
      </c>
      <c r="B747">
        <v>18</v>
      </c>
      <c r="C747">
        <v>10</v>
      </c>
    </row>
    <row r="748" spans="1:3">
      <c r="A748">
        <v>226</v>
      </c>
      <c r="B748">
        <v>12</v>
      </c>
      <c r="C748">
        <v>8</v>
      </c>
    </row>
    <row r="749" spans="1:3">
      <c r="A749">
        <v>226</v>
      </c>
      <c r="B749">
        <v>0</v>
      </c>
      <c r="C749">
        <v>10</v>
      </c>
    </row>
    <row r="750" spans="1:3">
      <c r="A750">
        <v>226</v>
      </c>
      <c r="B750">
        <v>15</v>
      </c>
      <c r="C750">
        <v>9</v>
      </c>
    </row>
    <row r="751" spans="1:3">
      <c r="A751">
        <v>226</v>
      </c>
      <c r="B751">
        <v>5</v>
      </c>
      <c r="C751">
        <v>9</v>
      </c>
    </row>
    <row r="752" spans="1:3">
      <c r="A752">
        <v>227</v>
      </c>
      <c r="B752">
        <v>23</v>
      </c>
      <c r="C752">
        <v>7</v>
      </c>
    </row>
    <row r="753" spans="1:3">
      <c r="A753">
        <v>227</v>
      </c>
      <c r="B753">
        <v>14</v>
      </c>
      <c r="C753">
        <v>7</v>
      </c>
    </row>
    <row r="754" spans="1:3">
      <c r="A754">
        <v>227</v>
      </c>
      <c r="B754">
        <v>6</v>
      </c>
      <c r="C754">
        <v>8</v>
      </c>
    </row>
    <row r="755" spans="1:3">
      <c r="A755">
        <v>227</v>
      </c>
      <c r="B755">
        <v>8</v>
      </c>
      <c r="C755">
        <v>7</v>
      </c>
    </row>
    <row r="756" spans="1:3">
      <c r="A756">
        <v>227</v>
      </c>
      <c r="B756">
        <v>16</v>
      </c>
      <c r="C756">
        <v>6</v>
      </c>
    </row>
    <row r="757" spans="1:3">
      <c r="A757">
        <v>227</v>
      </c>
      <c r="B757">
        <v>3</v>
      </c>
      <c r="C757">
        <v>10</v>
      </c>
    </row>
    <row r="758" spans="1:3">
      <c r="A758">
        <v>227</v>
      </c>
      <c r="B758">
        <v>24</v>
      </c>
      <c r="C758">
        <v>10</v>
      </c>
    </row>
    <row r="759" spans="1:3">
      <c r="A759">
        <v>227</v>
      </c>
      <c r="B759">
        <v>31</v>
      </c>
      <c r="C759">
        <v>9</v>
      </c>
    </row>
    <row r="760" spans="1:3">
      <c r="A760">
        <v>227</v>
      </c>
      <c r="B760">
        <v>0</v>
      </c>
      <c r="C760">
        <v>8</v>
      </c>
    </row>
    <row r="761" spans="1:3">
      <c r="A761">
        <v>227</v>
      </c>
      <c r="B761">
        <v>2</v>
      </c>
      <c r="C761">
        <v>7</v>
      </c>
    </row>
    <row r="762" spans="1:3">
      <c r="A762">
        <v>230</v>
      </c>
      <c r="B762">
        <v>24</v>
      </c>
      <c r="C762">
        <v>8</v>
      </c>
    </row>
    <row r="763" spans="1:3">
      <c r="A763">
        <v>230</v>
      </c>
      <c r="B763">
        <v>7</v>
      </c>
      <c r="C763">
        <v>8</v>
      </c>
    </row>
    <row r="764" spans="1:3">
      <c r="A764">
        <v>230</v>
      </c>
      <c r="B764">
        <v>32</v>
      </c>
      <c r="C764">
        <v>7</v>
      </c>
    </row>
    <row r="765" spans="1:3">
      <c r="A765">
        <v>230</v>
      </c>
      <c r="B765">
        <v>29</v>
      </c>
      <c r="C765">
        <v>8</v>
      </c>
    </row>
    <row r="766" spans="1:3">
      <c r="A766">
        <v>230</v>
      </c>
      <c r="B766">
        <v>5</v>
      </c>
      <c r="C766">
        <v>10</v>
      </c>
    </row>
    <row r="767" spans="1:3">
      <c r="A767">
        <v>230</v>
      </c>
      <c r="B767">
        <v>28</v>
      </c>
      <c r="C767">
        <v>9</v>
      </c>
    </row>
    <row r="768" spans="1:3">
      <c r="A768">
        <v>230</v>
      </c>
      <c r="B768">
        <v>30</v>
      </c>
      <c r="C768">
        <v>8</v>
      </c>
    </row>
    <row r="769" spans="1:3">
      <c r="A769">
        <v>230</v>
      </c>
      <c r="B769">
        <v>16</v>
      </c>
      <c r="C769">
        <v>8</v>
      </c>
    </row>
    <row r="770" spans="1:3">
      <c r="A770">
        <v>230</v>
      </c>
      <c r="B770">
        <v>8</v>
      </c>
      <c r="C770">
        <v>7</v>
      </c>
    </row>
    <row r="771" spans="1:3">
      <c r="A771">
        <v>230</v>
      </c>
      <c r="B771">
        <v>18</v>
      </c>
      <c r="C771">
        <v>7</v>
      </c>
    </row>
    <row r="772" spans="1:3">
      <c r="A772">
        <v>231</v>
      </c>
      <c r="B772">
        <v>6</v>
      </c>
      <c r="C772">
        <v>10</v>
      </c>
    </row>
    <row r="773" spans="1:3">
      <c r="A773">
        <v>231</v>
      </c>
      <c r="B773">
        <v>9</v>
      </c>
      <c r="C773">
        <v>7</v>
      </c>
    </row>
    <row r="774" spans="1:3">
      <c r="A774">
        <v>231</v>
      </c>
      <c r="B774">
        <v>30</v>
      </c>
      <c r="C774">
        <v>4</v>
      </c>
    </row>
    <row r="775" spans="1:3">
      <c r="A775">
        <v>231</v>
      </c>
      <c r="B775">
        <v>19</v>
      </c>
      <c r="C775">
        <v>8</v>
      </c>
    </row>
    <row r="776" spans="1:3">
      <c r="A776">
        <v>231</v>
      </c>
      <c r="B776">
        <v>17</v>
      </c>
      <c r="C776">
        <v>10</v>
      </c>
    </row>
    <row r="777" spans="1:3">
      <c r="A777">
        <v>231</v>
      </c>
      <c r="B777">
        <v>15</v>
      </c>
      <c r="C777">
        <v>10</v>
      </c>
    </row>
    <row r="778" spans="1:3">
      <c r="A778">
        <v>231</v>
      </c>
      <c r="B778">
        <v>24</v>
      </c>
      <c r="C778">
        <v>5</v>
      </c>
    </row>
    <row r="779" spans="1:3">
      <c r="A779">
        <v>231</v>
      </c>
      <c r="B779">
        <v>25</v>
      </c>
      <c r="C779">
        <v>7</v>
      </c>
    </row>
    <row r="780" spans="1:3">
      <c r="A780">
        <v>231</v>
      </c>
      <c r="B780">
        <v>27</v>
      </c>
      <c r="C780">
        <v>9</v>
      </c>
    </row>
    <row r="781" spans="1:3">
      <c r="A781">
        <v>231</v>
      </c>
      <c r="B781">
        <v>4</v>
      </c>
      <c r="C781">
        <v>6</v>
      </c>
    </row>
    <row r="782" spans="1:3">
      <c r="A782">
        <v>232</v>
      </c>
      <c r="B782">
        <v>27</v>
      </c>
      <c r="C782">
        <v>4</v>
      </c>
    </row>
    <row r="783" spans="1:3">
      <c r="A783">
        <v>232</v>
      </c>
      <c r="B783">
        <v>18</v>
      </c>
      <c r="C783">
        <v>6</v>
      </c>
    </row>
    <row r="784" spans="1:3">
      <c r="A784">
        <v>232</v>
      </c>
      <c r="B784">
        <v>13</v>
      </c>
      <c r="C784">
        <v>6</v>
      </c>
    </row>
    <row r="785" spans="1:3">
      <c r="A785">
        <v>232</v>
      </c>
      <c r="B785">
        <v>15</v>
      </c>
      <c r="C785">
        <v>4</v>
      </c>
    </row>
    <row r="786" spans="1:3">
      <c r="A786">
        <v>232</v>
      </c>
      <c r="B786">
        <v>31</v>
      </c>
      <c r="C786">
        <v>4</v>
      </c>
    </row>
    <row r="787" spans="1:3">
      <c r="A787">
        <v>232</v>
      </c>
      <c r="B787">
        <v>7</v>
      </c>
      <c r="C787">
        <v>4</v>
      </c>
    </row>
    <row r="788" spans="1:3">
      <c r="A788">
        <v>232</v>
      </c>
      <c r="B788">
        <v>10</v>
      </c>
      <c r="C788">
        <v>7</v>
      </c>
    </row>
    <row r="789" spans="1:3">
      <c r="A789">
        <v>232</v>
      </c>
      <c r="B789">
        <v>3</v>
      </c>
      <c r="C789">
        <v>7</v>
      </c>
    </row>
    <row r="790" spans="1:3">
      <c r="A790">
        <v>232</v>
      </c>
      <c r="B790">
        <v>25</v>
      </c>
      <c r="C790">
        <v>8</v>
      </c>
    </row>
    <row r="791" spans="1:3">
      <c r="A791">
        <v>232</v>
      </c>
      <c r="B791">
        <v>12</v>
      </c>
      <c r="C791">
        <v>3</v>
      </c>
    </row>
    <row r="792" spans="1:3">
      <c r="A792">
        <v>233</v>
      </c>
      <c r="B792">
        <v>8</v>
      </c>
      <c r="C792">
        <v>1</v>
      </c>
    </row>
    <row r="793" spans="1:3">
      <c r="A793">
        <v>233</v>
      </c>
      <c r="B793">
        <v>27</v>
      </c>
      <c r="C793">
        <v>3</v>
      </c>
    </row>
    <row r="794" spans="1:3">
      <c r="A794">
        <v>233</v>
      </c>
      <c r="B794">
        <v>12</v>
      </c>
      <c r="C794">
        <v>10</v>
      </c>
    </row>
    <row r="795" spans="1:3">
      <c r="A795">
        <v>233</v>
      </c>
      <c r="B795">
        <v>31</v>
      </c>
      <c r="C795">
        <v>1</v>
      </c>
    </row>
    <row r="796" spans="1:3">
      <c r="A796">
        <v>233</v>
      </c>
      <c r="B796">
        <v>7</v>
      </c>
      <c r="C796">
        <v>1</v>
      </c>
    </row>
    <row r="797" spans="1:3">
      <c r="A797">
        <v>233</v>
      </c>
      <c r="B797">
        <v>9</v>
      </c>
      <c r="C797">
        <v>6</v>
      </c>
    </row>
    <row r="798" spans="1:3">
      <c r="A798">
        <v>233</v>
      </c>
      <c r="B798">
        <v>6</v>
      </c>
      <c r="C798">
        <v>4</v>
      </c>
    </row>
    <row r="799" spans="1:3">
      <c r="A799">
        <v>233</v>
      </c>
      <c r="B799">
        <v>20</v>
      </c>
      <c r="C799">
        <v>7</v>
      </c>
    </row>
    <row r="800" spans="1:3">
      <c r="A800">
        <v>233</v>
      </c>
      <c r="B800">
        <v>30</v>
      </c>
      <c r="C800">
        <v>1</v>
      </c>
    </row>
    <row r="801" spans="1:3">
      <c r="A801">
        <v>233</v>
      </c>
      <c r="B801">
        <v>18</v>
      </c>
      <c r="C801">
        <v>1</v>
      </c>
    </row>
    <row r="802" spans="1:3">
      <c r="A802">
        <v>234</v>
      </c>
      <c r="B802">
        <v>20</v>
      </c>
      <c r="C802">
        <v>4</v>
      </c>
    </row>
    <row r="803" spans="1:3">
      <c r="A803">
        <v>234</v>
      </c>
      <c r="B803">
        <v>10</v>
      </c>
      <c r="C803">
        <v>8</v>
      </c>
    </row>
    <row r="804" spans="1:3">
      <c r="A804">
        <v>234</v>
      </c>
      <c r="B804">
        <v>13</v>
      </c>
      <c r="C804">
        <v>7</v>
      </c>
    </row>
    <row r="805" spans="1:3">
      <c r="A805">
        <v>234</v>
      </c>
      <c r="B805">
        <v>6</v>
      </c>
      <c r="C805">
        <v>1</v>
      </c>
    </row>
    <row r="806" spans="1:3">
      <c r="A806">
        <v>234</v>
      </c>
      <c r="B806">
        <v>30</v>
      </c>
      <c r="C806">
        <v>1</v>
      </c>
    </row>
    <row r="807" spans="1:3">
      <c r="A807">
        <v>234</v>
      </c>
      <c r="B807">
        <v>25</v>
      </c>
      <c r="C807">
        <v>6</v>
      </c>
    </row>
    <row r="808" spans="1:3">
      <c r="A808">
        <v>234</v>
      </c>
      <c r="B808">
        <v>1</v>
      </c>
      <c r="C808">
        <v>10</v>
      </c>
    </row>
    <row r="809" spans="1:3">
      <c r="A809">
        <v>234</v>
      </c>
      <c r="B809">
        <v>16</v>
      </c>
      <c r="C809">
        <v>5</v>
      </c>
    </row>
    <row r="810" spans="1:3">
      <c r="A810">
        <v>234</v>
      </c>
      <c r="B810">
        <v>5</v>
      </c>
      <c r="C810">
        <v>9</v>
      </c>
    </row>
    <row r="811" spans="1:3">
      <c r="A811">
        <v>234</v>
      </c>
      <c r="B811">
        <v>18</v>
      </c>
      <c r="C811">
        <v>3</v>
      </c>
    </row>
    <row r="812" spans="1:3">
      <c r="A812">
        <v>235</v>
      </c>
      <c r="B812">
        <v>18</v>
      </c>
      <c r="C812">
        <v>10</v>
      </c>
    </row>
    <row r="813" spans="1:3">
      <c r="A813">
        <v>235</v>
      </c>
      <c r="B813">
        <v>8</v>
      </c>
      <c r="C813">
        <v>8</v>
      </c>
    </row>
    <row r="814" spans="1:3">
      <c r="A814">
        <v>235</v>
      </c>
      <c r="B814">
        <v>30</v>
      </c>
      <c r="C814">
        <v>6</v>
      </c>
    </row>
    <row r="815" spans="1:3">
      <c r="A815">
        <v>235</v>
      </c>
      <c r="B815">
        <v>16</v>
      </c>
      <c r="C815">
        <v>7</v>
      </c>
    </row>
    <row r="816" spans="1:3">
      <c r="A816">
        <v>235</v>
      </c>
      <c r="B816">
        <v>23</v>
      </c>
      <c r="C816">
        <v>8</v>
      </c>
    </row>
    <row r="817" spans="1:3">
      <c r="A817">
        <v>235</v>
      </c>
      <c r="B817">
        <v>25</v>
      </c>
      <c r="C817">
        <v>9</v>
      </c>
    </row>
    <row r="818" spans="1:3">
      <c r="A818">
        <v>235</v>
      </c>
      <c r="B818">
        <v>9</v>
      </c>
      <c r="C818">
        <v>8</v>
      </c>
    </row>
    <row r="819" spans="1:3">
      <c r="A819">
        <v>235</v>
      </c>
      <c r="B819">
        <v>1</v>
      </c>
      <c r="C819">
        <v>10</v>
      </c>
    </row>
    <row r="820" spans="1:3">
      <c r="A820">
        <v>235</v>
      </c>
      <c r="B820">
        <v>27</v>
      </c>
      <c r="C820">
        <v>10</v>
      </c>
    </row>
    <row r="821" spans="1:3">
      <c r="A821">
        <v>235</v>
      </c>
      <c r="B821">
        <v>0</v>
      </c>
      <c r="C821">
        <v>10</v>
      </c>
    </row>
    <row r="822" spans="1:3">
      <c r="A822">
        <v>236</v>
      </c>
      <c r="B822">
        <v>29</v>
      </c>
      <c r="C822">
        <v>10</v>
      </c>
    </row>
    <row r="823" spans="1:3">
      <c r="A823">
        <v>236</v>
      </c>
      <c r="B823">
        <v>1</v>
      </c>
      <c r="C823">
        <v>10</v>
      </c>
    </row>
    <row r="824" spans="1:3">
      <c r="A824">
        <v>236</v>
      </c>
      <c r="B824">
        <v>30</v>
      </c>
      <c r="C824">
        <v>1</v>
      </c>
    </row>
    <row r="825" spans="1:3">
      <c r="A825">
        <v>236</v>
      </c>
      <c r="B825">
        <v>27</v>
      </c>
      <c r="C825">
        <v>1</v>
      </c>
    </row>
    <row r="826" spans="1:3">
      <c r="A826">
        <v>236</v>
      </c>
      <c r="B826">
        <v>9</v>
      </c>
      <c r="C826">
        <v>10</v>
      </c>
    </row>
    <row r="827" spans="1:3">
      <c r="A827">
        <v>236</v>
      </c>
      <c r="B827">
        <v>3</v>
      </c>
      <c r="C827">
        <v>10</v>
      </c>
    </row>
    <row r="828" spans="1:3">
      <c r="A828">
        <v>236</v>
      </c>
      <c r="B828">
        <v>31</v>
      </c>
      <c r="C828">
        <v>2</v>
      </c>
    </row>
    <row r="829" spans="1:3">
      <c r="A829">
        <v>236</v>
      </c>
      <c r="B829">
        <v>19</v>
      </c>
      <c r="C829">
        <v>8</v>
      </c>
    </row>
    <row r="830" spans="1:3">
      <c r="A830">
        <v>236</v>
      </c>
      <c r="B830">
        <v>16</v>
      </c>
      <c r="C830">
        <v>10</v>
      </c>
    </row>
    <row r="831" spans="1:3">
      <c r="A831">
        <v>236</v>
      </c>
      <c r="B831">
        <v>13</v>
      </c>
      <c r="C831">
        <v>10</v>
      </c>
    </row>
    <row r="832" spans="1:3">
      <c r="A832">
        <v>237</v>
      </c>
      <c r="B832">
        <v>19</v>
      </c>
      <c r="C832">
        <v>9</v>
      </c>
    </row>
    <row r="833" spans="1:3">
      <c r="A833">
        <v>237</v>
      </c>
      <c r="B833">
        <v>22</v>
      </c>
      <c r="C833">
        <v>6</v>
      </c>
    </row>
    <row r="834" spans="1:3">
      <c r="A834">
        <v>237</v>
      </c>
      <c r="B834">
        <v>30</v>
      </c>
      <c r="C834">
        <v>5</v>
      </c>
    </row>
    <row r="835" spans="1:3">
      <c r="A835">
        <v>237</v>
      </c>
      <c r="B835">
        <v>13</v>
      </c>
      <c r="C835">
        <v>3</v>
      </c>
    </row>
    <row r="836" spans="1:3">
      <c r="A836">
        <v>237</v>
      </c>
      <c r="B836">
        <v>20</v>
      </c>
      <c r="C836">
        <v>6</v>
      </c>
    </row>
    <row r="837" spans="1:3">
      <c r="A837">
        <v>237</v>
      </c>
      <c r="B837">
        <v>2</v>
      </c>
      <c r="C837">
        <v>6</v>
      </c>
    </row>
    <row r="838" spans="1:3">
      <c r="A838">
        <v>237</v>
      </c>
      <c r="B838">
        <v>24</v>
      </c>
      <c r="C838">
        <v>5</v>
      </c>
    </row>
    <row r="839" spans="1:3">
      <c r="A839">
        <v>237</v>
      </c>
      <c r="B839">
        <v>15</v>
      </c>
      <c r="C839">
        <v>4</v>
      </c>
    </row>
    <row r="840" spans="1:3">
      <c r="A840">
        <v>237</v>
      </c>
      <c r="B840">
        <v>25</v>
      </c>
      <c r="C840">
        <v>8</v>
      </c>
    </row>
    <row r="841" spans="1:3">
      <c r="A841">
        <v>237</v>
      </c>
      <c r="B841">
        <v>8</v>
      </c>
      <c r="C841">
        <v>3</v>
      </c>
    </row>
    <row r="842" spans="1:3">
      <c r="A842">
        <v>238</v>
      </c>
      <c r="B842">
        <v>25</v>
      </c>
      <c r="C842">
        <v>9</v>
      </c>
    </row>
    <row r="843" spans="1:3">
      <c r="A843">
        <v>238</v>
      </c>
      <c r="B843">
        <v>5</v>
      </c>
      <c r="C843">
        <v>9</v>
      </c>
    </row>
    <row r="844" spans="1:3">
      <c r="A844">
        <v>238</v>
      </c>
      <c r="B844">
        <v>27</v>
      </c>
      <c r="C844">
        <v>7</v>
      </c>
    </row>
    <row r="845" spans="1:3">
      <c r="A845">
        <v>238</v>
      </c>
      <c r="B845">
        <v>24</v>
      </c>
      <c r="C845">
        <v>5</v>
      </c>
    </row>
    <row r="846" spans="1:3">
      <c r="A846">
        <v>238</v>
      </c>
      <c r="B846">
        <v>4</v>
      </c>
      <c r="C846">
        <v>8</v>
      </c>
    </row>
    <row r="847" spans="1:3">
      <c r="A847">
        <v>238</v>
      </c>
      <c r="B847">
        <v>10</v>
      </c>
      <c r="C847">
        <v>2</v>
      </c>
    </row>
    <row r="848" spans="1:3">
      <c r="A848">
        <v>238</v>
      </c>
      <c r="B848">
        <v>28</v>
      </c>
      <c r="C848">
        <v>2</v>
      </c>
    </row>
    <row r="849" spans="1:3">
      <c r="A849">
        <v>238</v>
      </c>
      <c r="B849">
        <v>15</v>
      </c>
      <c r="C849">
        <v>1</v>
      </c>
    </row>
    <row r="850" spans="1:3">
      <c r="A850">
        <v>238</v>
      </c>
      <c r="B850">
        <v>8</v>
      </c>
      <c r="C850">
        <v>2</v>
      </c>
    </row>
    <row r="851" spans="1:3">
      <c r="A851">
        <v>238</v>
      </c>
      <c r="B851">
        <v>19</v>
      </c>
      <c r="C851">
        <v>8</v>
      </c>
    </row>
    <row r="852" spans="1:3">
      <c r="A852">
        <v>240</v>
      </c>
      <c r="B852">
        <v>16</v>
      </c>
      <c r="C852">
        <v>7</v>
      </c>
    </row>
    <row r="853" spans="1:3">
      <c r="A853">
        <v>240</v>
      </c>
      <c r="B853">
        <v>20</v>
      </c>
      <c r="C853">
        <v>8</v>
      </c>
    </row>
    <row r="854" spans="1:3">
      <c r="A854">
        <v>240</v>
      </c>
      <c r="B854">
        <v>23</v>
      </c>
      <c r="C854">
        <v>7</v>
      </c>
    </row>
    <row r="855" spans="1:3">
      <c r="A855">
        <v>240</v>
      </c>
      <c r="B855">
        <v>27</v>
      </c>
      <c r="C855">
        <v>6</v>
      </c>
    </row>
    <row r="856" spans="1:3">
      <c r="A856">
        <v>240</v>
      </c>
      <c r="B856">
        <v>28</v>
      </c>
      <c r="C856">
        <v>5</v>
      </c>
    </row>
    <row r="857" spans="1:3">
      <c r="A857">
        <v>240</v>
      </c>
      <c r="B857">
        <v>9</v>
      </c>
      <c r="C857">
        <v>7</v>
      </c>
    </row>
    <row r="858" spans="1:3">
      <c r="A858">
        <v>240</v>
      </c>
      <c r="B858">
        <v>21</v>
      </c>
      <c r="C858">
        <v>8</v>
      </c>
    </row>
    <row r="859" spans="1:3">
      <c r="A859">
        <v>240</v>
      </c>
      <c r="B859">
        <v>17</v>
      </c>
      <c r="C859">
        <v>7</v>
      </c>
    </row>
    <row r="860" spans="1:3">
      <c r="A860">
        <v>240</v>
      </c>
      <c r="B860">
        <v>1</v>
      </c>
      <c r="C860">
        <v>8</v>
      </c>
    </row>
    <row r="861" spans="1:3">
      <c r="A861">
        <v>240</v>
      </c>
      <c r="B861">
        <v>7</v>
      </c>
      <c r="C861">
        <v>7</v>
      </c>
    </row>
    <row r="862" spans="1:3">
      <c r="A862">
        <v>242</v>
      </c>
      <c r="B862">
        <v>24</v>
      </c>
      <c r="C862">
        <v>4</v>
      </c>
    </row>
    <row r="863" spans="1:3">
      <c r="A863">
        <v>242</v>
      </c>
      <c r="B863">
        <v>22</v>
      </c>
      <c r="C863">
        <v>7</v>
      </c>
    </row>
    <row r="864" spans="1:3">
      <c r="A864">
        <v>242</v>
      </c>
      <c r="B864">
        <v>8</v>
      </c>
      <c r="C864">
        <v>5</v>
      </c>
    </row>
    <row r="865" spans="1:3">
      <c r="A865">
        <v>242</v>
      </c>
      <c r="B865">
        <v>13</v>
      </c>
      <c r="C865">
        <v>6</v>
      </c>
    </row>
    <row r="866" spans="1:3">
      <c r="A866">
        <v>242</v>
      </c>
      <c r="B866">
        <v>17</v>
      </c>
      <c r="C866">
        <v>7</v>
      </c>
    </row>
    <row r="867" spans="1:3">
      <c r="A867">
        <v>242</v>
      </c>
      <c r="B867">
        <v>4</v>
      </c>
      <c r="C867">
        <v>8</v>
      </c>
    </row>
    <row r="868" spans="1:3">
      <c r="A868">
        <v>242</v>
      </c>
      <c r="B868">
        <v>1</v>
      </c>
      <c r="C868">
        <v>7</v>
      </c>
    </row>
    <row r="869" spans="1:3">
      <c r="A869">
        <v>242</v>
      </c>
      <c r="B869">
        <v>29</v>
      </c>
      <c r="C869">
        <v>2</v>
      </c>
    </row>
    <row r="870" spans="1:3">
      <c r="A870">
        <v>242</v>
      </c>
      <c r="B870">
        <v>31</v>
      </c>
      <c r="C870">
        <v>2</v>
      </c>
    </row>
    <row r="871" spans="1:3">
      <c r="A871">
        <v>242</v>
      </c>
      <c r="B871">
        <v>10</v>
      </c>
      <c r="C871">
        <v>8</v>
      </c>
    </row>
    <row r="872" spans="1:3">
      <c r="A872">
        <v>243</v>
      </c>
      <c r="B872">
        <v>7</v>
      </c>
      <c r="C872">
        <v>8</v>
      </c>
    </row>
    <row r="873" spans="1:3">
      <c r="A873">
        <v>243</v>
      </c>
      <c r="B873">
        <v>15</v>
      </c>
      <c r="C873">
        <v>8</v>
      </c>
    </row>
    <row r="874" spans="1:3">
      <c r="A874">
        <v>243</v>
      </c>
      <c r="B874">
        <v>13</v>
      </c>
      <c r="C874">
        <v>7</v>
      </c>
    </row>
    <row r="875" spans="1:3">
      <c r="A875">
        <v>243</v>
      </c>
      <c r="B875">
        <v>24</v>
      </c>
      <c r="C875">
        <v>6</v>
      </c>
    </row>
    <row r="876" spans="1:3">
      <c r="A876">
        <v>243</v>
      </c>
      <c r="B876">
        <v>23</v>
      </c>
      <c r="C876">
        <v>10</v>
      </c>
    </row>
    <row r="877" spans="1:3">
      <c r="A877">
        <v>243</v>
      </c>
      <c r="B877">
        <v>28</v>
      </c>
      <c r="C877">
        <v>8</v>
      </c>
    </row>
    <row r="878" spans="1:3">
      <c r="A878">
        <v>243</v>
      </c>
      <c r="B878">
        <v>21</v>
      </c>
      <c r="C878">
        <v>6</v>
      </c>
    </row>
    <row r="879" spans="1:3">
      <c r="A879">
        <v>243</v>
      </c>
      <c r="B879">
        <v>20</v>
      </c>
      <c r="C879">
        <v>9</v>
      </c>
    </row>
    <row r="880" spans="1:3">
      <c r="A880">
        <v>243</v>
      </c>
      <c r="B880">
        <v>6</v>
      </c>
      <c r="C880">
        <v>8</v>
      </c>
    </row>
    <row r="881" spans="1:3">
      <c r="A881">
        <v>243</v>
      </c>
      <c r="B881">
        <v>18</v>
      </c>
      <c r="C881">
        <v>9</v>
      </c>
    </row>
    <row r="882" spans="1:3">
      <c r="A882">
        <v>244</v>
      </c>
      <c r="B882">
        <v>29</v>
      </c>
      <c r="C882">
        <v>8</v>
      </c>
    </row>
    <row r="883" spans="1:3">
      <c r="A883">
        <v>244</v>
      </c>
      <c r="B883">
        <v>12</v>
      </c>
      <c r="C883">
        <v>9</v>
      </c>
    </row>
    <row r="884" spans="1:3">
      <c r="A884">
        <v>244</v>
      </c>
      <c r="B884">
        <v>17</v>
      </c>
      <c r="C884">
        <v>8</v>
      </c>
    </row>
    <row r="885" spans="1:3">
      <c r="A885">
        <v>244</v>
      </c>
      <c r="B885">
        <v>20</v>
      </c>
      <c r="C885">
        <v>9</v>
      </c>
    </row>
    <row r="886" spans="1:3">
      <c r="A886">
        <v>244</v>
      </c>
      <c r="B886">
        <v>25</v>
      </c>
      <c r="C886">
        <v>9</v>
      </c>
    </row>
    <row r="887" spans="1:3">
      <c r="A887">
        <v>244</v>
      </c>
      <c r="B887">
        <v>19</v>
      </c>
      <c r="C887">
        <v>9</v>
      </c>
    </row>
    <row r="888" spans="1:3">
      <c r="A888">
        <v>244</v>
      </c>
      <c r="B888">
        <v>24</v>
      </c>
      <c r="C888">
        <v>9</v>
      </c>
    </row>
    <row r="889" spans="1:3">
      <c r="A889">
        <v>244</v>
      </c>
      <c r="B889">
        <v>5</v>
      </c>
      <c r="C889">
        <v>8</v>
      </c>
    </row>
    <row r="890" spans="1:3">
      <c r="A890">
        <v>244</v>
      </c>
      <c r="B890">
        <v>9</v>
      </c>
      <c r="C890">
        <v>9</v>
      </c>
    </row>
    <row r="891" spans="1:3">
      <c r="A891">
        <v>244</v>
      </c>
      <c r="B891">
        <v>0</v>
      </c>
      <c r="C891">
        <v>9</v>
      </c>
    </row>
    <row r="892" spans="1:3">
      <c r="A892">
        <v>245</v>
      </c>
      <c r="B892">
        <v>2</v>
      </c>
      <c r="C892">
        <v>6</v>
      </c>
    </row>
    <row r="893" spans="1:3">
      <c r="A893">
        <v>245</v>
      </c>
      <c r="B893">
        <v>24</v>
      </c>
      <c r="C893">
        <v>3</v>
      </c>
    </row>
    <row r="894" spans="1:3">
      <c r="A894">
        <v>245</v>
      </c>
      <c r="B894">
        <v>19</v>
      </c>
      <c r="C894">
        <v>7</v>
      </c>
    </row>
    <row r="895" spans="1:3">
      <c r="A895">
        <v>245</v>
      </c>
      <c r="B895">
        <v>4</v>
      </c>
      <c r="C895">
        <v>8</v>
      </c>
    </row>
    <row r="896" spans="1:3">
      <c r="A896">
        <v>245</v>
      </c>
      <c r="B896">
        <v>22</v>
      </c>
      <c r="C896">
        <v>10</v>
      </c>
    </row>
    <row r="897" spans="1:3">
      <c r="A897">
        <v>245</v>
      </c>
      <c r="B897">
        <v>27</v>
      </c>
      <c r="C897">
        <v>7</v>
      </c>
    </row>
    <row r="898" spans="1:3">
      <c r="A898">
        <v>245</v>
      </c>
      <c r="B898">
        <v>25</v>
      </c>
      <c r="C898">
        <v>7</v>
      </c>
    </row>
    <row r="899" spans="1:3">
      <c r="A899">
        <v>245</v>
      </c>
      <c r="B899">
        <v>31</v>
      </c>
      <c r="C899">
        <v>2</v>
      </c>
    </row>
    <row r="900" spans="1:3">
      <c r="A900">
        <v>245</v>
      </c>
      <c r="B900">
        <v>15</v>
      </c>
      <c r="C900">
        <v>5</v>
      </c>
    </row>
    <row r="901" spans="1:3">
      <c r="A901">
        <v>245</v>
      </c>
      <c r="B901">
        <v>11</v>
      </c>
      <c r="C901">
        <v>7</v>
      </c>
    </row>
    <row r="902" spans="1:3">
      <c r="A902">
        <v>246</v>
      </c>
      <c r="B902">
        <v>17</v>
      </c>
      <c r="C902">
        <v>7</v>
      </c>
    </row>
    <row r="903" spans="1:3">
      <c r="A903">
        <v>246</v>
      </c>
      <c r="B903">
        <v>6</v>
      </c>
      <c r="C903">
        <v>6</v>
      </c>
    </row>
    <row r="904" spans="1:3">
      <c r="A904">
        <v>246</v>
      </c>
      <c r="B904">
        <v>7</v>
      </c>
      <c r="C904">
        <v>2</v>
      </c>
    </row>
    <row r="905" spans="1:3">
      <c r="A905">
        <v>246</v>
      </c>
      <c r="B905">
        <v>8</v>
      </c>
      <c r="C905">
        <v>3</v>
      </c>
    </row>
    <row r="906" spans="1:3">
      <c r="A906">
        <v>246</v>
      </c>
      <c r="B906">
        <v>29</v>
      </c>
      <c r="C906">
        <v>3</v>
      </c>
    </row>
    <row r="907" spans="1:3">
      <c r="A907">
        <v>246</v>
      </c>
      <c r="B907">
        <v>28</v>
      </c>
      <c r="C907">
        <v>6</v>
      </c>
    </row>
    <row r="908" spans="1:3">
      <c r="A908">
        <v>246</v>
      </c>
      <c r="B908">
        <v>0</v>
      </c>
      <c r="C908">
        <v>8</v>
      </c>
    </row>
    <row r="909" spans="1:3">
      <c r="A909">
        <v>246</v>
      </c>
      <c r="B909">
        <v>20</v>
      </c>
      <c r="C909">
        <v>8</v>
      </c>
    </row>
    <row r="910" spans="1:3">
      <c r="A910">
        <v>246</v>
      </c>
      <c r="B910">
        <v>23</v>
      </c>
      <c r="C910">
        <v>9</v>
      </c>
    </row>
    <row r="911" spans="1:3">
      <c r="A911">
        <v>246</v>
      </c>
      <c r="B911">
        <v>30</v>
      </c>
      <c r="C911">
        <v>1</v>
      </c>
    </row>
    <row r="912" spans="1:3">
      <c r="A912">
        <v>251</v>
      </c>
      <c r="B912">
        <v>15</v>
      </c>
      <c r="C912">
        <v>7</v>
      </c>
    </row>
    <row r="913" spans="1:3">
      <c r="A913">
        <v>251</v>
      </c>
      <c r="B913">
        <v>32</v>
      </c>
      <c r="C913">
        <v>6</v>
      </c>
    </row>
    <row r="914" spans="1:3">
      <c r="A914">
        <v>251</v>
      </c>
      <c r="B914">
        <v>2</v>
      </c>
      <c r="C914">
        <v>7</v>
      </c>
    </row>
    <row r="915" spans="1:3">
      <c r="A915">
        <v>251</v>
      </c>
      <c r="B915">
        <v>10</v>
      </c>
      <c r="C915">
        <v>7</v>
      </c>
    </row>
    <row r="916" spans="1:3">
      <c r="A916">
        <v>251</v>
      </c>
      <c r="B916">
        <v>20</v>
      </c>
      <c r="C916">
        <v>8</v>
      </c>
    </row>
    <row r="917" spans="1:3">
      <c r="A917">
        <v>251</v>
      </c>
      <c r="B917">
        <v>25</v>
      </c>
      <c r="C917">
        <v>7</v>
      </c>
    </row>
    <row r="918" spans="1:3">
      <c r="A918">
        <v>251</v>
      </c>
      <c r="B918">
        <v>18</v>
      </c>
      <c r="C918">
        <v>6</v>
      </c>
    </row>
    <row r="919" spans="1:3">
      <c r="A919">
        <v>251</v>
      </c>
      <c r="B919">
        <v>21</v>
      </c>
      <c r="C919">
        <v>8</v>
      </c>
    </row>
    <row r="920" spans="1:3">
      <c r="A920">
        <v>251</v>
      </c>
      <c r="B920">
        <v>22</v>
      </c>
      <c r="C920">
        <v>7</v>
      </c>
    </row>
    <row r="921" spans="1:3">
      <c r="A921">
        <v>251</v>
      </c>
      <c r="B921">
        <v>4</v>
      </c>
      <c r="C921">
        <v>8</v>
      </c>
    </row>
    <row r="922" spans="1:3">
      <c r="A922">
        <v>252</v>
      </c>
      <c r="B922">
        <v>6</v>
      </c>
      <c r="C922">
        <v>10</v>
      </c>
    </row>
    <row r="923" spans="1:3">
      <c r="A923">
        <v>252</v>
      </c>
      <c r="B923">
        <v>9</v>
      </c>
      <c r="C923">
        <v>7</v>
      </c>
    </row>
    <row r="924" spans="1:3">
      <c r="A924">
        <v>252</v>
      </c>
      <c r="B924">
        <v>30</v>
      </c>
      <c r="C924">
        <v>4</v>
      </c>
    </row>
    <row r="925" spans="1:3">
      <c r="A925">
        <v>252</v>
      </c>
      <c r="B925">
        <v>19</v>
      </c>
      <c r="C925">
        <v>8</v>
      </c>
    </row>
    <row r="926" spans="1:3">
      <c r="A926">
        <v>252</v>
      </c>
      <c r="B926">
        <v>17</v>
      </c>
      <c r="C926">
        <v>10</v>
      </c>
    </row>
    <row r="927" spans="1:3">
      <c r="A927">
        <v>252</v>
      </c>
      <c r="B927">
        <v>15</v>
      </c>
      <c r="C927">
        <v>10</v>
      </c>
    </row>
    <row r="928" spans="1:3">
      <c r="A928">
        <v>252</v>
      </c>
      <c r="B928">
        <v>24</v>
      </c>
      <c r="C928">
        <v>5</v>
      </c>
    </row>
    <row r="929" spans="1:3">
      <c r="A929">
        <v>252</v>
      </c>
      <c r="B929">
        <v>25</v>
      </c>
      <c r="C929">
        <v>7</v>
      </c>
    </row>
    <row r="930" spans="1:3">
      <c r="A930">
        <v>252</v>
      </c>
      <c r="B930">
        <v>27</v>
      </c>
      <c r="C930">
        <v>9</v>
      </c>
    </row>
    <row r="931" spans="1:3">
      <c r="A931">
        <v>252</v>
      </c>
      <c r="B931">
        <v>4</v>
      </c>
      <c r="C931">
        <v>6</v>
      </c>
    </row>
    <row r="932" spans="1:3">
      <c r="A932">
        <v>253</v>
      </c>
      <c r="B932">
        <v>7</v>
      </c>
      <c r="C932">
        <v>8</v>
      </c>
    </row>
    <row r="933" spans="1:3">
      <c r="A933">
        <v>253</v>
      </c>
      <c r="B933">
        <v>21</v>
      </c>
      <c r="C933">
        <v>7</v>
      </c>
    </row>
    <row r="934" spans="1:3">
      <c r="A934">
        <v>253</v>
      </c>
      <c r="B934">
        <v>8</v>
      </c>
      <c r="C934">
        <v>6</v>
      </c>
    </row>
    <row r="935" spans="1:3">
      <c r="A935">
        <v>253</v>
      </c>
      <c r="B935">
        <v>0</v>
      </c>
      <c r="C935">
        <v>8</v>
      </c>
    </row>
    <row r="936" spans="1:3">
      <c r="A936">
        <v>253</v>
      </c>
      <c r="B936">
        <v>3</v>
      </c>
      <c r="C936">
        <v>4</v>
      </c>
    </row>
    <row r="937" spans="1:3">
      <c r="A937">
        <v>253</v>
      </c>
      <c r="B937">
        <v>30</v>
      </c>
      <c r="C937">
        <v>6</v>
      </c>
    </row>
    <row r="938" spans="1:3">
      <c r="A938">
        <v>253</v>
      </c>
      <c r="B938">
        <v>4</v>
      </c>
      <c r="C938">
        <v>8</v>
      </c>
    </row>
    <row r="939" spans="1:3">
      <c r="A939">
        <v>253</v>
      </c>
      <c r="B939">
        <v>28</v>
      </c>
      <c r="C939">
        <v>7</v>
      </c>
    </row>
    <row r="940" spans="1:3">
      <c r="A940">
        <v>253</v>
      </c>
      <c r="B940">
        <v>16</v>
      </c>
      <c r="C940">
        <v>9</v>
      </c>
    </row>
    <row r="941" spans="1:3">
      <c r="A941">
        <v>253</v>
      </c>
      <c r="B941">
        <v>15</v>
      </c>
      <c r="C941">
        <v>9</v>
      </c>
    </row>
    <row r="942" spans="1:3">
      <c r="A942">
        <v>254</v>
      </c>
      <c r="B942">
        <v>16</v>
      </c>
      <c r="C942">
        <v>6</v>
      </c>
    </row>
    <row r="943" spans="1:3">
      <c r="A943">
        <v>254</v>
      </c>
      <c r="B943">
        <v>21</v>
      </c>
      <c r="C943">
        <v>4</v>
      </c>
    </row>
    <row r="944" spans="1:3">
      <c r="A944">
        <v>254</v>
      </c>
      <c r="B944">
        <v>1</v>
      </c>
      <c r="C944">
        <v>5</v>
      </c>
    </row>
    <row r="945" spans="1:3">
      <c r="A945">
        <v>254</v>
      </c>
      <c r="B945">
        <v>26</v>
      </c>
      <c r="C945">
        <v>18</v>
      </c>
    </row>
    <row r="946" spans="1:3">
      <c r="A946">
        <v>254</v>
      </c>
      <c r="B946">
        <v>11</v>
      </c>
      <c r="C946">
        <v>4</v>
      </c>
    </row>
    <row r="947" spans="1:3">
      <c r="A947">
        <v>254</v>
      </c>
      <c r="B947">
        <v>20</v>
      </c>
      <c r="C947">
        <v>8</v>
      </c>
    </row>
    <row r="948" spans="1:3">
      <c r="A948">
        <v>254</v>
      </c>
      <c r="B948">
        <v>30</v>
      </c>
      <c r="C948">
        <v>5</v>
      </c>
    </row>
    <row r="949" spans="1:3">
      <c r="A949">
        <v>254</v>
      </c>
      <c r="B949">
        <v>5</v>
      </c>
      <c r="C949">
        <v>10</v>
      </c>
    </row>
    <row r="950" spans="1:3">
      <c r="A950">
        <v>254</v>
      </c>
      <c r="B950">
        <v>32</v>
      </c>
      <c r="C950">
        <v>8</v>
      </c>
    </row>
    <row r="951" spans="1:3">
      <c r="A951">
        <v>254</v>
      </c>
      <c r="B951">
        <v>14</v>
      </c>
      <c r="C951">
        <v>7</v>
      </c>
    </row>
    <row r="952" spans="1:3">
      <c r="A952">
        <v>255</v>
      </c>
      <c r="B952">
        <v>8</v>
      </c>
      <c r="C952">
        <v>10</v>
      </c>
    </row>
    <row r="953" spans="1:3">
      <c r="A953">
        <v>255</v>
      </c>
      <c r="B953">
        <v>21</v>
      </c>
      <c r="C953">
        <v>10</v>
      </c>
    </row>
    <row r="954" spans="1:3">
      <c r="A954">
        <v>255</v>
      </c>
      <c r="B954">
        <v>9</v>
      </c>
      <c r="C954">
        <v>10</v>
      </c>
    </row>
    <row r="955" spans="1:3">
      <c r="A955">
        <v>255</v>
      </c>
      <c r="B955">
        <v>1</v>
      </c>
      <c r="C955">
        <v>10</v>
      </c>
    </row>
    <row r="956" spans="1:3">
      <c r="A956">
        <v>255</v>
      </c>
      <c r="B956">
        <v>12</v>
      </c>
      <c r="C956">
        <v>10</v>
      </c>
    </row>
    <row r="957" spans="1:3">
      <c r="A957">
        <v>255</v>
      </c>
      <c r="B957">
        <v>4</v>
      </c>
      <c r="C957">
        <v>10</v>
      </c>
    </row>
    <row r="958" spans="1:3">
      <c r="A958">
        <v>255</v>
      </c>
      <c r="B958">
        <v>25</v>
      </c>
      <c r="C958">
        <v>10</v>
      </c>
    </row>
    <row r="959" spans="1:3">
      <c r="A959">
        <v>255</v>
      </c>
      <c r="B959">
        <v>6</v>
      </c>
      <c r="C959">
        <v>10</v>
      </c>
    </row>
    <row r="960" spans="1:3">
      <c r="A960">
        <v>255</v>
      </c>
      <c r="B960">
        <v>14</v>
      </c>
      <c r="C960">
        <v>10</v>
      </c>
    </row>
    <row r="961" spans="1:3">
      <c r="A961">
        <v>255</v>
      </c>
      <c r="B961">
        <v>13</v>
      </c>
      <c r="C961">
        <v>10</v>
      </c>
    </row>
    <row r="962" spans="1:3">
      <c r="A962">
        <v>256</v>
      </c>
      <c r="B962">
        <v>2</v>
      </c>
      <c r="C962">
        <v>7</v>
      </c>
    </row>
    <row r="963" spans="1:3">
      <c r="A963">
        <v>256</v>
      </c>
      <c r="B963">
        <v>25</v>
      </c>
      <c r="C963">
        <v>8</v>
      </c>
    </row>
    <row r="964" spans="1:3">
      <c r="A964">
        <v>256</v>
      </c>
      <c r="B964">
        <v>4</v>
      </c>
      <c r="C964">
        <v>5</v>
      </c>
    </row>
    <row r="965" spans="1:3">
      <c r="A965">
        <v>256</v>
      </c>
      <c r="B965">
        <v>12</v>
      </c>
      <c r="C965">
        <v>7</v>
      </c>
    </row>
    <row r="966" spans="1:3">
      <c r="A966">
        <v>256</v>
      </c>
      <c r="B966">
        <v>31</v>
      </c>
      <c r="C966">
        <v>7</v>
      </c>
    </row>
    <row r="967" spans="1:3">
      <c r="A967">
        <v>256</v>
      </c>
      <c r="B967">
        <v>22</v>
      </c>
      <c r="C967">
        <v>6</v>
      </c>
    </row>
    <row r="968" spans="1:3">
      <c r="A968">
        <v>256</v>
      </c>
      <c r="B968">
        <v>18</v>
      </c>
      <c r="C968">
        <v>8</v>
      </c>
    </row>
    <row r="969" spans="1:3">
      <c r="A969">
        <v>256</v>
      </c>
      <c r="B969">
        <v>32</v>
      </c>
      <c r="C969">
        <v>9</v>
      </c>
    </row>
    <row r="970" spans="1:3">
      <c r="A970">
        <v>256</v>
      </c>
      <c r="B970">
        <v>16</v>
      </c>
      <c r="C970">
        <v>7</v>
      </c>
    </row>
    <row r="971" spans="1:3">
      <c r="A971">
        <v>256</v>
      </c>
      <c r="B971">
        <v>15</v>
      </c>
      <c r="C971">
        <v>9</v>
      </c>
    </row>
    <row r="972" spans="1:3">
      <c r="A972">
        <v>257</v>
      </c>
      <c r="B972">
        <v>4</v>
      </c>
      <c r="C972">
        <v>8</v>
      </c>
    </row>
    <row r="973" spans="1:3">
      <c r="A973">
        <v>257</v>
      </c>
      <c r="B973">
        <v>12</v>
      </c>
      <c r="C973">
        <v>7</v>
      </c>
    </row>
    <row r="974" spans="1:3">
      <c r="A974">
        <v>257</v>
      </c>
      <c r="B974">
        <v>25</v>
      </c>
      <c r="C974">
        <v>8</v>
      </c>
    </row>
    <row r="975" spans="1:3">
      <c r="A975">
        <v>257</v>
      </c>
      <c r="B975">
        <v>0</v>
      </c>
      <c r="C975">
        <v>7</v>
      </c>
    </row>
    <row r="976" spans="1:3">
      <c r="A976">
        <v>257</v>
      </c>
      <c r="B976">
        <v>29</v>
      </c>
      <c r="C976">
        <v>7</v>
      </c>
    </row>
    <row r="977" spans="1:3">
      <c r="A977">
        <v>257</v>
      </c>
      <c r="B977">
        <v>8</v>
      </c>
      <c r="C977">
        <v>5</v>
      </c>
    </row>
    <row r="978" spans="1:3">
      <c r="A978">
        <v>257</v>
      </c>
      <c r="B978">
        <v>17</v>
      </c>
      <c r="C978">
        <v>9</v>
      </c>
    </row>
    <row r="979" spans="1:3">
      <c r="A979">
        <v>257</v>
      </c>
      <c r="B979">
        <v>30</v>
      </c>
      <c r="C979">
        <v>5</v>
      </c>
    </row>
    <row r="980" spans="1:3">
      <c r="A980">
        <v>257</v>
      </c>
      <c r="B980">
        <v>2</v>
      </c>
      <c r="C980">
        <v>6</v>
      </c>
    </row>
    <row r="981" spans="1:3">
      <c r="A981">
        <v>257</v>
      </c>
      <c r="B981">
        <v>20</v>
      </c>
      <c r="C981">
        <v>8</v>
      </c>
    </row>
    <row r="982" spans="1:3">
      <c r="A982">
        <v>258</v>
      </c>
      <c r="B982">
        <v>22</v>
      </c>
      <c r="C982">
        <v>9</v>
      </c>
    </row>
    <row r="983" spans="1:3">
      <c r="A983">
        <v>258</v>
      </c>
      <c r="B983">
        <v>6</v>
      </c>
      <c r="C983">
        <v>7</v>
      </c>
    </row>
    <row r="984" spans="1:3">
      <c r="A984">
        <v>258</v>
      </c>
      <c r="B984">
        <v>29</v>
      </c>
      <c r="C984">
        <v>6</v>
      </c>
    </row>
    <row r="985" spans="1:3">
      <c r="A985">
        <v>258</v>
      </c>
      <c r="B985">
        <v>26</v>
      </c>
      <c r="C985">
        <v>7</v>
      </c>
    </row>
    <row r="986" spans="1:3">
      <c r="A986">
        <v>258</v>
      </c>
      <c r="B986">
        <v>15</v>
      </c>
      <c r="C986">
        <v>6</v>
      </c>
    </row>
    <row r="987" spans="1:3">
      <c r="A987">
        <v>258</v>
      </c>
      <c r="B987">
        <v>31</v>
      </c>
      <c r="C987">
        <v>5</v>
      </c>
    </row>
    <row r="988" spans="1:3">
      <c r="A988">
        <v>258</v>
      </c>
      <c r="B988">
        <v>17</v>
      </c>
      <c r="C988">
        <v>8</v>
      </c>
    </row>
    <row r="989" spans="1:3">
      <c r="A989">
        <v>258</v>
      </c>
      <c r="B989">
        <v>23</v>
      </c>
      <c r="C989">
        <v>9</v>
      </c>
    </row>
    <row r="990" spans="1:3">
      <c r="A990">
        <v>258</v>
      </c>
      <c r="B990">
        <v>27</v>
      </c>
      <c r="C990">
        <v>8</v>
      </c>
    </row>
    <row r="991" spans="1:3">
      <c r="A991">
        <v>258</v>
      </c>
      <c r="B991">
        <v>24</v>
      </c>
      <c r="C991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2</vt:i4>
      </vt:variant>
    </vt:vector>
  </HeadingPairs>
  <TitlesOfParts>
    <vt:vector size="9" baseType="lpstr">
      <vt:lpstr>CASE_01</vt:lpstr>
      <vt:lpstr>CASE_01_pivot</vt:lpstr>
      <vt:lpstr>CASE_01_heatmap</vt:lpstr>
      <vt:lpstr>CASE_02_상품</vt:lpstr>
      <vt:lpstr>CASE_02_고객</vt:lpstr>
      <vt:lpstr>CASE_02_pivot</vt:lpstr>
      <vt:lpstr>CASE_02_평가</vt:lpstr>
      <vt:lpstr>AVERAGE</vt:lpstr>
      <vt:lpstr>STDEV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성일 정</dc:creator>
  <cp:lastModifiedBy>현진 배</cp:lastModifiedBy>
  <dcterms:created xsi:type="dcterms:W3CDTF">2024-10-12T15:54:06Z</dcterms:created>
  <dcterms:modified xsi:type="dcterms:W3CDTF">2026-04-03T04:41:19Z</dcterms:modified>
</cp:coreProperties>
</file>