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younjin/Documents/GitHub/study_log/excel_data_analysis/"/>
    </mc:Choice>
  </mc:AlternateContent>
  <xr:revisionPtr revIDLastSave="0" documentId="8_{9B9A503D-3450-374A-AC22-59EE8EE1E608}" xr6:coauthVersionLast="47" xr6:coauthVersionMax="47" xr10:uidLastSave="{00000000-0000-0000-0000-000000000000}"/>
  <bookViews>
    <workbookView xWindow="0" yWindow="600" windowWidth="38400" windowHeight="19300" xr2:uid="{D189C860-361E-194F-932B-045C4C5518DF}"/>
  </bookViews>
  <sheets>
    <sheet name="CASE_01_01" sheetId="1" r:id="rId1"/>
    <sheet name="CASE_01_02" sheetId="2" r:id="rId2"/>
    <sheet name="CASE_02_01" sheetId="4" r:id="rId3"/>
    <sheet name="CASE_02_02" sheetId="5" r:id="rId4"/>
  </sheets>
  <definedNames>
    <definedName name="ExternalData_1" localSheetId="1" hidden="1">CASE_01_02!$A$7:$D$23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2" i="5"/>
  <c r="E2" i="4"/>
  <c r="E3" i="4"/>
  <c r="E4" i="4"/>
  <c r="D2" i="4"/>
  <c r="D3" i="4"/>
  <c r="D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5D9A4-570F-47E8-B6A6-24FBB197A4EC}" keepAlive="1" name="쿼리 - 병합1" description="통합 문서의 '병합1' 쿼리에 대한 연결입니다." type="5" refreshedVersion="0" background="1">
    <dbPr connection="Provider=Microsoft.Mashup.OleDb.1;Data Source=$Workbook$;Location=병합1;Extended Properties=&quot;&quot;" command="SELECT * FROM [병합1]"/>
  </connection>
  <connection id="2" xr16:uid="{5567558A-9630-4044-B583-6547A34242FE}" keepAlive="1" name="쿼리 - 표1" description="통합 문서의 '표1' 쿼리에 대한 연결입니다." type="5" refreshedVersion="0" background="1">
    <dbPr connection="Provider=Microsoft.Mashup.OleDb.1;Data Source=$Workbook$;Location=표1;Extended Properties=&quot;&quot;" command="SELECT * FROM [표1]"/>
  </connection>
  <connection id="3" xr16:uid="{A6AA4F4B-0246-40B8-B171-FFCD09278B6A}" keepAlive="1" name="쿼리 - 표2" description="통합 문서의 '표2' 쿼리에 대한 연결입니다." type="5" refreshedVersion="0" background="1">
    <dbPr connection="Provider=Microsoft.Mashup.OleDb.1;Data Source=$Workbook$;Location=표2;Extended Properties=&quot;&quot;" command="SELECT * FROM [표2]"/>
  </connection>
  <connection id="4" xr16:uid="{C0CFA8FB-8FAA-42DA-8D9F-FC0AC57B0DC9}" keepAlive="1" name="쿼리 - 표3" description="통합 문서의 '표3' 쿼리에 대한 연결입니다." type="5" refreshedVersion="0" background="1">
    <dbPr connection="Provider=Microsoft.Mashup.OleDb.1;Data Source=$Workbook$;Location=표3;Extended Properties=&quot;&quot;" command="SELECT * FROM [표3]"/>
  </connection>
</connections>
</file>

<file path=xl/sharedStrings.xml><?xml version="1.0" encoding="utf-8"?>
<sst xmlns="http://schemas.openxmlformats.org/spreadsheetml/2006/main" count="203" uniqueCount="84">
  <si>
    <t>월</t>
    <phoneticPr fontId="3" type="noConversion"/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</si>
  <si>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</si>
  <si>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</si>
  <si>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</si>
  <si>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</si>
  <si>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</si>
  <si>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</si>
  <si>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</si>
  <si>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</si>
  <si>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</si>
  <si>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</si>
  <si>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</si>
  <si>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</si>
  <si>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판매량</t>
    <phoneticPr fontId="3" type="noConversion"/>
  </si>
  <si>
    <t>개수</t>
    <phoneticPr fontId="3" type="noConversion"/>
  </si>
  <si>
    <t>월</t>
  </si>
  <si>
    <t>판매량</t>
  </si>
  <si>
    <t>개수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</si>
  <si>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</si>
  <si>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</si>
  <si>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</si>
  <si>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</si>
  <si>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</si>
  <si>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</si>
  <si>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</si>
  <si>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</si>
  <si>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</si>
  <si>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</si>
  <si>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</si>
  <si>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</si>
  <si>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ctrl + alt + v (선택하여 값 붙여넣기)</t>
    <phoneticPr fontId="3" type="noConversion"/>
  </si>
  <si>
    <t>지역</t>
    <phoneticPr fontId="3" type="noConversion"/>
  </si>
  <si>
    <t>상품</t>
  </si>
  <si>
    <t>서울</t>
  </si>
  <si>
    <t>A</t>
  </si>
  <si>
    <t>B</t>
  </si>
  <si>
    <t>부산</t>
  </si>
  <si>
    <t>지역</t>
  </si>
  <si>
    <t>날짜</t>
    <phoneticPr fontId="3" type="noConversion"/>
  </si>
  <si>
    <t>매출</t>
    <phoneticPr fontId="3" type="noConversion"/>
  </si>
  <si>
    <t>Unpivot 하고 싶은 범위 복사 -&gt; 데이터 -&gt; 파워 쿼리 편집기 시작 -&gt; 데이터 입력 -&gt; 범위 선택 -&gt; 열 피벗 해제</t>
    <phoneticPr fontId="3" type="noConversion"/>
  </si>
  <si>
    <t>고객번호</t>
    <phoneticPr fontId="3" type="noConversion"/>
  </si>
  <si>
    <t>고객명</t>
    <phoneticPr fontId="3" type="noConversion"/>
  </si>
  <si>
    <t>보유포인트</t>
    <phoneticPr fontId="3" type="noConversion"/>
  </si>
  <si>
    <t>매출합계</t>
    <phoneticPr fontId="3" type="noConversion"/>
  </si>
  <si>
    <t>주거래영업점</t>
    <phoneticPr fontId="3" type="noConversion"/>
  </si>
  <si>
    <t>&gt;&gt; VLOOKUP 활용한 방법</t>
    <phoneticPr fontId="3" type="noConversion"/>
  </si>
  <si>
    <t>C001</t>
    <phoneticPr fontId="3" type="noConversion"/>
  </si>
  <si>
    <t>홍길동</t>
    <phoneticPr fontId="3" type="noConversion"/>
  </si>
  <si>
    <t>ㄴ VLOOKUP(찾고자 하는 셀의 값, 찾는 범위, 찾는 범위의 인덱스 번호, 일치 or 근사치)</t>
    <phoneticPr fontId="3" type="noConversion"/>
  </si>
  <si>
    <t>C002</t>
    <phoneticPr fontId="3" type="noConversion"/>
  </si>
  <si>
    <t>김철수</t>
    <phoneticPr fontId="3" type="noConversion"/>
  </si>
  <si>
    <t>C003</t>
    <phoneticPr fontId="3" type="noConversion"/>
  </si>
  <si>
    <t>남영희</t>
    <phoneticPr fontId="3" type="noConversion"/>
  </si>
  <si>
    <t>주거래 영업점</t>
    <phoneticPr fontId="3" type="noConversion"/>
  </si>
  <si>
    <t>강남</t>
    <phoneticPr fontId="3" type="noConversion"/>
  </si>
  <si>
    <t>명동</t>
    <phoneticPr fontId="3" type="noConversion"/>
  </si>
  <si>
    <t>여의도</t>
    <phoneticPr fontId="3" type="noConversion"/>
  </si>
  <si>
    <t>적립포인트</t>
    <phoneticPr fontId="3" type="noConversion"/>
  </si>
  <si>
    <t>영업점</t>
    <phoneticPr fontId="3" type="noConversion"/>
  </si>
  <si>
    <t>담당 직원</t>
    <phoneticPr fontId="3" type="noConversion"/>
  </si>
  <si>
    <t>허준</t>
    <phoneticPr fontId="3" type="noConversion"/>
  </si>
  <si>
    <t>김준호</t>
    <phoneticPr fontId="3" type="noConversion"/>
  </si>
  <si>
    <t>최수진</t>
    <phoneticPr fontId="3" type="noConversion"/>
  </si>
  <si>
    <t>C002</t>
  </si>
  <si>
    <t>ㄴ 닫기 및 다음으로 로드 -&gt; 연결만 만들기 -&gt; 연결 모두 생성 후 쿼리 병합 -&gt; 표 선택, left join -&gt; 기준열 항목 체크 해제 -&gt; 닫기 및 로드</t>
    <phoneticPr fontId="3" type="noConversion"/>
  </si>
  <si>
    <t>고객번호</t>
  </si>
  <si>
    <t>매출</t>
  </si>
  <si>
    <t>적립포인트</t>
  </si>
  <si>
    <t>영업점</t>
  </si>
  <si>
    <t>표2.고객명</t>
  </si>
  <si>
    <t>표2.보유포인트</t>
  </si>
  <si>
    <t>표3.담당 직원</t>
  </si>
  <si>
    <t>C001</t>
  </si>
  <si>
    <t>강남</t>
  </si>
  <si>
    <t>홍길동</t>
  </si>
  <si>
    <t>허준</t>
  </si>
  <si>
    <t>김철수</t>
  </si>
  <si>
    <t>김준호</t>
  </si>
  <si>
    <t>명동</t>
  </si>
  <si>
    <t>여의도</t>
  </si>
  <si>
    <t>C003</t>
  </si>
  <si>
    <t>남영희</t>
  </si>
  <si>
    <t>최수진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</si>
</sst>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  <xf numFmtId="0" fontId="0" fillId="4" borderId="2" xfId="0" applyFill="1" applyBorder="1">
      <alignment vertical="center"/>
    </xf>
    <xf numFmtId="3" fontId="0" fillId="0" borderId="0" xfId="0" applyNumberFormat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5" fillId="0" borderId="0" xfId="0" applyFont="1">
      <alignment vertical="center"/>
    </xf>
  </cellXfs>
  <cellStyles count="2">
    <cellStyle name="40% - 강조색1" xfId="1" builtinId="31"/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12700</xdr:colOff>
      <xdr:row>4</xdr:row>
      <xdr:rowOff>0</xdr:rowOff>
    </xdr:from>
    <xdr:to>
      <xdr:col>9</xdr:col>
      <xdr:colOff>368300</xdr:colOff>
      <xdr:row>26</xdr:row>
      <xdr:rowOff>225018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EE1C383-1F2C-688F-F670-B401D1A47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453"/>
        <a:stretch>
          <a:fillRect/>
        </a:stretch>
      </xdr:blipFill>
      <xdr:spPr>
        <a:xfrm>
          <a:off x="3822700" y="914400"/>
          <a:ext cx="5118100" cy="5254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0</xdr:rowOff>
    </xdr:from>
    <xdr:to>
      <xdr:col>15</xdr:col>
      <xdr:colOff>190500</xdr:colOff>
      <xdr:row>27</xdr:row>
      <xdr:rowOff>204379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046151-C7D4-94E8-1361-72793334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28600"/>
          <a:ext cx="7772400" cy="614797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12700</xdr:rowOff>
    </xdr:from>
    <xdr:to>
      <xdr:col>18</xdr:col>
      <xdr:colOff>546100</xdr:colOff>
      <xdr:row>24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61A352-27D1-377E-632C-1B9C8A2E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0" y="469900"/>
          <a:ext cx="2451100" cy="5016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21251-8443-0047-879D-A08724AF7D1F}" name="표1" displayName="표1" ref="A1:M3" totalsRowShown="0" headerRowCellStyle="40% - 강조색1">
  <autoFilter ref="A1:M3" xr:uid="{8F821251-8443-0047-879D-A08724AF7D1F}"/>
  <tableColumns count="13">
    <tableColumn id="1" xr3:uid="{344FEAE4-06CD-8049-8DDB-63352E1B299F}" name="월"/>
    <tableColumn id="2" xr3:uid="{E7F7DD43-A5D2-DD44-8B64-81AB6D2AE8A2}" name="1월"/>
    <tableColumn id="3" xr3:uid="{CC3308FC-A1AB-3E4A-A288-B9ACE9190207}" name="2월"/>
    <tableColumn id="4" xr3:uid="{F649B7E5-D3DF-2E40-A408-2F16B5B67C77}" name="3월"/>
    <tableColumn id="5" xr3:uid="{981B9090-F561-3848-8B07-86691A923F6B}" name="4월"/>
    <tableColumn id="6" xr3:uid="{A2347691-DDF8-E34C-8A2A-C995EFE5E388}" name="5월"/>
    <tableColumn id="7" xr3:uid="{8F7B1990-AF95-6248-9A62-47FBD73B74FD}" name="6월"/>
    <tableColumn id="8" xr3:uid="{37C7B2E8-77D7-3F4F-85D5-DEE507B7F38C}" name="7월"/>
    <tableColumn id="9" xr3:uid="{D1BAC2C2-943E-4F47-8916-E1D965609327}" name="8월"/>
    <tableColumn id="10" xr3:uid="{0D58791A-88A5-DE48-A2A5-78D7E72301AF}" name="9월"/>
    <tableColumn id="11" xr3:uid="{AEC75562-7C59-524A-81D0-544F6A63A128}" name="10월"/>
    <tableColumn id="12" xr3:uid="{C47CCEAA-C579-CE47-A72A-3FE5671000EC}" name="11월"/>
    <tableColumn id="13" xr3:uid="{C945D9C4-607B-B24B-9162-1D38556A49B6}" name="12월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597C8D-1135-4246-9355-D9C3A90447F4}" name="테이블_6" displayName="테이블_6" ref="A7:D23" totalsRowShown="0">
  <autoFilter ref="A7:D23" xr:uid="{DA597C8D-1135-4246-9355-D9C3A90447F4}"/>
  <tableColumns count="4">
    <tableColumn id="1" xr3:uid="{3B032FDE-02D4-6945-9727-0A52B730B3DC}" name="지역" dataDxfId="4"/>
    <tableColumn id="2" xr3:uid="{EFAB0EE9-B01E-504A-892D-F051ABCD77FF}" name="상품" dataDxfId="3"/>
    <tableColumn id="3" xr3:uid="{A180F64B-7542-AC4B-B9BA-E49FFCA19876}" name="날짜" dataDxfId="2"/>
    <tableColumn id="4" xr3:uid="{22867942-DDA4-844D-8A7B-05090285E8D6}" name="매출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7CBBBB-6D4B-4101-8150-C579C2E375E2}" name="표2" displayName="표2" ref="A1:E4" totalsRowShown="0">
  <autoFilter ref="A1:E4" xr:uid="{207CBBBB-6D4B-4101-8150-C579C2E375E2}"/>
  <tableColumns count="5">
    <tableColumn id="1" xr3:uid="{7CAEF206-07CF-4679-8932-5C4CF3B2CE6B}" name="고객번호"/>
    <tableColumn id="2" xr3:uid="{68F61120-864B-4820-B94B-685003B95A74}" name="고객명"/>
    <tableColumn id="3" xr3:uid="{518A55FF-2BB2-498C-B1F1-1CC31BB7BC65}" name="보유포인트"/>
    <tableColumn id="4" xr3:uid="{4AF44183-C945-487C-B5C1-75F8104EF399}" name="매출합계" dataDxfId="1">
      <calculatedColumnFormula>VLOOKUP(표2[[#This Row],[고객번호]],표2_4[],2,FALSE)</calculatedColumnFormula>
    </tableColumn>
    <tableColumn id="5" xr3:uid="{6778B0AF-A9F4-4C03-9ED9-310869465F35}" name="주거래영업점" dataDxfId="0">
      <calculatedColumnFormula>VLOOKUP(표2[[#This Row],[고객번호]],표2_4[],3,FALSE)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EAA6A9-AE71-43B3-8970-400E6408D2F3}" name="표2_4" displayName="표2_4" ref="A6:C9" totalsRowShown="0">
  <autoFilter ref="A6:C9" xr:uid="{CAEAA6A9-AE71-43B3-8970-400E6408D2F3}"/>
  <tableColumns count="3">
    <tableColumn id="1" xr3:uid="{8D6C2080-1B22-4542-A6FA-6CE4C9254412}" name="고객번호"/>
    <tableColumn id="2" xr3:uid="{39D7A9E0-7407-4887-B789-0FE348EF4416}" name="매출합계"/>
    <tableColumn id="3" xr3:uid="{F7DCA5E9-1335-4A2C-85E1-4DD154CB42FB}" name="주거래 영업점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BD4536-766E-4D35-88CE-35F5B583A4FE}" name="표4" displayName="표4" ref="A1:D10" totalsRowShown="0">
  <autoFilter ref="A1:D10" xr:uid="{46BD4536-766E-4D35-88CE-35F5B583A4FE}"/>
  <tableColumns count="4">
    <tableColumn id="1" xr3:uid="{2B61FEDC-6462-4FC5-B078-993A0C6B8152}" name="고객번호"/>
    <tableColumn id="2" xr3:uid="{37FCA717-9C15-48F3-85EE-7857D2BF65D5}" name="매출"/>
    <tableColumn id="3" xr3:uid="{FD0079B6-8B71-4E4E-B1CD-80AAF8B6B150}" name="적립포인트">
      <calculatedColumnFormula>B2/100</calculatedColumnFormula>
    </tableColumn>
    <tableColumn id="4" xr3:uid="{3AED189F-BF77-4115-81D5-428D849A2404}" name="영업점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7EF310-0899-40D4-85CC-1A903AF7DCBB}" name="표6" displayName="표6" ref="F1:H4" totalsRowShown="0">
  <autoFilter ref="F1:H4" xr:uid="{3C7EF310-0899-40D4-85CC-1A903AF7DCBB}"/>
  <tableColumns count="3">
    <tableColumn id="1" xr3:uid="{ADA4C767-69CD-416E-89DD-E8C32975B36F}" name="고객번호"/>
    <tableColumn id="2" xr3:uid="{C3B95E2B-4F63-4AA3-A55D-11BF1A746DFB}" name="고객명"/>
    <tableColumn id="3" xr3:uid="{6D39C596-D536-4F03-8ABB-9064BEF43633}" name="보유포인트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3CC447-17D1-49B4-B37E-96C26F4AA14C}" name="표7" displayName="표7" ref="J1:K4" totalsRowShown="0">
  <autoFilter ref="J1:K4" xr:uid="{D13CC447-17D1-49B4-B37E-96C26F4AA14C}"/>
  <tableColumns count="2">
    <tableColumn id="1" xr3:uid="{7C08E3D8-C242-46B9-9DE0-B736B08CBCC5}" name="고객번호"/>
    <tableColumn id="2" xr3:uid="{19C7AACE-1679-44CA-9AE6-9A63758B725D}" name="담당 직원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2101-22C5-1643-AB41-09FEB64F261B}">
  <dimension ref="A1:M29"/>
  <sheetViews>
    <sheetView tabSelected="1" workbookViewId="0">
      <selection activeCell="G31" sqref="G31"/>
    </sheetView>
  </sheetViews>
  <sheetFormatPr baseColWidth="10" defaultColWidth="10.85546875" defaultRowHeight="18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100</v>
      </c>
      <c r="C2">
        <v>150</v>
      </c>
      <c r="D2">
        <v>200</v>
      </c>
      <c r="E2">
        <v>180</v>
      </c>
      <c r="F2">
        <v>160</v>
      </c>
      <c r="G2">
        <v>190</v>
      </c>
      <c r="H2">
        <v>175</v>
      </c>
      <c r="I2">
        <v>210</v>
      </c>
      <c r="J2">
        <v>200</v>
      </c>
      <c r="K2">
        <v>185</v>
      </c>
      <c r="L2">
        <v>220</v>
      </c>
      <c r="M2">
        <v>195</v>
      </c>
    </row>
    <row r="3" spans="1:13">
      <c r="A3" t="s">
        <v>14</v>
      </c>
      <c r="B3">
        <v>10</v>
      </c>
      <c r="C3">
        <v>15</v>
      </c>
      <c r="D3">
        <v>20</v>
      </c>
      <c r="E3">
        <v>18</v>
      </c>
      <c r="F3">
        <v>16</v>
      </c>
      <c r="G3">
        <v>19</v>
      </c>
      <c r="H3">
        <v>17</v>
      </c>
      <c r="I3">
        <v>21</v>
      </c>
      <c r="J3">
        <v>20</v>
      </c>
      <c r="K3">
        <v>18</v>
      </c>
      <c r="L3">
        <v>22</v>
      </c>
      <c r="M3">
        <v>19</v>
      </c>
    </row>
    <row r="7" spans="1:13">
      <c r="A7" t="s">
        <v>15</v>
      </c>
      <c r="B7" t="s">
        <v>16</v>
      </c>
      <c r="C7" t="s">
        <v>17</v>
      </c>
    </row>
    <row r="8" spans="1:13">
      <c r="A8" t="s">
        <v>18</v>
      </c>
      <c r="B8">
        <v>100</v>
      </c>
      <c r="C8">
        <v>10</v>
      </c>
    </row>
    <row r="9" spans="1:13">
      <c r="A9" t="s">
        <v>19</v>
      </c>
      <c r="B9">
        <v>150</v>
      </c>
      <c r="C9">
        <v>15</v>
      </c>
    </row>
    <row r="10" spans="1:13">
      <c r="A10" t="s">
        <v>20</v>
      </c>
      <c r="B10">
        <v>200</v>
      </c>
      <c r="C10">
        <v>20</v>
      </c>
    </row>
    <row r="11" spans="1:13">
      <c r="A11" t="s">
        <v>21</v>
      </c>
      <c r="B11">
        <v>180</v>
      </c>
      <c r="C11">
        <v>18</v>
      </c>
    </row>
    <row r="12" spans="1:13">
      <c r="A12" t="s">
        <v>22</v>
      </c>
      <c r="B12">
        <v>160</v>
      </c>
      <c r="C12">
        <v>16</v>
      </c>
    </row>
    <row r="13" spans="1:13">
      <c r="A13" t="s">
        <v>23</v>
      </c>
      <c r="B13">
        <v>190</v>
      </c>
      <c r="C13">
        <v>19</v>
      </c>
    </row>
    <row r="14" spans="1:13">
      <c r="A14" t="s">
        <v>24</v>
      </c>
      <c r="B14">
        <v>175</v>
      </c>
      <c r="C14">
        <v>17</v>
      </c>
    </row>
    <row r="15" spans="1:13">
      <c r="A15" t="s">
        <v>25</v>
      </c>
      <c r="B15">
        <v>210</v>
      </c>
      <c r="C15">
        <v>21</v>
      </c>
    </row>
    <row r="16" spans="1:13">
      <c r="A16" t="s">
        <v>26</v>
      </c>
      <c r="B16">
        <v>200</v>
      </c>
      <c r="C16">
        <v>20</v>
      </c>
    </row>
    <row r="17" spans="1:5">
      <c r="A17" t="s">
        <v>27</v>
      </c>
      <c r="B17">
        <v>185</v>
      </c>
      <c r="C17">
        <v>18</v>
      </c>
    </row>
    <row r="18" spans="1:5">
      <c r="A18" t="s">
        <v>28</v>
      </c>
      <c r="B18">
        <v>220</v>
      </c>
      <c r="C18">
        <v>22</v>
      </c>
    </row>
    <row r="19" spans="1:5">
      <c r="A19" t="s">
        <v>29</v>
      </c>
      <c r="B19">
        <v>195</v>
      </c>
      <c r="C19">
        <v>19</v>
      </c>
    </row>
    <row r="29" spans="1:5">
      <c r="E29" s="2" t="s">
        <v>30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1215-427C-B640-A9FB-BE3F13D7790F}">
  <dimension ref="A1:H30"/>
  <sheetViews>
    <sheetView workbookViewId="0">
      <selection activeCell="F30" sqref="F30"/>
    </sheetView>
  </sheetViews>
  <sheetFormatPr baseColWidth="10" defaultColWidth="10.85546875" defaultRowHeight="18"/>
  <sheetData>
    <row r="1" spans="1:6">
      <c r="A1" t="s">
        <v>31</v>
      </c>
      <c r="B1" t="s">
        <v>32</v>
      </c>
      <c r="C1" t="s">
        <v>18</v>
      </c>
      <c r="D1" t="s">
        <v>19</v>
      </c>
      <c r="E1" t="s">
        <v>20</v>
      </c>
      <c r="F1" t="s">
        <v>21</v>
      </c>
    </row>
    <row r="2" spans="1:6">
      <c r="A2" t="s">
        <v>33</v>
      </c>
      <c r="B2" t="s">
        <v>34</v>
      </c>
      <c r="C2">
        <v>300</v>
      </c>
      <c r="D2">
        <v>250</v>
      </c>
      <c r="E2">
        <v>270</v>
      </c>
      <c r="F2">
        <v>310</v>
      </c>
    </row>
    <row r="3" spans="1:6">
      <c r="A3" t="s">
        <v>33</v>
      </c>
      <c r="B3" t="s">
        <v>35</v>
      </c>
      <c r="C3">
        <v>200</v>
      </c>
      <c r="D3">
        <v>180</v>
      </c>
      <c r="E3">
        <v>220</v>
      </c>
      <c r="F3">
        <v>210</v>
      </c>
    </row>
    <row r="4" spans="1:6">
      <c r="A4" t="s">
        <v>36</v>
      </c>
      <c r="B4" t="s">
        <v>34</v>
      </c>
      <c r="C4">
        <v>250</v>
      </c>
      <c r="D4">
        <v>300</v>
      </c>
      <c r="E4">
        <v>280</v>
      </c>
      <c r="F4">
        <v>320</v>
      </c>
    </row>
    <row r="5" spans="1:6">
      <c r="A5" t="s">
        <v>36</v>
      </c>
      <c r="B5" t="s">
        <v>35</v>
      </c>
      <c r="C5">
        <v>150</v>
      </c>
      <c r="D5">
        <v>170</v>
      </c>
      <c r="E5">
        <v>160</v>
      </c>
      <c r="F5">
        <v>190</v>
      </c>
    </row>
    <row r="7" spans="1:6">
      <c r="A7" t="s">
        <v>37</v>
      </c>
      <c r="B7" t="s">
        <v>32</v>
      </c>
      <c r="C7" t="s">
        <v>38</v>
      </c>
      <c r="D7" t="s">
        <v>39</v>
      </c>
    </row>
    <row r="8" spans="1:6">
      <c r="A8" t="s">
        <v>33</v>
      </c>
      <c r="B8" t="s">
        <v>34</v>
      </c>
      <c r="C8" t="s">
        <v>18</v>
      </c>
      <c r="D8">
        <v>300</v>
      </c>
    </row>
    <row r="9" spans="1:6">
      <c r="A9" t="s">
        <v>33</v>
      </c>
      <c r="B9" t="s">
        <v>34</v>
      </c>
      <c r="C9" t="s">
        <v>19</v>
      </c>
      <c r="D9">
        <v>250</v>
      </c>
    </row>
    <row r="10" spans="1:6">
      <c r="A10" t="s">
        <v>33</v>
      </c>
      <c r="B10" t="s">
        <v>34</v>
      </c>
      <c r="C10" t="s">
        <v>20</v>
      </c>
      <c r="D10">
        <v>270</v>
      </c>
    </row>
    <row r="11" spans="1:6">
      <c r="A11" t="s">
        <v>33</v>
      </c>
      <c r="B11" t="s">
        <v>34</v>
      </c>
      <c r="C11" t="s">
        <v>21</v>
      </c>
      <c r="D11">
        <v>310</v>
      </c>
    </row>
    <row r="12" spans="1:6">
      <c r="A12" t="s">
        <v>33</v>
      </c>
      <c r="B12" t="s">
        <v>35</v>
      </c>
      <c r="C12" t="s">
        <v>18</v>
      </c>
      <c r="D12">
        <v>200</v>
      </c>
    </row>
    <row r="13" spans="1:6">
      <c r="A13" t="s">
        <v>33</v>
      </c>
      <c r="B13" t="s">
        <v>35</v>
      </c>
      <c r="C13" t="s">
        <v>19</v>
      </c>
      <c r="D13">
        <v>180</v>
      </c>
    </row>
    <row r="14" spans="1:6">
      <c r="A14" t="s">
        <v>33</v>
      </c>
      <c r="B14" t="s">
        <v>35</v>
      </c>
      <c r="C14" t="s">
        <v>20</v>
      </c>
      <c r="D14">
        <v>220</v>
      </c>
    </row>
    <row r="15" spans="1:6">
      <c r="A15" t="s">
        <v>33</v>
      </c>
      <c r="B15" t="s">
        <v>35</v>
      </c>
      <c r="C15" t="s">
        <v>21</v>
      </c>
      <c r="D15">
        <v>210</v>
      </c>
    </row>
    <row r="16" spans="1:6">
      <c r="A16" t="s">
        <v>36</v>
      </c>
      <c r="B16" t="s">
        <v>34</v>
      </c>
      <c r="C16" t="s">
        <v>18</v>
      </c>
      <c r="D16">
        <v>250</v>
      </c>
    </row>
    <row r="17" spans="1:8">
      <c r="A17" t="s">
        <v>36</v>
      </c>
      <c r="B17" t="s">
        <v>34</v>
      </c>
      <c r="C17" t="s">
        <v>19</v>
      </c>
      <c r="D17">
        <v>300</v>
      </c>
    </row>
    <row r="18" spans="1:8">
      <c r="A18" t="s">
        <v>36</v>
      </c>
      <c r="B18" t="s">
        <v>34</v>
      </c>
      <c r="C18" t="s">
        <v>20</v>
      </c>
      <c r="D18">
        <v>280</v>
      </c>
    </row>
    <row r="19" spans="1:8">
      <c r="A19" t="s">
        <v>36</v>
      </c>
      <c r="B19" t="s">
        <v>34</v>
      </c>
      <c r="C19" t="s">
        <v>21</v>
      </c>
      <c r="D19">
        <v>320</v>
      </c>
    </row>
    <row r="20" spans="1:8">
      <c r="A20" t="s">
        <v>36</v>
      </c>
      <c r="B20" t="s">
        <v>35</v>
      </c>
      <c r="C20" t="s">
        <v>18</v>
      </c>
      <c r="D20">
        <v>150</v>
      </c>
    </row>
    <row r="21" spans="1:8">
      <c r="A21" t="s">
        <v>36</v>
      </c>
      <c r="B21" t="s">
        <v>35</v>
      </c>
      <c r="C21" t="s">
        <v>19</v>
      </c>
      <c r="D21">
        <v>170</v>
      </c>
    </row>
    <row r="22" spans="1:8">
      <c r="A22" t="s">
        <v>36</v>
      </c>
      <c r="B22" t="s">
        <v>35</v>
      </c>
      <c r="C22" t="s">
        <v>20</v>
      </c>
      <c r="D22">
        <v>160</v>
      </c>
    </row>
    <row r="23" spans="1:8">
      <c r="A23" t="s">
        <v>36</v>
      </c>
      <c r="B23" t="s">
        <v>35</v>
      </c>
      <c r="C23" t="s">
        <v>21</v>
      </c>
      <c r="D23">
        <v>190</v>
      </c>
    </row>
    <row r="30" spans="1:8">
      <c r="H30" s="2" t="s">
        <v>40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6898-CD2F-1142-8CDC-A0217EE5C300}">
  <dimension ref="A1:G9"/>
  <sheetViews>
    <sheetView workbookViewId="0">
      <selection activeCell="H13" sqref="H13"/>
    </sheetView>
  </sheetViews>
  <sheetFormatPr baseColWidth="10" defaultColWidth="10.85546875" defaultRowHeight="18"/>
  <cols>
    <col min="3" max="3" width="14.85546875" bestFit="1" customWidth="1"/>
    <col min="5" max="5" width="14.28515625" bestFit="1" customWidth="1"/>
  </cols>
  <sheetData>
    <row r="1" spans="1:7">
      <c r="A1" t="s">
        <v>41</v>
      </c>
      <c r="B1" t="s">
        <v>42</v>
      </c>
      <c r="C1" t="s">
        <v>43</v>
      </c>
      <c r="D1" t="s">
        <v>44</v>
      </c>
      <c r="E1" t="s">
        <v>45</v>
      </c>
      <c r="G1" t="s">
        <v>46</v>
      </c>
    </row>
    <row r="2" spans="1:7">
      <c r="A2" t="s">
        <v>47</v>
      </c>
      <c r="B2" t="s">
        <v>48</v>
      </c>
      <c r="C2">
        <v>250</v>
      </c>
      <c r="D2">
        <f>VLOOKUP(표2[[#This Row],[고객번호]],표2_4[],2,FALSE)</f>
        <v>25000</v>
      </c>
      <c r="E2" t="str">
        <f>VLOOKUP(표2[[#This Row],[고객번호]],표2_4[],3,FALSE)</f>
        <v>강남</v>
      </c>
      <c r="G2" t="s">
        <v>49</v>
      </c>
    </row>
    <row r="3" spans="1:7">
      <c r="A3" t="s">
        <v>50</v>
      </c>
      <c r="B3" t="s">
        <v>51</v>
      </c>
      <c r="C3">
        <v>600</v>
      </c>
      <c r="D3">
        <f>VLOOKUP(표2[[#This Row],[고객번호]],표2_4[],2,FALSE)</f>
        <v>60000</v>
      </c>
      <c r="E3" t="str">
        <f>VLOOKUP(표2[[#This Row],[고객번호]],표2_4[],3,FALSE)</f>
        <v>명동</v>
      </c>
    </row>
    <row r="4" spans="1:7">
      <c r="A4" t="s">
        <v>52</v>
      </c>
      <c r="B4" t="s">
        <v>53</v>
      </c>
      <c r="C4">
        <v>600</v>
      </c>
      <c r="D4">
        <f>VLOOKUP(표2[[#This Row],[고객번호]],표2_4[],2,FALSE)</f>
        <v>60000</v>
      </c>
      <c r="E4" t="str">
        <f>VLOOKUP(표2[[#This Row],[고객번호]],표2_4[],3,FALSE)</f>
        <v>여의도</v>
      </c>
    </row>
    <row r="6" spans="1:7">
      <c r="A6" t="s">
        <v>41</v>
      </c>
      <c r="B6" t="s">
        <v>44</v>
      </c>
      <c r="C6" t="s">
        <v>54</v>
      </c>
    </row>
    <row r="7" spans="1:7">
      <c r="A7" t="s">
        <v>47</v>
      </c>
      <c r="B7" s="4">
        <v>25000</v>
      </c>
      <c r="C7" t="s">
        <v>55</v>
      </c>
    </row>
    <row r="8" spans="1:7">
      <c r="A8" t="s">
        <v>50</v>
      </c>
      <c r="B8" s="4">
        <v>60000</v>
      </c>
      <c r="C8" t="s">
        <v>56</v>
      </c>
    </row>
    <row r="9" spans="1:7">
      <c r="A9" t="s">
        <v>52</v>
      </c>
      <c r="B9" s="4">
        <v>60000</v>
      </c>
      <c r="C9" t="s">
        <v>57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9A25-41BF-4D08-B77C-292A19917D8C}">
  <dimension ref="A1:K21"/>
  <sheetViews>
    <sheetView workbookViewId="0">
      <selection activeCell="D11" sqref="D11"/>
    </sheetView>
  </sheetViews>
  <sheetFormatPr baseColWidth="10" defaultColWidth="8.7109375" defaultRowHeight="18"/>
  <cols>
    <col min="1" max="1" width="10.28515625" bestFit="1" customWidth="1"/>
    <col min="2" max="2" width="6.7109375" bestFit="1" customWidth="1"/>
    <col min="3" max="3" width="12.28515625" bestFit="1" customWidth="1"/>
    <col min="4" max="4" width="8.5703125" bestFit="1" customWidth="1"/>
    <col min="5" max="5" width="10.140625" bestFit="1" customWidth="1"/>
    <col min="6" max="6" width="14" bestFit="1" customWidth="1"/>
    <col min="7" max="7" width="12.7109375" bestFit="1" customWidth="1"/>
    <col min="8" max="8" width="11.42578125" customWidth="1"/>
    <col min="10" max="10" width="9.7109375" customWidth="1"/>
    <col min="11" max="11" width="10.28515625" customWidth="1"/>
  </cols>
  <sheetData>
    <row r="1" spans="1:11">
      <c r="A1" t="s">
        <v>41</v>
      </c>
      <c r="B1" t="s">
        <v>39</v>
      </c>
      <c r="C1" t="s">
        <v>58</v>
      </c>
      <c r="D1" t="s">
        <v>59</v>
      </c>
      <c r="F1" t="s">
        <v>41</v>
      </c>
      <c r="G1" t="s">
        <v>42</v>
      </c>
      <c r="H1" t="s">
        <v>43</v>
      </c>
      <c r="J1" t="s">
        <v>41</v>
      </c>
      <c r="K1" t="s">
        <v>60</v>
      </c>
    </row>
    <row r="2" spans="1:11">
      <c r="A2" t="s">
        <v>47</v>
      </c>
      <c r="B2">
        <v>10000</v>
      </c>
      <c r="C2">
        <f>B2/100</f>
        <v>100</v>
      </c>
      <c r="D2" t="s">
        <v>55</v>
      </c>
      <c r="F2" t="s">
        <v>47</v>
      </c>
      <c r="G2" t="s">
        <v>48</v>
      </c>
      <c r="H2">
        <v>250</v>
      </c>
      <c r="J2" t="s">
        <v>47</v>
      </c>
      <c r="K2" t="s">
        <v>61</v>
      </c>
    </row>
    <row r="3" spans="1:11">
      <c r="A3" t="s">
        <v>47</v>
      </c>
      <c r="B3">
        <v>15000</v>
      </c>
      <c r="C3">
        <f t="shared" ref="C3:C10" si="0">B3/100</f>
        <v>150</v>
      </c>
      <c r="D3" t="s">
        <v>55</v>
      </c>
      <c r="F3" t="s">
        <v>50</v>
      </c>
      <c r="G3" t="s">
        <v>51</v>
      </c>
      <c r="H3">
        <v>600</v>
      </c>
      <c r="J3" t="s">
        <v>50</v>
      </c>
      <c r="K3" t="s">
        <v>62</v>
      </c>
    </row>
    <row r="4" spans="1:11">
      <c r="A4" t="s">
        <v>50</v>
      </c>
      <c r="B4">
        <v>5000</v>
      </c>
      <c r="C4">
        <f t="shared" si="0"/>
        <v>50</v>
      </c>
      <c r="D4" t="s">
        <v>55</v>
      </c>
      <c r="F4" t="s">
        <v>52</v>
      </c>
      <c r="G4" t="s">
        <v>53</v>
      </c>
      <c r="H4">
        <v>600</v>
      </c>
      <c r="J4" t="s">
        <v>52</v>
      </c>
      <c r="K4" t="s">
        <v>63</v>
      </c>
    </row>
    <row r="5" spans="1:11">
      <c r="A5" t="s">
        <v>50</v>
      </c>
      <c r="B5">
        <v>20000</v>
      </c>
      <c r="C5">
        <f t="shared" si="0"/>
        <v>200</v>
      </c>
      <c r="D5" t="s">
        <v>56</v>
      </c>
    </row>
    <row r="6" spans="1:11">
      <c r="A6" t="s">
        <v>64</v>
      </c>
      <c r="B6">
        <v>10000</v>
      </c>
      <c r="C6">
        <f t="shared" si="0"/>
        <v>100</v>
      </c>
      <c r="D6" t="s">
        <v>56</v>
      </c>
      <c r="F6" s="16" t="s">
        <v>65</v>
      </c>
    </row>
    <row r="7" spans="1:11">
      <c r="A7" t="s">
        <v>64</v>
      </c>
      <c r="B7">
        <v>15000</v>
      </c>
      <c r="C7">
        <f t="shared" si="0"/>
        <v>150</v>
      </c>
      <c r="D7" t="s">
        <v>56</v>
      </c>
    </row>
    <row r="8" spans="1:11">
      <c r="A8" t="s">
        <v>64</v>
      </c>
      <c r="B8">
        <v>10000</v>
      </c>
      <c r="C8">
        <f t="shared" si="0"/>
        <v>100</v>
      </c>
      <c r="D8" t="s">
        <v>57</v>
      </c>
    </row>
    <row r="9" spans="1:11">
      <c r="A9" t="s">
        <v>52</v>
      </c>
      <c r="B9">
        <v>30000</v>
      </c>
      <c r="C9">
        <f t="shared" si="0"/>
        <v>300</v>
      </c>
      <c r="D9" t="s">
        <v>57</v>
      </c>
    </row>
    <row r="10" spans="1:11">
      <c r="A10" t="s">
        <v>52</v>
      </c>
      <c r="B10">
        <v>30000</v>
      </c>
      <c r="C10">
        <f t="shared" si="0"/>
        <v>300</v>
      </c>
      <c r="D10" t="s">
        <v>57</v>
      </c>
    </row>
    <row r="12" spans="1:11">
      <c r="A12" s="5" t="s">
        <v>66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7" t="s">
        <v>72</v>
      </c>
    </row>
    <row r="13" spans="1:11">
      <c r="A13" s="8" t="s">
        <v>73</v>
      </c>
      <c r="B13" s="9">
        <v>10000</v>
      </c>
      <c r="C13" s="9">
        <v>100</v>
      </c>
      <c r="D13" s="9" t="s">
        <v>74</v>
      </c>
      <c r="E13" s="9" t="s">
        <v>75</v>
      </c>
      <c r="F13" s="9">
        <v>250</v>
      </c>
      <c r="G13" s="10" t="s">
        <v>76</v>
      </c>
    </row>
    <row r="14" spans="1:11">
      <c r="A14" s="11" t="s">
        <v>73</v>
      </c>
      <c r="B14" s="12">
        <v>15000</v>
      </c>
      <c r="C14" s="12">
        <v>150</v>
      </c>
      <c r="D14" s="12" t="s">
        <v>74</v>
      </c>
      <c r="E14" s="12" t="s">
        <v>75</v>
      </c>
      <c r="F14" s="12">
        <v>250</v>
      </c>
      <c r="G14" s="13" t="s">
        <v>76</v>
      </c>
    </row>
    <row r="15" spans="1:11">
      <c r="A15" s="8" t="s">
        <v>64</v>
      </c>
      <c r="B15" s="9">
        <v>5000</v>
      </c>
      <c r="C15" s="9">
        <v>50</v>
      </c>
      <c r="D15" s="9" t="s">
        <v>74</v>
      </c>
      <c r="E15" s="9" t="s">
        <v>77</v>
      </c>
      <c r="F15" s="9">
        <v>600</v>
      </c>
      <c r="G15" s="10" t="s">
        <v>78</v>
      </c>
    </row>
    <row r="16" spans="1:11">
      <c r="A16" s="11" t="s">
        <v>64</v>
      </c>
      <c r="B16" s="12">
        <v>20000</v>
      </c>
      <c r="C16" s="12">
        <v>200</v>
      </c>
      <c r="D16" s="12" t="s">
        <v>79</v>
      </c>
      <c r="E16" s="12" t="s">
        <v>77</v>
      </c>
      <c r="F16" s="12">
        <v>600</v>
      </c>
      <c r="G16" s="13" t="s">
        <v>78</v>
      </c>
    </row>
    <row r="17" spans="1:7">
      <c r="A17" s="8" t="s">
        <v>64</v>
      </c>
      <c r="B17" s="9">
        <v>10000</v>
      </c>
      <c r="C17" s="9">
        <v>100</v>
      </c>
      <c r="D17" s="9" t="s">
        <v>79</v>
      </c>
      <c r="E17" s="9" t="s">
        <v>77</v>
      </c>
      <c r="F17" s="9">
        <v>600</v>
      </c>
      <c r="G17" s="10" t="s">
        <v>78</v>
      </c>
    </row>
    <row r="18" spans="1:7">
      <c r="A18" s="11" t="s">
        <v>64</v>
      </c>
      <c r="B18" s="12">
        <v>15000</v>
      </c>
      <c r="C18" s="12">
        <v>150</v>
      </c>
      <c r="D18" s="12" t="s">
        <v>79</v>
      </c>
      <c r="E18" s="12" t="s">
        <v>77</v>
      </c>
      <c r="F18" s="12">
        <v>600</v>
      </c>
      <c r="G18" s="13" t="s">
        <v>78</v>
      </c>
    </row>
    <row r="19" spans="1:7">
      <c r="A19" s="8" t="s">
        <v>64</v>
      </c>
      <c r="B19" s="9">
        <v>10000</v>
      </c>
      <c r="C19" s="9">
        <v>100</v>
      </c>
      <c r="D19" s="9" t="s">
        <v>80</v>
      </c>
      <c r="E19" s="9" t="s">
        <v>77</v>
      </c>
      <c r="F19" s="9">
        <v>600</v>
      </c>
      <c r="G19" s="10" t="s">
        <v>78</v>
      </c>
    </row>
    <row r="20" spans="1:7">
      <c r="A20" s="11" t="s">
        <v>81</v>
      </c>
      <c r="B20" s="12">
        <v>30000</v>
      </c>
      <c r="C20" s="12">
        <v>300</v>
      </c>
      <c r="D20" s="12" t="s">
        <v>80</v>
      </c>
      <c r="E20" s="12" t="s">
        <v>82</v>
      </c>
      <c r="F20" s="12">
        <v>600</v>
      </c>
      <c r="G20" s="13" t="s">
        <v>83</v>
      </c>
    </row>
    <row r="21" spans="1:7">
      <c r="A21" s="14" t="s">
        <v>81</v>
      </c>
      <c r="B21" s="3">
        <v>30000</v>
      </c>
      <c r="C21" s="3">
        <v>300</v>
      </c>
      <c r="D21" s="3" t="s">
        <v>80</v>
      </c>
      <c r="E21" s="3" t="s">
        <v>82</v>
      </c>
      <c r="F21" s="3">
        <v>600</v>
      </c>
      <c r="G21" s="15" t="s">
        <v>83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F150E5-DE0B-734A-AE01-4A3A84DC1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CASE_01_01</vt:lpstr>
      <vt:lpstr>CASE_01_02</vt:lpstr>
      <vt:lpstr>CASE_02_01</vt:lpstr>
      <vt:lpstr>CASE_02_02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현진 배</dc:creator>
  <cp:keywords/>
  <dc:description/>
  <cp:lastModifiedBy>현진 배</cp:lastModifiedBy>
  <cp:revision/>
  <dcterms:created xsi:type="dcterms:W3CDTF">2026-03-30T00:35:56Z</dcterms:created>
  <dcterms:modified xsi:type="dcterms:W3CDTF">2026-04-01T13:01:09Z</dcterms:modified>
  <cp:category/>
  <cp:contentStatus/>
</cp:coreProperties>
</file>