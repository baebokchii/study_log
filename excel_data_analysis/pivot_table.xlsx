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hidePivotFieldList="1"/>
  <mc:AlternateContent xmlns:mc="http://schemas.openxmlformats.org/markup-compatibility/2006">
    <mc:Choice Requires="x15">
      <x15ac:absPath xmlns:x15ac="http://schemas.microsoft.com/office/spreadsheetml/2010/11/ac" url="/Users/hyounjin/Documents/GitHub/study_log/excel_data_analysis/"/>
    </mc:Choice>
  </mc:AlternateContent>
  <xr:revisionPtr revIDLastSave="0" documentId="8_{00A2974F-9A33-754F-A7C6-3DA7347135E5}" xr6:coauthVersionLast="47" xr6:coauthVersionMax="47" xr10:uidLastSave="{00000000-0000-0000-0000-000000000000}"/>
  <bookViews>
    <workbookView xWindow="0" yWindow="660" windowWidth="38400" windowHeight="19240" firstSheet="2" activeTab="2" xr2:uid="{820ACBD2-080A-5745-A76F-CAE2DB399B16}"/>
  </bookViews>
  <sheets>
    <sheet name="CASE_01" sheetId="1" r:id="rId1"/>
    <sheet name="CASE_01_pivot" sheetId="2" r:id="rId2"/>
    <sheet name="CASE_02" sheetId="6" r:id="rId3"/>
  </sheets>
  <definedNames>
    <definedName name="_xlnm._FilterDatabase" localSheetId="0" hidden="1">CASE_01!$A$1:$P$325</definedName>
  </definedNames>
  <calcPr calcId="191028"/>
  <pivotCaches>
    <pivotCache cacheId="8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66" i="6" l="1"/>
  <c r="H266" i="6"/>
  <c r="I266" i="6"/>
  <c r="J266" i="6"/>
  <c r="K266" i="6"/>
  <c r="L266" i="6"/>
  <c r="M266" i="6"/>
  <c r="N266" i="6"/>
  <c r="P266" i="6"/>
</calcChain>
</file>

<file path=xl/sharedStrings.xml><?xml version="1.0" encoding="utf-8"?>
<sst xmlns="http://schemas.openxmlformats.org/spreadsheetml/2006/main" count="4238" uniqueCount="556">
  <si>
    <t>연구명</t>
    <phoneticPr fontId="18" type="noConversion"/>
  </si>
  <si>
    <t>표본번호</t>
    <phoneticPr fontId="18" type="noConversion"/>
  </si>
  <si>
    <t>종</t>
    <phoneticPr fontId="18" type="noConversion"/>
  </si>
  <si>
    <t>지역</t>
    <phoneticPr fontId="18" type="noConversion"/>
  </si>
  <si>
    <t>섬</t>
    <phoneticPr fontId="18" type="noConversion"/>
  </si>
  <si>
    <t>단계</t>
    <phoneticPr fontId="18" type="noConversion"/>
  </si>
  <si>
    <t>개체ID</t>
    <phoneticPr fontId="18" type="noConversion"/>
  </si>
  <si>
    <t>산란완료</t>
    <phoneticPr fontId="18" type="noConversion"/>
  </si>
  <si>
    <t>산란날짜</t>
    <phoneticPr fontId="18" type="noConversion"/>
  </si>
  <si>
    <t>부리길이(mm)</t>
    <phoneticPr fontId="18" type="noConversion"/>
  </si>
  <si>
    <t>부리깊이(mm)</t>
    <phoneticPr fontId="18" type="noConversion"/>
  </si>
  <si>
    <t>날개길이(mm)</t>
    <phoneticPr fontId="18" type="noConversion"/>
  </si>
  <si>
    <t>체중(g)</t>
    <phoneticPr fontId="18" type="noConversion"/>
  </si>
  <si>
    <t>성별</t>
    <phoneticPr fontId="18" type="noConversion"/>
  </si>
  <si>
    <t>질소동위원소비율</t>
    <phoneticPr fontId="18" type="noConversion"/>
  </si>
  <si>
    <t>탄소동위원소비율</t>
    <phoneticPr fontId="18" type="noConversion"/>
  </si>
  <si>
    <t>PAL0708</t>
  </si>
  <si>
    <t>Gentoo penguin (Pygoscelis papua)</t>
  </si>
  <si>
    <t>Anvers</t>
  </si>
  <si>
    <t>Biscoe</t>
  </si>
  <si>
    <t>Adult, 1 Egg Stage</t>
  </si>
  <si>
    <t>N31A1</t>
  </si>
  <si>
    <t>Yes</t>
  </si>
  <si>
    <t>FEMALE</t>
  </si>
  <si>
    <t>Chinstrap penguin (Pygoscelis antarctica)</t>
  </si>
  <si>
    <t>Dream</t>
  </si>
  <si>
    <t>N61A1</t>
  </si>
  <si>
    <t>No</t>
  </si>
  <si>
    <t>Adelie Penguin (Pygoscelis adeliae)</t>
  </si>
  <si>
    <t>Torgersen</t>
  </si>
  <si>
    <t>N1A2</t>
  </si>
  <si>
    <t>N31A2</t>
  </si>
  <si>
    <t>MALE</t>
  </si>
  <si>
    <t>N61A2</t>
  </si>
  <si>
    <t>N2A1</t>
  </si>
  <si>
    <t>N32A1</t>
  </si>
  <si>
    <t>N62A1</t>
  </si>
  <si>
    <t>N32A2</t>
  </si>
  <si>
    <t>N62A2</t>
  </si>
  <si>
    <t>N33A1</t>
  </si>
  <si>
    <t>N64A1</t>
  </si>
  <si>
    <t>N3A1</t>
  </si>
  <si>
    <t>N33A2</t>
  </si>
  <si>
    <t>N64A2</t>
  </si>
  <si>
    <t>N3A2</t>
  </si>
  <si>
    <t>N34A1</t>
  </si>
  <si>
    <t>N66A1</t>
  </si>
  <si>
    <t>N4A1</t>
  </si>
  <si>
    <t>N34A2</t>
  </si>
  <si>
    <t>N66A2</t>
  </si>
  <si>
    <t>N4A2</t>
  </si>
  <si>
    <t>N35A1</t>
  </si>
  <si>
    <t>N67A1</t>
  </si>
  <si>
    <t>N35A2</t>
  </si>
  <si>
    <t>N67A2</t>
  </si>
  <si>
    <t>N36A1</t>
  </si>
  <si>
    <t>N68A1</t>
  </si>
  <si>
    <t>N36A2</t>
  </si>
  <si>
    <t>N68A2</t>
  </si>
  <si>
    <t>N37A1</t>
  </si>
  <si>
    <t>N69A1</t>
  </si>
  <si>
    <t>N37A2</t>
  </si>
  <si>
    <t>N69A2</t>
  </si>
  <si>
    <t>N38A1</t>
  </si>
  <si>
    <t>N70A1</t>
  </si>
  <si>
    <t>N8A1</t>
  </si>
  <si>
    <t>N38A2</t>
  </si>
  <si>
    <t>N70A2</t>
  </si>
  <si>
    <t>N39A1</t>
  </si>
  <si>
    <t>N71A1</t>
  </si>
  <si>
    <t>N9A1</t>
  </si>
  <si>
    <t>N9A2</t>
  </si>
  <si>
    <t>N39A2</t>
  </si>
  <si>
    <t>N71A2</t>
  </si>
  <si>
    <t>N10A1</t>
  </si>
  <si>
    <t>N72A1</t>
  </si>
  <si>
    <t>N40A1</t>
  </si>
  <si>
    <t>N10A2</t>
  </si>
  <si>
    <t>N72A2</t>
  </si>
  <si>
    <t>N40A2</t>
  </si>
  <si>
    <t>N11A1</t>
  </si>
  <si>
    <t>N73A1</t>
  </si>
  <si>
    <t>N41A1</t>
  </si>
  <si>
    <t>N41A2</t>
  </si>
  <si>
    <t>N73A2</t>
  </si>
  <si>
    <t>N11A2</t>
  </si>
  <si>
    <t>N42A1</t>
  </si>
  <si>
    <t>N85A1</t>
  </si>
  <si>
    <t>N12A1</t>
  </si>
  <si>
    <t>N85A2</t>
  </si>
  <si>
    <t>N42A2</t>
  </si>
  <si>
    <t>N12A2</t>
  </si>
  <si>
    <t>N89A1</t>
  </si>
  <si>
    <t>N44A1</t>
  </si>
  <si>
    <t>N13A1</t>
  </si>
  <si>
    <t>N13A2</t>
  </si>
  <si>
    <t>N44A2</t>
  </si>
  <si>
    <t>N89A2</t>
  </si>
  <si>
    <t>N17A1</t>
  </si>
  <si>
    <t>PAL0809</t>
  </si>
  <si>
    <t>N46A2</t>
  </si>
  <si>
    <t>N17A2</t>
  </si>
  <si>
    <t>N47A1</t>
  </si>
  <si>
    <t>N18A1</t>
  </si>
  <si>
    <t>N47A2</t>
  </si>
  <si>
    <t>N18A2</t>
  </si>
  <si>
    <t>N21A1</t>
  </si>
  <si>
    <t>N63A1</t>
  </si>
  <si>
    <t>N50A2</t>
  </si>
  <si>
    <t>N21A2</t>
  </si>
  <si>
    <t>N63A2</t>
  </si>
  <si>
    <t>N22A1</t>
  </si>
  <si>
    <t>N65A1</t>
  </si>
  <si>
    <t>N56A1</t>
  </si>
  <si>
    <t>N65A2</t>
  </si>
  <si>
    <t>N22A2</t>
  </si>
  <si>
    <t>N56A2</t>
  </si>
  <si>
    <t>N23A1</t>
  </si>
  <si>
    <t>N23A2</t>
  </si>
  <si>
    <t>N2A2</t>
  </si>
  <si>
    <t>N24A1</t>
  </si>
  <si>
    <t>N24A2</t>
  </si>
  <si>
    <t>N25A1</t>
  </si>
  <si>
    <t>N5A1</t>
  </si>
  <si>
    <t>N5A2</t>
  </si>
  <si>
    <t>N26A1</t>
  </si>
  <si>
    <t>N74A1</t>
  </si>
  <si>
    <t>N6A1</t>
  </si>
  <si>
    <t>N74A2</t>
  </si>
  <si>
    <t>N6A2</t>
  </si>
  <si>
    <t>N27A1</t>
  </si>
  <si>
    <t>N75A1</t>
  </si>
  <si>
    <t>N7A1</t>
  </si>
  <si>
    <t>N27A2</t>
  </si>
  <si>
    <t>N75A2</t>
  </si>
  <si>
    <t>N7A2</t>
  </si>
  <si>
    <t>N28A1</t>
  </si>
  <si>
    <t>PAL0910</t>
  </si>
  <si>
    <t>N86A1</t>
  </si>
  <si>
    <t>N86A2</t>
  </si>
  <si>
    <t>N8A2</t>
  </si>
  <si>
    <t>N28A2</t>
  </si>
  <si>
    <t>N87A1</t>
  </si>
  <si>
    <t>N87A2</t>
  </si>
  <si>
    <t>N88A1</t>
  </si>
  <si>
    <t>N30A1</t>
  </si>
  <si>
    <t>N88A2</t>
  </si>
  <si>
    <t>N30A2</t>
  </si>
  <si>
    <t>N90A1</t>
  </si>
  <si>
    <t>N90A2</t>
  </si>
  <si>
    <t>N14A1</t>
  </si>
  <si>
    <t>N92A1</t>
  </si>
  <si>
    <t>N14A2</t>
  </si>
  <si>
    <t>N92A2</t>
  </si>
  <si>
    <t>N15A1</t>
  </si>
  <si>
    <t>N93A1</t>
  </si>
  <si>
    <t>N15A2</t>
  </si>
  <si>
    <t>N93A2</t>
  </si>
  <si>
    <t>N16A1</t>
  </si>
  <si>
    <t>N94A1</t>
  </si>
  <si>
    <t>N16A2</t>
  </si>
  <si>
    <t>N94A2</t>
  </si>
  <si>
    <t>N95A1</t>
  </si>
  <si>
    <t>N95A2</t>
  </si>
  <si>
    <t>N25A2</t>
  </si>
  <si>
    <t>N96A2</t>
  </si>
  <si>
    <t>N19A1</t>
  </si>
  <si>
    <t>N98A1</t>
  </si>
  <si>
    <t>N19A2</t>
  </si>
  <si>
    <t>N98A2</t>
  </si>
  <si>
    <t>N29A1</t>
  </si>
  <si>
    <t>N20A1</t>
  </si>
  <si>
    <t>N99A1</t>
  </si>
  <si>
    <t>N29A2</t>
  </si>
  <si>
    <t>N20A2</t>
  </si>
  <si>
    <t>N99A2</t>
  </si>
  <si>
    <t>N100A1</t>
  </si>
  <si>
    <t>N51A2</t>
  </si>
  <si>
    <t>N100A2</t>
  </si>
  <si>
    <t>N53A1</t>
  </si>
  <si>
    <t>N53A2</t>
  </si>
  <si>
    <t>N54A1</t>
  </si>
  <si>
    <t>N54A2</t>
  </si>
  <si>
    <t>N55A1</t>
  </si>
  <si>
    <t>N55A2</t>
  </si>
  <si>
    <t>N58A1</t>
  </si>
  <si>
    <t>N58A2</t>
  </si>
  <si>
    <t>N60A1</t>
  </si>
  <si>
    <t>N60A2</t>
  </si>
  <si>
    <t>N1A1</t>
  </si>
  <si>
    <t>N45A1</t>
  </si>
  <si>
    <t>N45A2</t>
  </si>
  <si>
    <t>N46A1</t>
  </si>
  <si>
    <t>N48A1</t>
  </si>
  <si>
    <t>N48A2</t>
  </si>
  <si>
    <t>N49A1</t>
  </si>
  <si>
    <t>N49A2</t>
  </si>
  <si>
    <t>N50A1</t>
  </si>
  <si>
    <t>N51A1</t>
  </si>
  <si>
    <t>N43A1</t>
  </si>
  <si>
    <t>N43A2</t>
  </si>
  <si>
    <t>N76A1</t>
  </si>
  <si>
    <t>N76A2</t>
  </si>
  <si>
    <t>N77A1</t>
  </si>
  <si>
    <t>N77A2</t>
  </si>
  <si>
    <t>N78A1</t>
  </si>
  <si>
    <t>N78A2</t>
  </si>
  <si>
    <t>N79A1</t>
  </si>
  <si>
    <t>N79A2</t>
  </si>
  <si>
    <t>N80A1</t>
  </si>
  <si>
    <t>N80A2</t>
  </si>
  <si>
    <t>N81A1</t>
  </si>
  <si>
    <t>N81A2</t>
  </si>
  <si>
    <t>N82A1</t>
  </si>
  <si>
    <t>N82A2</t>
  </si>
  <si>
    <t>N83A1</t>
  </si>
  <si>
    <t>N83A2</t>
  </si>
  <si>
    <t>N84A1</t>
  </si>
  <si>
    <t>N84A2</t>
  </si>
  <si>
    <t>평균 : 체중(g)</t>
  </si>
  <si>
    <t>열 레이블</t>
  </si>
  <si>
    <t>행 레이블</t>
  </si>
  <si>
    <t>총합계</t>
  </si>
  <si>
    <t>ㄴ 값 필드 설정 -&gt; 값 요약 기준 '평균'으로 변경</t>
    <phoneticPr fontId="18" type="noConversion"/>
  </si>
  <si>
    <t>개수 : 개체ID</t>
  </si>
  <si>
    <t>2700-3199</t>
  </si>
  <si>
    <t>3200-3699</t>
  </si>
  <si>
    <t>3700-4199</t>
  </si>
  <si>
    <t>4200-4699</t>
  </si>
  <si>
    <t>4700-5199</t>
  </si>
  <si>
    <t>5200-5699</t>
  </si>
  <si>
    <t>5700-6199</t>
  </si>
  <si>
    <t>6200-6699</t>
  </si>
  <si>
    <t>ㄴ피벗 테이블 -&gt; 임의의 셀 선택 -&gt; 피벗 테이블 분석 -&gt; 그룹화 -&gt; 단위 변경</t>
    <phoneticPr fontId="18" type="noConversion"/>
  </si>
  <si>
    <t>시도명</t>
  </si>
  <si>
    <t>시군구명</t>
  </si>
  <si>
    <t>측정연도</t>
  </si>
  <si>
    <t>지하철호선명</t>
  </si>
  <si>
    <t>지하철역사명</t>
  </si>
  <si>
    <t>측정위치</t>
  </si>
  <si>
    <t>미세먼지</t>
  </si>
  <si>
    <t>초미세먼지</t>
  </si>
  <si>
    <t>이산화탄소</t>
  </si>
  <si>
    <t>폼알데하이드</t>
  </si>
  <si>
    <t>일산화탄소</t>
  </si>
  <si>
    <t>이산화질소</t>
  </si>
  <si>
    <t>라돈</t>
  </si>
  <si>
    <t>휘발성유기화합물</t>
  </si>
  <si>
    <t>관리기관명</t>
  </si>
  <si>
    <t>데이터기준일자</t>
  </si>
  <si>
    <t>서울특별시</t>
  </si>
  <si>
    <t>중구</t>
  </si>
  <si>
    <t>1호선</t>
  </si>
  <si>
    <t>서울역(1)</t>
  </si>
  <si>
    <t>대합실 및 승강장</t>
  </si>
  <si>
    <t>서울교통공사</t>
  </si>
  <si>
    <t>시청(1)</t>
  </si>
  <si>
    <t>종로구</t>
  </si>
  <si>
    <t>종각</t>
  </si>
  <si>
    <t>종로3가(1)</t>
  </si>
  <si>
    <t>종로5가</t>
  </si>
  <si>
    <t>동대문(1)</t>
  </si>
  <si>
    <t>동묘앞(1)</t>
  </si>
  <si>
    <t>동대문구</t>
  </si>
  <si>
    <t>신설동(1)</t>
  </si>
  <si>
    <t>제기동</t>
  </si>
  <si>
    <t>청량리</t>
  </si>
  <si>
    <t>2호선</t>
  </si>
  <si>
    <t>시청(2)</t>
  </si>
  <si>
    <t>을지로입구</t>
  </si>
  <si>
    <t>을지로3가(2)</t>
  </si>
  <si>
    <t>을지로4가(2)</t>
  </si>
  <si>
    <t>동대문역사문화공원(2)</t>
  </si>
  <si>
    <t>신당(2)</t>
  </si>
  <si>
    <t>성동구</t>
  </si>
  <si>
    <t>상왕십리</t>
  </si>
  <si>
    <t>왕십리(2)</t>
  </si>
  <si>
    <t>송파구</t>
  </si>
  <si>
    <t>잠실(2)</t>
  </si>
  <si>
    <t>잠실새내</t>
  </si>
  <si>
    <t>종합운동장(2)</t>
  </si>
  <si>
    <t>강남구</t>
  </si>
  <si>
    <t>삼성</t>
  </si>
  <si>
    <t>선릉</t>
  </si>
  <si>
    <t>역삼</t>
  </si>
  <si>
    <t>강남(2)</t>
  </si>
  <si>
    <t>서초구</t>
  </si>
  <si>
    <t>교대(2)</t>
  </si>
  <si>
    <t>서초</t>
  </si>
  <si>
    <t>방배</t>
  </si>
  <si>
    <t>동작구</t>
  </si>
  <si>
    <t>사당(2)</t>
  </si>
  <si>
    <t>관악구</t>
  </si>
  <si>
    <t>낙성대</t>
  </si>
  <si>
    <t>서울대입구</t>
  </si>
  <si>
    <t>봉천</t>
  </si>
  <si>
    <t>신림</t>
  </si>
  <si>
    <t>구로구</t>
  </si>
  <si>
    <t>신도림(2)</t>
  </si>
  <si>
    <t>영등포구</t>
  </si>
  <si>
    <t>문래</t>
  </si>
  <si>
    <t>영등포구청(2)</t>
  </si>
  <si>
    <t>마포구</t>
  </si>
  <si>
    <t>합정(2)</t>
  </si>
  <si>
    <t>홍대입구(2)</t>
  </si>
  <si>
    <t>신촌</t>
  </si>
  <si>
    <t>이대</t>
  </si>
  <si>
    <t>아현</t>
  </si>
  <si>
    <t>서대문구</t>
  </si>
  <si>
    <t>충정로(2)</t>
  </si>
  <si>
    <t>도림천</t>
  </si>
  <si>
    <t>양천구</t>
  </si>
  <si>
    <t>양천구청</t>
  </si>
  <si>
    <t>신정네거리</t>
  </si>
  <si>
    <t>신설동(2)</t>
  </si>
  <si>
    <t>용두</t>
  </si>
  <si>
    <t>은평구</t>
  </si>
  <si>
    <t>3호선</t>
  </si>
  <si>
    <t>구파발</t>
  </si>
  <si>
    <t>연신내(3)</t>
  </si>
  <si>
    <t>불광(3)</t>
  </si>
  <si>
    <t>녹번</t>
  </si>
  <si>
    <t>홍제</t>
  </si>
  <si>
    <t>무악재</t>
  </si>
  <si>
    <t>독립문</t>
  </si>
  <si>
    <t>경복궁</t>
  </si>
  <si>
    <t>안국</t>
  </si>
  <si>
    <t>종로3가(3)</t>
  </si>
  <si>
    <t>을지로3가(3)</t>
  </si>
  <si>
    <t>충무로(3)</t>
  </si>
  <si>
    <t>동대입구</t>
  </si>
  <si>
    <t>약수(3)</t>
  </si>
  <si>
    <t>금호</t>
  </si>
  <si>
    <t>압구정</t>
  </si>
  <si>
    <t>신사</t>
  </si>
  <si>
    <t>잠원</t>
  </si>
  <si>
    <t>고속터미널(3)</t>
  </si>
  <si>
    <t>교대(3)</t>
  </si>
  <si>
    <t>남부터미널</t>
  </si>
  <si>
    <t>양재</t>
  </si>
  <si>
    <t>매봉</t>
  </si>
  <si>
    <t>도곡</t>
  </si>
  <si>
    <t>대치</t>
  </si>
  <si>
    <t>학여울</t>
  </si>
  <si>
    <t>대청</t>
  </si>
  <si>
    <t>일원</t>
  </si>
  <si>
    <t>수서(3)</t>
  </si>
  <si>
    <t>가락시장(3)</t>
  </si>
  <si>
    <t>경찰병원</t>
  </si>
  <si>
    <t>오금(3)</t>
  </si>
  <si>
    <t>도봉구</t>
  </si>
  <si>
    <t>4호선</t>
  </si>
  <si>
    <t>쌍문</t>
  </si>
  <si>
    <t>강북구</t>
  </si>
  <si>
    <t>수유</t>
  </si>
  <si>
    <t>미아</t>
  </si>
  <si>
    <t>미아사거리</t>
  </si>
  <si>
    <t>성북구</t>
  </si>
  <si>
    <t>길음</t>
  </si>
  <si>
    <t>성신여대입구</t>
  </si>
  <si>
    <t>한성대입구</t>
  </si>
  <si>
    <t>혜화</t>
  </si>
  <si>
    <t>동대문(4)</t>
  </si>
  <si>
    <t>동대문역사문화공원(4)</t>
  </si>
  <si>
    <t>충무로(4)</t>
  </si>
  <si>
    <t>명동</t>
  </si>
  <si>
    <t>회현</t>
  </si>
  <si>
    <t>용산구</t>
  </si>
  <si>
    <t>서울역(4)</t>
  </si>
  <si>
    <t>숙대입구</t>
  </si>
  <si>
    <t>삼각지(4)</t>
  </si>
  <si>
    <t>신용산</t>
  </si>
  <si>
    <t>이촌</t>
  </si>
  <si>
    <t>총신대입구(4)</t>
  </si>
  <si>
    <t>사당(4)</t>
  </si>
  <si>
    <t>남태령</t>
  </si>
  <si>
    <t>강서구</t>
  </si>
  <si>
    <t>5호선</t>
  </si>
  <si>
    <t>방화</t>
  </si>
  <si>
    <t>개화산</t>
  </si>
  <si>
    <t>김포공항(5)</t>
  </si>
  <si>
    <t>송정</t>
  </si>
  <si>
    <t>마곡</t>
  </si>
  <si>
    <t>발산</t>
  </si>
  <si>
    <t>우장산</t>
  </si>
  <si>
    <t>화곡</t>
  </si>
  <si>
    <t>까치산(5)</t>
  </si>
  <si>
    <t>신정</t>
  </si>
  <si>
    <t>목동</t>
  </si>
  <si>
    <t>오목교</t>
  </si>
  <si>
    <t>양평</t>
  </si>
  <si>
    <t>영등포구청(5)</t>
  </si>
  <si>
    <t>영등포시장</t>
  </si>
  <si>
    <t>신길(5)</t>
  </si>
  <si>
    <t>여의도</t>
  </si>
  <si>
    <t>여의나루</t>
  </si>
  <si>
    <t>마포</t>
  </si>
  <si>
    <t>공덕(5)</t>
  </si>
  <si>
    <t>애오개</t>
  </si>
  <si>
    <t>충정로(5)</t>
  </si>
  <si>
    <t>서대문</t>
  </si>
  <si>
    <t>광화문</t>
  </si>
  <si>
    <t>종로3가(5)</t>
  </si>
  <si>
    <t>을지로4가(5)</t>
  </si>
  <si>
    <t>동대문역사문화공원(5)</t>
  </si>
  <si>
    <t>청구(5)</t>
  </si>
  <si>
    <t>신금호</t>
  </si>
  <si>
    <t>행당</t>
  </si>
  <si>
    <t>왕십리(5)</t>
  </si>
  <si>
    <t>마장</t>
  </si>
  <si>
    <t>답십리</t>
  </si>
  <si>
    <t>장한평</t>
  </si>
  <si>
    <t>광진구</t>
  </si>
  <si>
    <t>군자(5)</t>
  </si>
  <si>
    <t>아차산</t>
  </si>
  <si>
    <t>광나루</t>
  </si>
  <si>
    <t>강동구</t>
  </si>
  <si>
    <t>천호(5)</t>
  </si>
  <si>
    <t>강동</t>
  </si>
  <si>
    <t>길동</t>
  </si>
  <si>
    <t>굽은다리</t>
  </si>
  <si>
    <t>명일</t>
  </si>
  <si>
    <t>고덕</t>
  </si>
  <si>
    <t>상일동</t>
  </si>
  <si>
    <t>강일</t>
  </si>
  <si>
    <t>경기도</t>
  </si>
  <si>
    <t>하남시</t>
  </si>
  <si>
    <t>미사</t>
  </si>
  <si>
    <t>하남풍산</t>
  </si>
  <si>
    <t>하남시청</t>
  </si>
  <si>
    <t>하남검단산</t>
  </si>
  <si>
    <t>둔촌동</t>
  </si>
  <si>
    <t>올림픽공원(5)</t>
  </si>
  <si>
    <t>방이</t>
  </si>
  <si>
    <t>오금(5)</t>
  </si>
  <si>
    <t>개롱</t>
  </si>
  <si>
    <t>거여</t>
  </si>
  <si>
    <t>마천</t>
  </si>
  <si>
    <t>6호선</t>
  </si>
  <si>
    <t>응암</t>
  </si>
  <si>
    <t>역촌</t>
  </si>
  <si>
    <t>불광(6)</t>
  </si>
  <si>
    <t>독바위</t>
  </si>
  <si>
    <t>연신내(6)</t>
  </si>
  <si>
    <t>구산</t>
  </si>
  <si>
    <t>새절</t>
  </si>
  <si>
    <t>증산</t>
  </si>
  <si>
    <t>디지털미디어시티(6)</t>
  </si>
  <si>
    <t>월드컵경기장</t>
  </si>
  <si>
    <t>마포구청</t>
  </si>
  <si>
    <t>망원</t>
  </si>
  <si>
    <t>합정(6)</t>
  </si>
  <si>
    <t>상수</t>
  </si>
  <si>
    <t>광흥창</t>
  </si>
  <si>
    <t>대흥</t>
  </si>
  <si>
    <t>공덕(6)</t>
  </si>
  <si>
    <t>효창공원앞(6)</t>
  </si>
  <si>
    <t>삼각지(6)</t>
  </si>
  <si>
    <t>녹사평</t>
  </si>
  <si>
    <t>이태원</t>
  </si>
  <si>
    <t>한강진</t>
  </si>
  <si>
    <t>버티고개</t>
  </si>
  <si>
    <t>약수(6)</t>
  </si>
  <si>
    <t>청구(6)</t>
  </si>
  <si>
    <t>신당(6)</t>
  </si>
  <si>
    <t>동묘앞(6)</t>
  </si>
  <si>
    <t>창신</t>
  </si>
  <si>
    <t>보문</t>
  </si>
  <si>
    <t>안암</t>
  </si>
  <si>
    <t>고려대</t>
  </si>
  <si>
    <t>월곡</t>
  </si>
  <si>
    <t>상월곡</t>
  </si>
  <si>
    <t>돌곶이</t>
  </si>
  <si>
    <t>노원구</t>
  </si>
  <si>
    <t>석계</t>
  </si>
  <si>
    <t>태릉입구(6)</t>
  </si>
  <si>
    <t>화랑대</t>
  </si>
  <si>
    <t>중랑구</t>
  </si>
  <si>
    <t>봉화산</t>
  </si>
  <si>
    <t>7호선</t>
  </si>
  <si>
    <t>수락산</t>
  </si>
  <si>
    <t>마들</t>
  </si>
  <si>
    <t>노원(7)</t>
  </si>
  <si>
    <t>중계</t>
  </si>
  <si>
    <t>하계</t>
  </si>
  <si>
    <t>공릉</t>
  </si>
  <si>
    <t>태릉입구(7)</t>
  </si>
  <si>
    <t>먹골</t>
  </si>
  <si>
    <t>중화</t>
  </si>
  <si>
    <t>상봉</t>
  </si>
  <si>
    <t>면목</t>
  </si>
  <si>
    <t>사가정</t>
  </si>
  <si>
    <t>용마산</t>
  </si>
  <si>
    <t>중곡</t>
  </si>
  <si>
    <t>군자(7)</t>
  </si>
  <si>
    <t>어린이대공원</t>
  </si>
  <si>
    <t>건대입구(7)</t>
  </si>
  <si>
    <t>청담</t>
  </si>
  <si>
    <t>강남구청</t>
  </si>
  <si>
    <t>학동</t>
  </si>
  <si>
    <t>논현</t>
  </si>
  <si>
    <t>반포</t>
  </si>
  <si>
    <t>고속터미널(7)</t>
  </si>
  <si>
    <t>내방</t>
  </si>
  <si>
    <t>이수(7)</t>
  </si>
  <si>
    <t>남성</t>
  </si>
  <si>
    <t>숭실대입구</t>
  </si>
  <si>
    <t>상도</t>
  </si>
  <si>
    <t>장승배기</t>
  </si>
  <si>
    <t>신대방삼거리</t>
  </si>
  <si>
    <t>보라매</t>
  </si>
  <si>
    <t>신풍</t>
  </si>
  <si>
    <t>대림(7)</t>
  </si>
  <si>
    <t>남구로</t>
  </si>
  <si>
    <t>금천구</t>
  </si>
  <si>
    <t>가산디지털단지(7)</t>
  </si>
  <si>
    <t>광명시</t>
  </si>
  <si>
    <t>철산</t>
  </si>
  <si>
    <t>광명사거리</t>
  </si>
  <si>
    <t>천왕</t>
  </si>
  <si>
    <t>온수(7)</t>
  </si>
  <si>
    <t>8호선</t>
  </si>
  <si>
    <t>암사역사공원</t>
  </si>
  <si>
    <t>암사</t>
  </si>
  <si>
    <t>강동구청</t>
  </si>
  <si>
    <t>몽촌토성</t>
  </si>
  <si>
    <t>잠실(8)</t>
  </si>
  <si>
    <t>석촌(8)</t>
  </si>
  <si>
    <t>송파</t>
  </si>
  <si>
    <t>가락시장(8)</t>
  </si>
  <si>
    <t>문정</t>
  </si>
  <si>
    <t>장지</t>
  </si>
  <si>
    <t>복정</t>
  </si>
  <si>
    <t>성남시</t>
  </si>
  <si>
    <t>산성</t>
  </si>
  <si>
    <t>남한산성입구</t>
  </si>
  <si>
    <t>단대오거리</t>
  </si>
  <si>
    <t>신흥</t>
  </si>
  <si>
    <t>수진</t>
  </si>
  <si>
    <t>모란</t>
  </si>
  <si>
    <t>9호선</t>
  </si>
  <si>
    <t>언주</t>
  </si>
  <si>
    <t>선정릉</t>
  </si>
  <si>
    <t>삼성중앙</t>
  </si>
  <si>
    <t>봉은사</t>
  </si>
  <si>
    <t>종합운동장(9)</t>
  </si>
  <si>
    <t>삼전</t>
  </si>
  <si>
    <t>석촌고분</t>
  </si>
  <si>
    <t>석촌</t>
  </si>
  <si>
    <t>송파나루</t>
    <phoneticPr fontId="18" type="noConversion"/>
  </si>
  <si>
    <t>한성백제</t>
  </si>
  <si>
    <t>올림픽공원</t>
  </si>
  <si>
    <t>둔촌오륜</t>
  </si>
  <si>
    <t>중앙보훈병원</t>
  </si>
  <si>
    <t>요약</t>
  </si>
  <si>
    <t>ㄴ 원래대로 되돌리려면 표 -&gt; 표 스타일 -&gt; 없음 -&gt; 요약 행 체크 해제 -&gt; 범위로 변환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</si>
</sst>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-&quot;m&quot;-&quot;d;@"/>
  </numFmts>
  <fonts count="22"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2"/>
      <color rgb="FF006100"/>
      <name val="맑은 고딕"/>
      <family val="2"/>
      <charset val="129"/>
      <scheme val="minor"/>
    </font>
    <font>
      <sz val="12"/>
      <color rgb="FF9C0006"/>
      <name val="맑은 고딕"/>
      <family val="2"/>
      <charset val="129"/>
      <scheme val="minor"/>
    </font>
    <font>
      <sz val="12"/>
      <color rgb="FF9C5700"/>
      <name val="맑은 고딕"/>
      <family val="2"/>
      <charset val="129"/>
      <scheme val="minor"/>
    </font>
    <font>
      <sz val="12"/>
      <color rgb="FF3F3F76"/>
      <name val="맑은 고딕"/>
      <family val="2"/>
      <charset val="129"/>
      <scheme val="minor"/>
    </font>
    <font>
      <b/>
      <sz val="12"/>
      <color rgb="FF3F3F3F"/>
      <name val="맑은 고딕"/>
      <family val="2"/>
      <charset val="129"/>
      <scheme val="minor"/>
    </font>
    <font>
      <b/>
      <sz val="12"/>
      <color rgb="FFFA7D00"/>
      <name val="맑은 고딕"/>
      <family val="2"/>
      <charset val="129"/>
      <scheme val="minor"/>
    </font>
    <font>
      <sz val="12"/>
      <color rgb="FFFA7D00"/>
      <name val="맑은 고딕"/>
      <family val="2"/>
      <charset val="129"/>
      <scheme val="minor"/>
    </font>
    <font>
      <b/>
      <sz val="12"/>
      <color theme="0"/>
      <name val="맑은 고딕"/>
      <family val="2"/>
      <charset val="129"/>
      <scheme val="minor"/>
    </font>
    <font>
      <sz val="12"/>
      <color rgb="FFFF0000"/>
      <name val="맑은 고딕"/>
      <family val="2"/>
      <charset val="129"/>
      <scheme val="minor"/>
    </font>
    <font>
      <i/>
      <sz val="12"/>
      <color rgb="FF7F7F7F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2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Helvetica Neue"/>
      <family val="2"/>
    </font>
    <font>
      <b/>
      <sz val="12"/>
      <color rgb="FF000000"/>
      <name val="맑은 고딕"/>
      <family val="2"/>
      <charset val="129"/>
      <scheme val="minor"/>
    </font>
    <font>
      <sz val="12"/>
      <color rgb="FF000000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1" fontId="0" fillId="0" borderId="0" xfId="0" applyNumberFormat="1">
      <alignment vertical="center"/>
    </xf>
    <xf numFmtId="0" fontId="16" fillId="0" borderId="0" xfId="0" applyFont="1">
      <alignment vertical="center"/>
    </xf>
    <xf numFmtId="0" fontId="16" fillId="0" borderId="0" xfId="0" applyFont="1" applyAlignment="1">
      <alignment horizontal="left" vertical="center"/>
    </xf>
    <xf numFmtId="14" fontId="19" fillId="0" borderId="0" xfId="0" applyNumberFormat="1" applyFont="1">
      <alignment vertical="center"/>
    </xf>
    <xf numFmtId="176" fontId="0" fillId="0" borderId="0" xfId="0" applyNumberFormat="1">
      <alignment vertical="center"/>
    </xf>
    <xf numFmtId="0" fontId="20" fillId="0" borderId="0" xfId="0" applyFont="1">
      <alignment vertical="center"/>
    </xf>
    <xf numFmtId="0" fontId="21" fillId="0" borderId="0" xfId="0" applyFont="1">
      <alignment vertical="center"/>
    </xf>
    <xf numFmtId="14" fontId="21" fillId="0" borderId="0" xfId="0" applyNumberFormat="1" applyFon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35"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맑은 고딕"/>
        <family val="2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맑은 고딕"/>
        <family val="2"/>
        <charset val="129"/>
        <scheme val="minor"/>
      </font>
      <numFmt numFmtId="19" formatCode="yyyy/m/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맑은 고딕"/>
        <family val="2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맑은 고딕"/>
        <family val="2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맑은 고딕"/>
        <family val="2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맑은 고딕"/>
        <family val="2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맑은 고딕"/>
        <family val="2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맑은 고딕"/>
        <family val="2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맑은 고딕"/>
        <family val="2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맑은 고딕"/>
        <family val="2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맑은 고딕"/>
        <family val="2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맑은 고딕"/>
        <family val="2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맑은 고딕"/>
        <family val="2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맑은 고딕"/>
        <family val="2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맑은 고딕"/>
        <family val="2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맑은 고딕"/>
        <family val="2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맑은 고딕"/>
        <family val="2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맑은 고딕"/>
        <family val="2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맑은 고딕"/>
        <family val="2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맑은 고딕"/>
        <family val="2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맑은 고딕"/>
        <family val="2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맑은 고딕"/>
        <family val="2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맑은 고딕"/>
        <family val="2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맑은 고딕"/>
        <family val="2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맑은 고딕"/>
        <family val="2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맑은 고딕"/>
        <family val="2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맑은 고딕"/>
        <family val="2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맑은 고딕"/>
        <family val="2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맑은 고딕"/>
        <family val="2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맑은 고딕"/>
        <family val="2"/>
        <charset val="129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맑은 고딕"/>
        <family val="2"/>
        <charset val="129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맑은 고딕"/>
        <family val="2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맑은 고딕"/>
        <family val="2"/>
        <charset val="129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맑은 고딕"/>
        <family val="2"/>
        <charset val="129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25400</xdr:colOff>
      <xdr:row>20</xdr:row>
      <xdr:rowOff>25400</xdr:rowOff>
    </xdr:from>
    <xdr:to>
      <xdr:col>1</xdr:col>
      <xdr:colOff>2787650</xdr:colOff>
      <xdr:row>30</xdr:row>
      <xdr:rowOff>173060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7E8CA17D-0960-1548-88AB-C0F4E381FF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8700" y="4597400"/>
          <a:ext cx="2857500" cy="243366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배현진" refreshedDate="46111.580472106485" createdVersion="8" refreshedVersion="8" minRefreshableVersion="3" recordCount="324" xr:uid="{D1FB0BD4-272E-024F-81B1-8782965BB335}">
  <cacheSource type="worksheet">
    <worksheetSource ref="A1:P325" sheet="CASE_01"/>
  </cacheSource>
  <cacheFields count="16">
    <cacheField name="연구명" numFmtId="0">
      <sharedItems/>
    </cacheField>
    <cacheField name="표본번호" numFmtId="0">
      <sharedItems containsSemiMixedTypes="0" containsString="0" containsNumber="1" containsInteger="1" minValue="1" maxValue="152"/>
    </cacheField>
    <cacheField name="종" numFmtId="0">
      <sharedItems count="3">
        <s v="Adelie Penguin (Pygoscelis adeliae)"/>
        <s v="Chinstrap penguin (Pygoscelis antarctica)"/>
        <s v="Gentoo penguin (Pygoscelis papua)"/>
      </sharedItems>
    </cacheField>
    <cacheField name="지역" numFmtId="0">
      <sharedItems/>
    </cacheField>
    <cacheField name="섬" numFmtId="0">
      <sharedItems/>
    </cacheField>
    <cacheField name="단계" numFmtId="0">
      <sharedItems/>
    </cacheField>
    <cacheField name="개체ID" numFmtId="0">
      <sharedItems/>
    </cacheField>
    <cacheField name="산란완료" numFmtId="0">
      <sharedItems/>
    </cacheField>
    <cacheField name="산란날짜" numFmtId="14">
      <sharedItems containsDate="1" containsMixedTypes="1" minDate="2011-02-08T00:00:00" maxDate="2012-03-08T00:00:00" count="50">
        <d v="2011-11-07T00:00:00"/>
        <s v="11/16/07"/>
        <s v="11/15/07"/>
        <d v="2011-12-07T00:00:00"/>
        <d v="2011-10-07T00:00:00"/>
        <d v="2011-09-07T00:00:00"/>
        <s v="11/13/07"/>
        <s v="11/19/07"/>
        <d v="2011-06-08T00:00:00"/>
        <d v="2011-09-08T00:00:00"/>
        <s v="11/15/08"/>
        <s v="11/13/08"/>
        <d v="2011-11-08T00:00:00"/>
        <s v="11/14/08"/>
        <d v="2011-08-08T00:00:00"/>
        <d v="2011-02-08T00:00:00"/>
        <d v="2011-07-08T00:00:00"/>
        <s v="11/17/08"/>
        <d v="2011-05-08T00:00:00"/>
        <d v="2011-10-08T00:00:00"/>
        <d v="2011-09-09T00:00:00"/>
        <s v="11/15/09"/>
        <s v="11/20/09"/>
        <d v="2011-12-09T00:00:00"/>
        <s v="11/17/09"/>
        <s v="11/18/09"/>
        <s v="11/22/09"/>
        <s v="11/16/09"/>
        <s v="11/21/09"/>
        <s v="11/23/09"/>
        <d v="2011-10-09T00:00:00"/>
        <s v="11/13/09"/>
        <s v="11/14/09"/>
        <s v="11/26/07"/>
        <s v="11/21/07"/>
        <s v="11/28/07"/>
        <s v="11/22/07"/>
        <s v="11/30/07"/>
        <d v="2012-03-07T00:00:00"/>
        <s v="11/25/08"/>
        <s v="11/24/08"/>
        <s v="11/27/09"/>
        <s v="11/19/09"/>
        <s v="11/27/07"/>
        <s v="11/18/07"/>
        <s v="11/29/07"/>
        <d v="2011-04-08T00:00:00"/>
        <d v="2011-03-08T00:00:00"/>
        <s v="11/25/09"/>
        <d v="2012-01-09T00:00:00"/>
      </sharedItems>
    </cacheField>
    <cacheField name="부리길이(mm)" numFmtId="0">
      <sharedItems containsSemiMixedTypes="0" containsString="0" containsNumber="1" minValue="32.1" maxValue="59.6"/>
    </cacheField>
    <cacheField name="부리깊이(mm)" numFmtId="0">
      <sharedItems containsSemiMixedTypes="0" containsString="0" containsNumber="1" minValue="13.1" maxValue="21.5"/>
    </cacheField>
    <cacheField name="날개길이(mm)" numFmtId="0">
      <sharedItems containsSemiMixedTypes="0" containsString="0" containsNumber="1" containsInteger="1" minValue="172" maxValue="231"/>
    </cacheField>
    <cacheField name="체중(g)" numFmtId="0">
      <sharedItems containsSemiMixedTypes="0" containsString="0" containsNumber="1" containsInteger="1" minValue="2700" maxValue="6300" count="93">
        <n v="3800"/>
        <n v="3250"/>
        <n v="3450"/>
        <n v="3650"/>
        <n v="3625"/>
        <n v="4675"/>
        <n v="4400"/>
        <n v="4500"/>
        <n v="3325"/>
        <n v="4200"/>
        <n v="3400"/>
        <n v="3600"/>
        <n v="3950"/>
        <n v="3550"/>
        <n v="3200"/>
        <n v="3150"/>
        <n v="3900"/>
        <n v="3300"/>
        <n v="4150"/>
        <n v="3100"/>
        <n v="3000"/>
        <n v="4600"/>
        <n v="3500"/>
        <n v="4300"/>
        <n v="4050"/>
        <n v="2900"/>
        <n v="3700"/>
        <n v="2850"/>
        <n v="3750"/>
        <n v="3350"/>
        <n v="4100"/>
        <n v="3050"/>
        <n v="4450"/>
        <n v="4250"/>
        <n v="4000"/>
        <n v="4700"/>
        <n v="4350"/>
        <n v="3725"/>
        <n v="4725"/>
        <n v="3075"/>
        <n v="2925"/>
        <n v="3175"/>
        <n v="4775"/>
        <n v="3825"/>
        <n v="4275"/>
        <n v="4075"/>
        <n v="3775"/>
        <n v="3875"/>
        <n v="3275"/>
        <n v="4475"/>
        <n v="3425"/>
        <n v="3975"/>
        <n v="3475"/>
        <n v="3525"/>
        <n v="3575"/>
        <n v="4550"/>
        <n v="3850"/>
        <n v="4800"/>
        <n v="2700"/>
        <n v="3675"/>
        <n v="5700"/>
        <n v="5400"/>
        <n v="5200"/>
        <n v="5150"/>
        <n v="4650"/>
        <n v="5550"/>
        <n v="5850"/>
        <n v="6300"/>
        <n v="5350"/>
        <n v="5000"/>
        <n v="5050"/>
        <n v="5100"/>
        <n v="5650"/>
        <n v="6050"/>
        <n v="4950"/>
        <n v="5250"/>
        <n v="4750"/>
        <n v="4900"/>
        <n v="5300"/>
        <n v="4850"/>
        <n v="5800"/>
        <n v="6000"/>
        <n v="5950"/>
        <n v="4625"/>
        <n v="5450"/>
        <n v="5600"/>
        <n v="4875"/>
        <n v="4925"/>
        <n v="4975"/>
        <n v="5500"/>
        <n v="4575"/>
        <n v="4375"/>
        <n v="5750"/>
      </sharedItems>
      <fieldGroup base="12">
        <rangePr startNum="2700" endNum="6300" groupInterval="500"/>
        <groupItems count="10">
          <s v="&lt;2700"/>
          <s v="2700-3199"/>
          <s v="3200-3699"/>
          <s v="3700-4199"/>
          <s v="4200-4699"/>
          <s v="4700-5199"/>
          <s v="5200-5699"/>
          <s v="5700-6199"/>
          <s v="6200-6699"/>
          <s v="&gt;6700"/>
        </groupItems>
      </fieldGroup>
    </cacheField>
    <cacheField name="성별" numFmtId="0">
      <sharedItems count="2">
        <s v="FEMALE"/>
        <s v="MALE"/>
      </sharedItems>
    </cacheField>
    <cacheField name="질소동위원소비율" numFmtId="0">
      <sharedItems containsSemiMixedTypes="0" containsString="0" containsNumber="1" minValue="7.6322000000000001" maxValue="10.02544"/>
    </cacheField>
    <cacheField name="탄소동위원소비율" numFmtId="0">
      <sharedItems containsSemiMixedTypes="0" containsString="0" containsNumber="1" minValue="-27.018540000000002" maxValue="-23.8901700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4">
  <r>
    <s v="PAL0708"/>
    <n v="2"/>
    <x v="0"/>
    <s v="Anvers"/>
    <s v="Torgersen"/>
    <s v="Adult, 1 Egg Stage"/>
    <s v="N1A2"/>
    <s v="Yes"/>
    <x v="0"/>
    <n v="39.5"/>
    <n v="17.399999999999999"/>
    <n v="186"/>
    <x v="0"/>
    <x v="0"/>
    <n v="8.94956"/>
    <n v="-24.69454"/>
  </r>
  <r>
    <s v="PAL0708"/>
    <n v="3"/>
    <x v="0"/>
    <s v="Anvers"/>
    <s v="Torgersen"/>
    <s v="Adult, 1 Egg Stage"/>
    <s v="N2A1"/>
    <s v="Yes"/>
    <x v="1"/>
    <n v="40.299999999999997"/>
    <n v="18"/>
    <n v="195"/>
    <x v="1"/>
    <x v="0"/>
    <n v="8.3682099999999995"/>
    <n v="-25.333020000000001"/>
  </r>
  <r>
    <s v="PAL0708"/>
    <n v="5"/>
    <x v="0"/>
    <s v="Anvers"/>
    <s v="Torgersen"/>
    <s v="Adult, 1 Egg Stage"/>
    <s v="N3A1"/>
    <s v="Yes"/>
    <x v="1"/>
    <n v="36.700000000000003"/>
    <n v="19.3"/>
    <n v="193"/>
    <x v="2"/>
    <x v="0"/>
    <n v="8.7665100000000002"/>
    <n v="-25.324259999999999"/>
  </r>
  <r>
    <s v="PAL0708"/>
    <n v="6"/>
    <x v="0"/>
    <s v="Anvers"/>
    <s v="Torgersen"/>
    <s v="Adult, 1 Egg Stage"/>
    <s v="N3A2"/>
    <s v="Yes"/>
    <x v="1"/>
    <n v="39.299999999999997"/>
    <n v="20.6"/>
    <n v="190"/>
    <x v="3"/>
    <x v="1"/>
    <n v="8.6649600000000007"/>
    <n v="-25.29805"/>
  </r>
  <r>
    <s v="PAL0708"/>
    <n v="7"/>
    <x v="0"/>
    <s v="Anvers"/>
    <s v="Torgersen"/>
    <s v="Adult, 1 Egg Stage"/>
    <s v="N4A1"/>
    <s v="No"/>
    <x v="2"/>
    <n v="38.9"/>
    <n v="17.8"/>
    <n v="181"/>
    <x v="4"/>
    <x v="0"/>
    <n v="9.1871799999999997"/>
    <n v="-25.21799"/>
  </r>
  <r>
    <s v="PAL0708"/>
    <n v="8"/>
    <x v="0"/>
    <s v="Anvers"/>
    <s v="Torgersen"/>
    <s v="Adult, 1 Egg Stage"/>
    <s v="N4A2"/>
    <s v="No"/>
    <x v="2"/>
    <n v="39.200000000000003"/>
    <n v="19.600000000000001"/>
    <n v="195"/>
    <x v="5"/>
    <x v="1"/>
    <n v="9.4605999999999995"/>
    <n v="-24.89958"/>
  </r>
  <r>
    <s v="PAL0708"/>
    <n v="15"/>
    <x v="0"/>
    <s v="Anvers"/>
    <s v="Torgersen"/>
    <s v="Adult, 1 Egg Stage"/>
    <s v="N8A1"/>
    <s v="Yes"/>
    <x v="1"/>
    <n v="34.6"/>
    <n v="21.1"/>
    <n v="198"/>
    <x v="6"/>
    <x v="1"/>
    <n v="8.5558300000000003"/>
    <n v="-25.22588"/>
  </r>
  <r>
    <s v="PAL0708"/>
    <n v="17"/>
    <x v="0"/>
    <s v="Anvers"/>
    <s v="Torgersen"/>
    <s v="Adult, 1 Egg Stage"/>
    <s v="N9A1"/>
    <s v="Yes"/>
    <x v="3"/>
    <n v="38.700000000000003"/>
    <n v="19"/>
    <n v="195"/>
    <x v="2"/>
    <x v="0"/>
    <n v="9.1852800000000006"/>
    <n v="-25.06691"/>
  </r>
  <r>
    <s v="PAL0708"/>
    <n v="18"/>
    <x v="0"/>
    <s v="Anvers"/>
    <s v="Torgersen"/>
    <s v="Adult, 1 Egg Stage"/>
    <s v="N9A2"/>
    <s v="Yes"/>
    <x v="3"/>
    <n v="42.5"/>
    <n v="20.7"/>
    <n v="197"/>
    <x v="7"/>
    <x v="1"/>
    <n v="8.6753800000000005"/>
    <n v="-25.13993"/>
  </r>
  <r>
    <s v="PAL0708"/>
    <n v="19"/>
    <x v="0"/>
    <s v="Anvers"/>
    <s v="Torgersen"/>
    <s v="Adult, 1 Egg Stage"/>
    <s v="N10A1"/>
    <s v="Yes"/>
    <x v="1"/>
    <n v="34.4"/>
    <n v="18.399999999999999"/>
    <n v="184"/>
    <x v="8"/>
    <x v="0"/>
    <n v="8.4782700000000002"/>
    <n v="-25.23319"/>
  </r>
  <r>
    <s v="PAL0708"/>
    <n v="20"/>
    <x v="0"/>
    <s v="Anvers"/>
    <s v="Torgersen"/>
    <s v="Adult, 1 Egg Stage"/>
    <s v="N10A2"/>
    <s v="Yes"/>
    <x v="1"/>
    <n v="46"/>
    <n v="21.5"/>
    <n v="194"/>
    <x v="9"/>
    <x v="1"/>
    <n v="9.1161600000000007"/>
    <n v="-24.772269999999999"/>
  </r>
  <r>
    <s v="PAL0708"/>
    <n v="21"/>
    <x v="0"/>
    <s v="Anvers"/>
    <s v="Biscoe"/>
    <s v="Adult, 1 Egg Stage"/>
    <s v="N11A1"/>
    <s v="Yes"/>
    <x v="3"/>
    <n v="37.799999999999997"/>
    <n v="18.3"/>
    <n v="174"/>
    <x v="10"/>
    <x v="0"/>
    <n v="8.7376199999999997"/>
    <n v="-25.093830000000001"/>
  </r>
  <r>
    <s v="PAL0708"/>
    <n v="22"/>
    <x v="0"/>
    <s v="Anvers"/>
    <s v="Biscoe"/>
    <s v="Adult, 1 Egg Stage"/>
    <s v="N11A2"/>
    <s v="Yes"/>
    <x v="3"/>
    <n v="37.700000000000003"/>
    <n v="18.7"/>
    <n v="180"/>
    <x v="11"/>
    <x v="1"/>
    <n v="8.6627100000000006"/>
    <n v="-25.0639"/>
  </r>
  <r>
    <s v="PAL0708"/>
    <n v="23"/>
    <x v="0"/>
    <s v="Anvers"/>
    <s v="Biscoe"/>
    <s v="Adult, 1 Egg Stage"/>
    <s v="N12A1"/>
    <s v="Yes"/>
    <x v="3"/>
    <n v="35.9"/>
    <n v="19.2"/>
    <n v="189"/>
    <x v="0"/>
    <x v="0"/>
    <n v="9.2228600000000007"/>
    <n v="-25.034739999999999"/>
  </r>
  <r>
    <s v="PAL0708"/>
    <n v="24"/>
    <x v="0"/>
    <s v="Anvers"/>
    <s v="Biscoe"/>
    <s v="Adult, 1 Egg Stage"/>
    <s v="N12A2"/>
    <s v="Yes"/>
    <x v="3"/>
    <n v="38.200000000000003"/>
    <n v="18.100000000000001"/>
    <n v="185"/>
    <x v="12"/>
    <x v="1"/>
    <n v="8.4342299999999994"/>
    <n v="-25.22664"/>
  </r>
  <r>
    <s v="PAL0708"/>
    <n v="25"/>
    <x v="0"/>
    <s v="Anvers"/>
    <s v="Biscoe"/>
    <s v="Adult, 1 Egg Stage"/>
    <s v="N13A1"/>
    <s v="Yes"/>
    <x v="4"/>
    <n v="38.799999999999997"/>
    <n v="17.2"/>
    <n v="180"/>
    <x v="0"/>
    <x v="1"/>
    <n v="9.6395400000000002"/>
    <n v="-25.298559999999998"/>
  </r>
  <r>
    <s v="PAL0708"/>
    <n v="26"/>
    <x v="0"/>
    <s v="Anvers"/>
    <s v="Biscoe"/>
    <s v="Adult, 1 Egg Stage"/>
    <s v="N13A2"/>
    <s v="Yes"/>
    <x v="4"/>
    <n v="35.299999999999997"/>
    <n v="18.899999999999999"/>
    <n v="187"/>
    <x v="0"/>
    <x v="0"/>
    <n v="9.2129200000000004"/>
    <n v="-24.3613"/>
  </r>
  <r>
    <s v="PAL0708"/>
    <n v="27"/>
    <x v="0"/>
    <s v="Anvers"/>
    <s v="Biscoe"/>
    <s v="Adult, 1 Egg Stage"/>
    <s v="N17A1"/>
    <s v="Yes"/>
    <x v="3"/>
    <n v="40.6"/>
    <n v="18.600000000000001"/>
    <n v="183"/>
    <x v="13"/>
    <x v="1"/>
    <n v="8.9399700000000006"/>
    <n v="-25.362880000000001"/>
  </r>
  <r>
    <s v="PAL0708"/>
    <n v="28"/>
    <x v="0"/>
    <s v="Anvers"/>
    <s v="Biscoe"/>
    <s v="Adult, 1 Egg Stage"/>
    <s v="N17A2"/>
    <s v="Yes"/>
    <x v="3"/>
    <n v="40.5"/>
    <n v="17.899999999999999"/>
    <n v="187"/>
    <x v="14"/>
    <x v="0"/>
    <n v="8.0813799999999993"/>
    <n v="-25.494479999999999"/>
  </r>
  <r>
    <s v="PAL0708"/>
    <n v="29"/>
    <x v="0"/>
    <s v="Anvers"/>
    <s v="Biscoe"/>
    <s v="Adult, 1 Egg Stage"/>
    <s v="N18A1"/>
    <s v="No"/>
    <x v="4"/>
    <n v="37.9"/>
    <n v="18.600000000000001"/>
    <n v="172"/>
    <x v="15"/>
    <x v="0"/>
    <n v="8.3840400000000006"/>
    <n v="-25.198370000000001"/>
  </r>
  <r>
    <s v="PAL0708"/>
    <n v="30"/>
    <x v="0"/>
    <s v="Anvers"/>
    <s v="Biscoe"/>
    <s v="Adult, 1 Egg Stage"/>
    <s v="N18A2"/>
    <s v="No"/>
    <x v="4"/>
    <n v="40.5"/>
    <n v="18.899999999999999"/>
    <n v="180"/>
    <x v="12"/>
    <x v="1"/>
    <n v="8.9002700000000008"/>
    <n v="-25.11609"/>
  </r>
  <r>
    <s v="PAL0708"/>
    <n v="31"/>
    <x v="0"/>
    <s v="Anvers"/>
    <s v="Dream"/>
    <s v="Adult, 1 Egg Stage"/>
    <s v="N21A1"/>
    <s v="Yes"/>
    <x v="5"/>
    <n v="39.5"/>
    <n v="16.7"/>
    <n v="178"/>
    <x v="1"/>
    <x v="0"/>
    <n v="9.6975599999999993"/>
    <n v="-25.11223"/>
  </r>
  <r>
    <s v="PAL0708"/>
    <n v="32"/>
    <x v="0"/>
    <s v="Anvers"/>
    <s v="Dream"/>
    <s v="Adult, 1 Egg Stage"/>
    <s v="N21A2"/>
    <s v="Yes"/>
    <x v="5"/>
    <n v="37.200000000000003"/>
    <n v="18.100000000000001"/>
    <n v="178"/>
    <x v="16"/>
    <x v="1"/>
    <n v="9.7276399999999992"/>
    <n v="-25.010200000000001"/>
  </r>
  <r>
    <s v="PAL0708"/>
    <n v="33"/>
    <x v="0"/>
    <s v="Anvers"/>
    <s v="Dream"/>
    <s v="Adult, 1 Egg Stage"/>
    <s v="N22A1"/>
    <s v="Yes"/>
    <x v="5"/>
    <n v="39.5"/>
    <n v="17.8"/>
    <n v="188"/>
    <x v="17"/>
    <x v="0"/>
    <n v="9.6652299999999993"/>
    <n v="-25.060199999999998"/>
  </r>
  <r>
    <s v="PAL0708"/>
    <n v="34"/>
    <x v="0"/>
    <s v="Anvers"/>
    <s v="Dream"/>
    <s v="Adult, 1 Egg Stage"/>
    <s v="N22A2"/>
    <s v="Yes"/>
    <x v="5"/>
    <n v="40.9"/>
    <n v="18.899999999999999"/>
    <n v="184"/>
    <x v="16"/>
    <x v="1"/>
    <n v="8.7966499999999996"/>
    <n v="-25.145910000000001"/>
  </r>
  <r>
    <s v="PAL0708"/>
    <n v="35"/>
    <x v="0"/>
    <s v="Anvers"/>
    <s v="Dream"/>
    <s v="Adult, 1 Egg Stage"/>
    <s v="N23A1"/>
    <s v="Yes"/>
    <x v="1"/>
    <n v="36.4"/>
    <n v="17"/>
    <n v="195"/>
    <x v="8"/>
    <x v="0"/>
    <n v="9.1784700000000008"/>
    <n v="-25.230609999999999"/>
  </r>
  <r>
    <s v="PAL0708"/>
    <n v="36"/>
    <x v="0"/>
    <s v="Anvers"/>
    <s v="Dream"/>
    <s v="Adult, 1 Egg Stage"/>
    <s v="N23A2"/>
    <s v="Yes"/>
    <x v="1"/>
    <n v="39.200000000000003"/>
    <n v="21.1"/>
    <n v="196"/>
    <x v="18"/>
    <x v="1"/>
    <n v="9.1530799999999992"/>
    <n v="-25.034690000000001"/>
  </r>
  <r>
    <s v="PAL0708"/>
    <n v="37"/>
    <x v="0"/>
    <s v="Anvers"/>
    <s v="Dream"/>
    <s v="Adult, 1 Egg Stage"/>
    <s v="N24A1"/>
    <s v="Yes"/>
    <x v="1"/>
    <n v="38.799999999999997"/>
    <n v="20"/>
    <n v="190"/>
    <x v="12"/>
    <x v="1"/>
    <n v="9.1898499999999999"/>
    <n v="-25.12255"/>
  </r>
  <r>
    <s v="PAL0708"/>
    <n v="38"/>
    <x v="0"/>
    <s v="Anvers"/>
    <s v="Dream"/>
    <s v="Adult, 1 Egg Stage"/>
    <s v="N24A2"/>
    <s v="Yes"/>
    <x v="1"/>
    <n v="42.2"/>
    <n v="18.5"/>
    <n v="180"/>
    <x v="13"/>
    <x v="0"/>
    <n v="8.0478699999999996"/>
    <n v="-25.495229999999999"/>
  </r>
  <r>
    <s v="PAL0708"/>
    <n v="39"/>
    <x v="0"/>
    <s v="Anvers"/>
    <s v="Dream"/>
    <s v="Adult, 1 Egg Stage"/>
    <s v="N25A1"/>
    <s v="No"/>
    <x v="6"/>
    <n v="37.6"/>
    <n v="19.3"/>
    <n v="181"/>
    <x v="17"/>
    <x v="0"/>
    <n v="9.4113100000000003"/>
    <n v="-25.041689999999999"/>
  </r>
  <r>
    <s v="PAL0708"/>
    <n v="41"/>
    <x v="0"/>
    <s v="Anvers"/>
    <s v="Dream"/>
    <s v="Adult, 1 Egg Stage"/>
    <s v="N26A1"/>
    <s v="Yes"/>
    <x v="1"/>
    <n v="36.5"/>
    <n v="18"/>
    <n v="182"/>
    <x v="15"/>
    <x v="0"/>
    <n v="9.68933"/>
    <n v="-24.422799999999999"/>
  </r>
  <r>
    <s v="PAL0708"/>
    <n v="43"/>
    <x v="0"/>
    <s v="Anvers"/>
    <s v="Dream"/>
    <s v="Adult, 1 Egg Stage"/>
    <s v="N27A1"/>
    <s v="Yes"/>
    <x v="7"/>
    <n v="36"/>
    <n v="18.5"/>
    <n v="186"/>
    <x v="19"/>
    <x v="0"/>
    <n v="9.5077200000000008"/>
    <n v="-25.03492"/>
  </r>
  <r>
    <s v="PAL0708"/>
    <n v="44"/>
    <x v="0"/>
    <s v="Anvers"/>
    <s v="Dream"/>
    <s v="Adult, 1 Egg Stage"/>
    <s v="N27A2"/>
    <s v="Yes"/>
    <x v="7"/>
    <n v="44.1"/>
    <n v="19.7"/>
    <n v="196"/>
    <x v="6"/>
    <x v="1"/>
    <n v="9.2371999999999996"/>
    <n v="-24.526979999999998"/>
  </r>
  <r>
    <s v="PAL0708"/>
    <n v="45"/>
    <x v="0"/>
    <s v="Anvers"/>
    <s v="Dream"/>
    <s v="Adult, 1 Egg Stage"/>
    <s v="N28A1"/>
    <s v="Yes"/>
    <x v="1"/>
    <n v="37"/>
    <n v="16.899999999999999"/>
    <n v="185"/>
    <x v="20"/>
    <x v="0"/>
    <n v="9.3639200000000002"/>
    <n v="-25.01745"/>
  </r>
  <r>
    <s v="PAL0708"/>
    <n v="46"/>
    <x v="0"/>
    <s v="Anvers"/>
    <s v="Dream"/>
    <s v="Adult, 1 Egg Stage"/>
    <s v="N28A2"/>
    <s v="Yes"/>
    <x v="1"/>
    <n v="39.6"/>
    <n v="18.8"/>
    <n v="190"/>
    <x v="21"/>
    <x v="1"/>
    <n v="9.4910599999999992"/>
    <n v="-24.102550000000001"/>
  </r>
  <r>
    <s v="PAL0708"/>
    <n v="49"/>
    <x v="0"/>
    <s v="Anvers"/>
    <s v="Dream"/>
    <s v="Adult, 1 Egg Stage"/>
    <s v="N30A1"/>
    <s v="Yes"/>
    <x v="6"/>
    <n v="36"/>
    <n v="17.899999999999999"/>
    <n v="190"/>
    <x v="2"/>
    <x v="0"/>
    <n v="9.5178399999999996"/>
    <n v="-25.076830000000001"/>
  </r>
  <r>
    <s v="PAL0708"/>
    <n v="50"/>
    <x v="0"/>
    <s v="Anvers"/>
    <s v="Dream"/>
    <s v="Adult, 1 Egg Stage"/>
    <s v="N30A2"/>
    <s v="Yes"/>
    <x v="6"/>
    <n v="42.3"/>
    <n v="21.2"/>
    <n v="191"/>
    <x v="18"/>
    <x v="1"/>
    <n v="8.87988"/>
    <n v="-25.18543"/>
  </r>
  <r>
    <s v="PAL0809"/>
    <n v="51"/>
    <x v="0"/>
    <s v="Anvers"/>
    <s v="Biscoe"/>
    <s v="Adult, 1 Egg Stage"/>
    <s v="N21A1"/>
    <s v="Yes"/>
    <x v="8"/>
    <n v="39.6"/>
    <n v="17.7"/>
    <n v="186"/>
    <x v="22"/>
    <x v="0"/>
    <n v="8.4661600000000004"/>
    <n v="-26.12989"/>
  </r>
  <r>
    <s v="PAL0809"/>
    <n v="52"/>
    <x v="0"/>
    <s v="Anvers"/>
    <s v="Biscoe"/>
    <s v="Adult, 1 Egg Stage"/>
    <s v="N21A2"/>
    <s v="Yes"/>
    <x v="8"/>
    <n v="40.1"/>
    <n v="18.899999999999999"/>
    <n v="188"/>
    <x v="23"/>
    <x v="1"/>
    <n v="8.5136199999999995"/>
    <n v="-26.55602"/>
  </r>
  <r>
    <s v="PAL0809"/>
    <n v="53"/>
    <x v="0"/>
    <s v="Anvers"/>
    <s v="Biscoe"/>
    <s v="Adult, 1 Egg Stage"/>
    <s v="N22A1"/>
    <s v="Yes"/>
    <x v="9"/>
    <n v="35"/>
    <n v="17.899999999999999"/>
    <n v="190"/>
    <x v="2"/>
    <x v="0"/>
    <n v="8.1953899999999997"/>
    <n v="-26.172129999999999"/>
  </r>
  <r>
    <s v="PAL0809"/>
    <n v="54"/>
    <x v="0"/>
    <s v="Anvers"/>
    <s v="Biscoe"/>
    <s v="Adult, 1 Egg Stage"/>
    <s v="N22A2"/>
    <s v="Yes"/>
    <x v="9"/>
    <n v="42"/>
    <n v="19.5"/>
    <n v="200"/>
    <x v="24"/>
    <x v="1"/>
    <n v="8.48095"/>
    <n v="-26.314599999999999"/>
  </r>
  <r>
    <s v="PAL0809"/>
    <n v="55"/>
    <x v="0"/>
    <s v="Anvers"/>
    <s v="Biscoe"/>
    <s v="Adult, 1 Egg Stage"/>
    <s v="N23A1"/>
    <s v="Yes"/>
    <x v="9"/>
    <n v="34.5"/>
    <n v="18.100000000000001"/>
    <n v="187"/>
    <x v="25"/>
    <x v="0"/>
    <n v="8.4183699999999995"/>
    <n v="-26.547180000000001"/>
  </r>
  <r>
    <s v="PAL0809"/>
    <n v="56"/>
    <x v="0"/>
    <s v="Anvers"/>
    <s v="Biscoe"/>
    <s v="Adult, 1 Egg Stage"/>
    <s v="N23A2"/>
    <s v="Yes"/>
    <x v="9"/>
    <n v="41.4"/>
    <n v="18.600000000000001"/>
    <n v="191"/>
    <x v="26"/>
    <x v="1"/>
    <n v="8.3539600000000007"/>
    <n v="-26.27853"/>
  </r>
  <r>
    <s v="PAL0809"/>
    <n v="57"/>
    <x v="0"/>
    <s v="Anvers"/>
    <s v="Biscoe"/>
    <s v="Adult, 1 Egg Stage"/>
    <s v="N24A1"/>
    <s v="Yes"/>
    <x v="10"/>
    <n v="39"/>
    <n v="17.5"/>
    <n v="186"/>
    <x v="13"/>
    <x v="0"/>
    <n v="8.5719899999999996"/>
    <n v="-26.07188"/>
  </r>
  <r>
    <s v="PAL0809"/>
    <n v="58"/>
    <x v="0"/>
    <s v="Anvers"/>
    <s v="Biscoe"/>
    <s v="Adult, 1 Egg Stage"/>
    <s v="N24A2"/>
    <s v="Yes"/>
    <x v="10"/>
    <n v="40.6"/>
    <n v="18.8"/>
    <n v="193"/>
    <x v="0"/>
    <x v="1"/>
    <n v="8.5667399999999994"/>
    <n v="-25.988430000000001"/>
  </r>
  <r>
    <s v="PAL0809"/>
    <n v="59"/>
    <x v="0"/>
    <s v="Anvers"/>
    <s v="Biscoe"/>
    <s v="Adult, 1 Egg Stage"/>
    <s v="N25A1"/>
    <s v="Yes"/>
    <x v="10"/>
    <n v="36.5"/>
    <n v="16.600000000000001"/>
    <n v="181"/>
    <x v="27"/>
    <x v="0"/>
    <n v="9.0787800000000001"/>
    <n v="-25.88156"/>
  </r>
  <r>
    <s v="PAL0809"/>
    <n v="60"/>
    <x v="0"/>
    <s v="Anvers"/>
    <s v="Biscoe"/>
    <s v="Adult, 1 Egg Stage"/>
    <s v="N25A2"/>
    <s v="Yes"/>
    <x v="10"/>
    <n v="37.6"/>
    <n v="19.100000000000001"/>
    <n v="194"/>
    <x v="28"/>
    <x v="1"/>
    <n v="9.1080000000000005"/>
    <n v="-25.89677"/>
  </r>
  <r>
    <s v="PAL0809"/>
    <n v="61"/>
    <x v="0"/>
    <s v="Anvers"/>
    <s v="Biscoe"/>
    <s v="Adult, 1 Egg Stage"/>
    <s v="N27A1"/>
    <s v="Yes"/>
    <x v="11"/>
    <n v="35.700000000000003"/>
    <n v="16.899999999999999"/>
    <n v="185"/>
    <x v="15"/>
    <x v="0"/>
    <n v="8.9647199999999998"/>
    <n v="-26.40943"/>
  </r>
  <r>
    <s v="PAL0809"/>
    <n v="62"/>
    <x v="0"/>
    <s v="Anvers"/>
    <s v="Biscoe"/>
    <s v="Adult, 1 Egg Stage"/>
    <s v="N27A2"/>
    <s v="Yes"/>
    <x v="11"/>
    <n v="41.3"/>
    <n v="21.1"/>
    <n v="195"/>
    <x v="6"/>
    <x v="1"/>
    <n v="8.7480200000000004"/>
    <n v="-26.37809"/>
  </r>
  <r>
    <s v="PAL0809"/>
    <n v="63"/>
    <x v="0"/>
    <s v="Anvers"/>
    <s v="Biscoe"/>
    <s v="Adult, 1 Egg Stage"/>
    <s v="N28A1"/>
    <s v="Yes"/>
    <x v="11"/>
    <n v="37.6"/>
    <n v="17"/>
    <n v="185"/>
    <x v="11"/>
    <x v="0"/>
    <n v="8.5806299999999993"/>
    <n v="-26.215689999999999"/>
  </r>
  <r>
    <s v="PAL0809"/>
    <n v="64"/>
    <x v="0"/>
    <s v="Anvers"/>
    <s v="Biscoe"/>
    <s v="Adult, 1 Egg Stage"/>
    <s v="N28A2"/>
    <s v="Yes"/>
    <x v="11"/>
    <n v="41.1"/>
    <n v="18.2"/>
    <n v="192"/>
    <x v="24"/>
    <x v="1"/>
    <n v="8.6226400000000005"/>
    <n v="-26.60023"/>
  </r>
  <r>
    <s v="PAL0809"/>
    <n v="65"/>
    <x v="0"/>
    <s v="Anvers"/>
    <s v="Biscoe"/>
    <s v="Adult, 1 Egg Stage"/>
    <s v="N29A1"/>
    <s v="Yes"/>
    <x v="11"/>
    <n v="36.4"/>
    <n v="17.100000000000001"/>
    <n v="184"/>
    <x v="27"/>
    <x v="0"/>
    <n v="8.6262299999999996"/>
    <n v="-26.116499999999998"/>
  </r>
  <r>
    <s v="PAL0809"/>
    <n v="66"/>
    <x v="0"/>
    <s v="Anvers"/>
    <s v="Biscoe"/>
    <s v="Adult, 1 Egg Stage"/>
    <s v="N29A2"/>
    <s v="Yes"/>
    <x v="11"/>
    <n v="41.6"/>
    <n v="18"/>
    <n v="192"/>
    <x v="12"/>
    <x v="1"/>
    <n v="8.85562"/>
    <n v="-26.092939999999999"/>
  </r>
  <r>
    <s v="PAL0809"/>
    <n v="67"/>
    <x v="0"/>
    <s v="Anvers"/>
    <s v="Biscoe"/>
    <s v="Adult, 1 Egg Stage"/>
    <s v="N30A1"/>
    <s v="Yes"/>
    <x v="8"/>
    <n v="35.5"/>
    <n v="16.2"/>
    <n v="195"/>
    <x v="29"/>
    <x v="0"/>
    <n v="8.5619200000000006"/>
    <n v="-25.955410000000001"/>
  </r>
  <r>
    <s v="PAL0809"/>
    <n v="68"/>
    <x v="0"/>
    <s v="Anvers"/>
    <s v="Biscoe"/>
    <s v="Adult, 1 Egg Stage"/>
    <s v="N30A2"/>
    <s v="Yes"/>
    <x v="8"/>
    <n v="41.1"/>
    <n v="19.100000000000001"/>
    <n v="188"/>
    <x v="30"/>
    <x v="1"/>
    <n v="8.7107799999999997"/>
    <n v="-25.810120000000001"/>
  </r>
  <r>
    <s v="PAL0809"/>
    <n v="69"/>
    <x v="0"/>
    <s v="Anvers"/>
    <s v="Torgersen"/>
    <s v="Adult, 1 Egg Stage"/>
    <s v="N32A1"/>
    <s v="No"/>
    <x v="12"/>
    <n v="35.9"/>
    <n v="16.600000000000001"/>
    <n v="190"/>
    <x v="31"/>
    <x v="0"/>
    <n v="8.4778099999999998"/>
    <n v="-26.078209999999999"/>
  </r>
  <r>
    <s v="PAL0809"/>
    <n v="70"/>
    <x v="0"/>
    <s v="Anvers"/>
    <s v="Torgersen"/>
    <s v="Adult, 1 Egg Stage"/>
    <s v="N32A2"/>
    <s v="No"/>
    <x v="12"/>
    <n v="41.8"/>
    <n v="19.399999999999999"/>
    <n v="198"/>
    <x v="32"/>
    <x v="1"/>
    <n v="8.8685299999999998"/>
    <n v="-26.062090000000001"/>
  </r>
  <r>
    <s v="PAL0809"/>
    <n v="71"/>
    <x v="0"/>
    <s v="Anvers"/>
    <s v="Torgersen"/>
    <s v="Adult, 1 Egg Stage"/>
    <s v="N34A1"/>
    <s v="Yes"/>
    <x v="13"/>
    <n v="33.5"/>
    <n v="19"/>
    <n v="190"/>
    <x v="11"/>
    <x v="0"/>
    <n v="7.88863"/>
    <n v="-26.630849999999999"/>
  </r>
  <r>
    <s v="PAL0809"/>
    <n v="72"/>
    <x v="0"/>
    <s v="Anvers"/>
    <s v="Torgersen"/>
    <s v="Adult, 1 Egg Stage"/>
    <s v="N34A2"/>
    <s v="Yes"/>
    <x v="13"/>
    <n v="39.700000000000003"/>
    <n v="18.399999999999999"/>
    <n v="190"/>
    <x v="16"/>
    <x v="1"/>
    <n v="9.2980800000000006"/>
    <n v="-25.234529999999999"/>
  </r>
  <r>
    <s v="PAL0809"/>
    <n v="73"/>
    <x v="0"/>
    <s v="Anvers"/>
    <s v="Torgersen"/>
    <s v="Adult, 1 Egg Stage"/>
    <s v="N35A1"/>
    <s v="Yes"/>
    <x v="12"/>
    <n v="39.6"/>
    <n v="17.2"/>
    <n v="196"/>
    <x v="13"/>
    <x v="0"/>
    <n v="8.3352400000000006"/>
    <n v="-26.553509999999999"/>
  </r>
  <r>
    <s v="PAL0809"/>
    <n v="74"/>
    <x v="0"/>
    <s v="Anvers"/>
    <s v="Torgersen"/>
    <s v="Adult, 1 Egg Stage"/>
    <s v="N35A2"/>
    <s v="Yes"/>
    <x v="12"/>
    <n v="45.8"/>
    <n v="18.899999999999999"/>
    <n v="197"/>
    <x v="18"/>
    <x v="1"/>
    <n v="8.1865799999999993"/>
    <n v="-26.459779999999999"/>
  </r>
  <r>
    <s v="PAL0809"/>
    <n v="75"/>
    <x v="0"/>
    <s v="Anvers"/>
    <s v="Torgersen"/>
    <s v="Adult, 1 Egg Stage"/>
    <s v="N36A1"/>
    <s v="Yes"/>
    <x v="14"/>
    <n v="35.5"/>
    <n v="17.5"/>
    <n v="190"/>
    <x v="26"/>
    <x v="0"/>
    <n v="8.7064199999999996"/>
    <n v="-26.150030000000001"/>
  </r>
  <r>
    <s v="PAL0809"/>
    <n v="76"/>
    <x v="0"/>
    <s v="Anvers"/>
    <s v="Torgersen"/>
    <s v="Adult, 1 Egg Stage"/>
    <s v="N36A2"/>
    <s v="Yes"/>
    <x v="14"/>
    <n v="42.8"/>
    <n v="18.5"/>
    <n v="195"/>
    <x v="33"/>
    <x v="1"/>
    <n v="8.2993000000000006"/>
    <n v="-26.389859999999999"/>
  </r>
  <r>
    <s v="PAL0809"/>
    <n v="77"/>
    <x v="0"/>
    <s v="Anvers"/>
    <s v="Torgersen"/>
    <s v="Adult, 1 Egg Stage"/>
    <s v="N37A1"/>
    <s v="Yes"/>
    <x v="8"/>
    <n v="40.9"/>
    <n v="16.8"/>
    <n v="191"/>
    <x v="26"/>
    <x v="0"/>
    <n v="8.4725699999999993"/>
    <n v="-26.020019999999999"/>
  </r>
  <r>
    <s v="PAL0809"/>
    <n v="78"/>
    <x v="0"/>
    <s v="Anvers"/>
    <s v="Torgersen"/>
    <s v="Adult, 1 Egg Stage"/>
    <s v="N37A2"/>
    <s v="Yes"/>
    <x v="8"/>
    <n v="37.200000000000003"/>
    <n v="19.399999999999999"/>
    <n v="184"/>
    <x v="16"/>
    <x v="1"/>
    <n v="8.3553999999999995"/>
    <n v="-26.447870000000002"/>
  </r>
  <r>
    <s v="PAL0809"/>
    <n v="79"/>
    <x v="0"/>
    <s v="Anvers"/>
    <s v="Torgersen"/>
    <s v="Adult, 1 Egg Stage"/>
    <s v="N38A1"/>
    <s v="Yes"/>
    <x v="9"/>
    <n v="36.200000000000003"/>
    <n v="16.100000000000001"/>
    <n v="187"/>
    <x v="13"/>
    <x v="0"/>
    <n v="7.8238099999999999"/>
    <n v="-26.513819999999999"/>
  </r>
  <r>
    <s v="PAL0809"/>
    <n v="80"/>
    <x v="0"/>
    <s v="Anvers"/>
    <s v="Torgersen"/>
    <s v="Adult, 1 Egg Stage"/>
    <s v="N38A2"/>
    <s v="Yes"/>
    <x v="9"/>
    <n v="42.1"/>
    <n v="19.100000000000001"/>
    <n v="195"/>
    <x v="34"/>
    <x v="1"/>
    <n v="9.0573599999999992"/>
    <n v="-25.81513"/>
  </r>
  <r>
    <s v="PAL0809"/>
    <n v="81"/>
    <x v="0"/>
    <s v="Anvers"/>
    <s v="Torgersen"/>
    <s v="Adult, 1 Egg Stage"/>
    <s v="N39A1"/>
    <s v="Yes"/>
    <x v="15"/>
    <n v="34.6"/>
    <n v="17.2"/>
    <n v="189"/>
    <x v="14"/>
    <x v="0"/>
    <n v="7.6977799999999998"/>
    <n v="-26.538699999999999"/>
  </r>
  <r>
    <s v="PAL0809"/>
    <n v="82"/>
    <x v="0"/>
    <s v="Anvers"/>
    <s v="Torgersen"/>
    <s v="Adult, 1 Egg Stage"/>
    <s v="N39A2"/>
    <s v="Yes"/>
    <x v="15"/>
    <n v="42.9"/>
    <n v="17.600000000000001"/>
    <n v="196"/>
    <x v="35"/>
    <x v="1"/>
    <n v="8.6325900000000004"/>
    <n v="-26.230270000000001"/>
  </r>
  <r>
    <s v="PAL0809"/>
    <n v="83"/>
    <x v="0"/>
    <s v="Anvers"/>
    <s v="Torgersen"/>
    <s v="Adult, 1 Egg Stage"/>
    <s v="N40A1"/>
    <s v="Yes"/>
    <x v="16"/>
    <n v="36.700000000000003"/>
    <n v="18.8"/>
    <n v="187"/>
    <x v="0"/>
    <x v="0"/>
    <n v="7.8849400000000003"/>
    <n v="-26.248370000000001"/>
  </r>
  <r>
    <s v="PAL0809"/>
    <n v="84"/>
    <x v="0"/>
    <s v="Anvers"/>
    <s v="Torgersen"/>
    <s v="Adult, 1 Egg Stage"/>
    <s v="N40A2"/>
    <s v="Yes"/>
    <x v="16"/>
    <n v="35.1"/>
    <n v="19.399999999999999"/>
    <n v="193"/>
    <x v="9"/>
    <x v="1"/>
    <n v="8.9000199999999996"/>
    <n v="-26.462540000000001"/>
  </r>
  <r>
    <s v="PAL0809"/>
    <n v="85"/>
    <x v="0"/>
    <s v="Anvers"/>
    <s v="Dream"/>
    <s v="Adult, 1 Egg Stage"/>
    <s v="N41A1"/>
    <s v="Yes"/>
    <x v="17"/>
    <n v="37.299999999999997"/>
    <n v="17.8"/>
    <n v="191"/>
    <x v="29"/>
    <x v="0"/>
    <n v="8.3271800000000002"/>
    <n v="-26.383959999999998"/>
  </r>
  <r>
    <s v="PAL0809"/>
    <n v="86"/>
    <x v="0"/>
    <s v="Anvers"/>
    <s v="Dream"/>
    <s v="Adult, 1 Egg Stage"/>
    <s v="N41A2"/>
    <s v="Yes"/>
    <x v="17"/>
    <n v="41.3"/>
    <n v="20.3"/>
    <n v="194"/>
    <x v="13"/>
    <x v="1"/>
    <n v="9.1486300000000007"/>
    <n v="-26.096350000000001"/>
  </r>
  <r>
    <s v="PAL0809"/>
    <n v="87"/>
    <x v="0"/>
    <s v="Anvers"/>
    <s v="Dream"/>
    <s v="Adult, 1 Egg Stage"/>
    <s v="N42A1"/>
    <s v="Yes"/>
    <x v="14"/>
    <n v="36.299999999999997"/>
    <n v="19.5"/>
    <n v="190"/>
    <x v="0"/>
    <x v="1"/>
    <n v="8.5708699999999993"/>
    <n v="-26.222270000000002"/>
  </r>
  <r>
    <s v="PAL0809"/>
    <n v="88"/>
    <x v="0"/>
    <s v="Anvers"/>
    <s v="Dream"/>
    <s v="Adult, 1 Egg Stage"/>
    <s v="N42A2"/>
    <s v="Yes"/>
    <x v="14"/>
    <n v="36.9"/>
    <n v="18.600000000000001"/>
    <n v="189"/>
    <x v="22"/>
    <x v="0"/>
    <n v="8.5914699999999993"/>
    <n v="-26.08165"/>
  </r>
  <r>
    <s v="PAL0809"/>
    <n v="89"/>
    <x v="0"/>
    <s v="Anvers"/>
    <s v="Dream"/>
    <s v="Adult, 1 Egg Stage"/>
    <s v="N44A1"/>
    <s v="Yes"/>
    <x v="14"/>
    <n v="38.299999999999997"/>
    <n v="19.2"/>
    <n v="189"/>
    <x v="12"/>
    <x v="1"/>
    <n v="9.0782600000000002"/>
    <n v="-26.124169999999999"/>
  </r>
  <r>
    <s v="PAL0809"/>
    <n v="90"/>
    <x v="0"/>
    <s v="Anvers"/>
    <s v="Dream"/>
    <s v="Adult, 1 Egg Stage"/>
    <s v="N44A2"/>
    <s v="Yes"/>
    <x v="14"/>
    <n v="38.9"/>
    <n v="18.8"/>
    <n v="190"/>
    <x v="11"/>
    <x v="0"/>
    <n v="8.3693600000000004"/>
    <n v="-26.111989999999999"/>
  </r>
  <r>
    <s v="PAL0809"/>
    <n v="91"/>
    <x v="0"/>
    <s v="Anvers"/>
    <s v="Dream"/>
    <s v="Adult, 1 Egg Stage"/>
    <s v="N45A1"/>
    <s v="Yes"/>
    <x v="13"/>
    <n v="35.700000000000003"/>
    <n v="18"/>
    <n v="202"/>
    <x v="13"/>
    <x v="0"/>
    <n v="8.4653100000000006"/>
    <n v="-26.05621"/>
  </r>
  <r>
    <s v="PAL0809"/>
    <n v="92"/>
    <x v="0"/>
    <s v="Anvers"/>
    <s v="Dream"/>
    <s v="Adult, 1 Egg Stage"/>
    <s v="N45A2"/>
    <s v="Yes"/>
    <x v="13"/>
    <n v="41.1"/>
    <n v="18.100000000000001"/>
    <n v="205"/>
    <x v="23"/>
    <x v="1"/>
    <n v="8.7701799999999999"/>
    <n v="-25.83352"/>
  </r>
  <r>
    <s v="PAL0809"/>
    <n v="93"/>
    <x v="0"/>
    <s v="Anvers"/>
    <s v="Dream"/>
    <s v="Adult, 1 Egg Stage"/>
    <s v="N46A1"/>
    <s v="Yes"/>
    <x v="18"/>
    <n v="34"/>
    <n v="17.100000000000001"/>
    <n v="185"/>
    <x v="10"/>
    <x v="0"/>
    <n v="8.0148499999999991"/>
    <n v="-26.695430000000002"/>
  </r>
  <r>
    <s v="PAL0809"/>
    <n v="94"/>
    <x v="0"/>
    <s v="Anvers"/>
    <s v="Dream"/>
    <s v="Adult, 1 Egg Stage"/>
    <s v="N46A2"/>
    <s v="Yes"/>
    <x v="18"/>
    <n v="39.6"/>
    <n v="18.100000000000001"/>
    <n v="186"/>
    <x v="32"/>
    <x v="1"/>
    <n v="8.4991500000000002"/>
    <n v="-26.424060000000001"/>
  </r>
  <r>
    <s v="PAL0809"/>
    <n v="95"/>
    <x v="0"/>
    <s v="Anvers"/>
    <s v="Dream"/>
    <s v="Adult, 1 Egg Stage"/>
    <s v="N48A1"/>
    <s v="Yes"/>
    <x v="17"/>
    <n v="36.200000000000003"/>
    <n v="17.3"/>
    <n v="187"/>
    <x v="17"/>
    <x v="0"/>
    <n v="8.9072300000000002"/>
    <n v="-26.300370000000001"/>
  </r>
  <r>
    <s v="PAL0809"/>
    <n v="96"/>
    <x v="0"/>
    <s v="Anvers"/>
    <s v="Dream"/>
    <s v="Adult, 1 Egg Stage"/>
    <s v="N48A2"/>
    <s v="Yes"/>
    <x v="17"/>
    <n v="40.799999999999997"/>
    <n v="18.899999999999999"/>
    <n v="208"/>
    <x v="23"/>
    <x v="1"/>
    <n v="8.4820399999999996"/>
    <n v="-26.579409999999999"/>
  </r>
  <r>
    <s v="PAL0809"/>
    <n v="97"/>
    <x v="0"/>
    <s v="Anvers"/>
    <s v="Dream"/>
    <s v="Adult, 1 Egg Stage"/>
    <s v="N49A1"/>
    <s v="Yes"/>
    <x v="14"/>
    <n v="38.1"/>
    <n v="18.600000000000001"/>
    <n v="190"/>
    <x v="26"/>
    <x v="0"/>
    <n v="8.1027699999999996"/>
    <n v="-26.500859999999999"/>
  </r>
  <r>
    <s v="PAL0809"/>
    <n v="98"/>
    <x v="0"/>
    <s v="Anvers"/>
    <s v="Dream"/>
    <s v="Adult, 1 Egg Stage"/>
    <s v="N49A2"/>
    <s v="Yes"/>
    <x v="14"/>
    <n v="40.299999999999997"/>
    <n v="18.5"/>
    <n v="196"/>
    <x v="36"/>
    <x v="1"/>
    <n v="8.3945900000000009"/>
    <n v="-26.011520000000001"/>
  </r>
  <r>
    <s v="PAL0809"/>
    <n v="99"/>
    <x v="0"/>
    <s v="Anvers"/>
    <s v="Dream"/>
    <s v="Adult, 1 Egg Stage"/>
    <s v="N50A1"/>
    <s v="Yes"/>
    <x v="19"/>
    <n v="33.1"/>
    <n v="16.100000000000001"/>
    <n v="178"/>
    <x v="25"/>
    <x v="0"/>
    <n v="9.0421800000000001"/>
    <n v="-26.15775"/>
  </r>
  <r>
    <s v="PAL0809"/>
    <n v="100"/>
    <x v="0"/>
    <s v="Anvers"/>
    <s v="Dream"/>
    <s v="Adult, 1 Egg Stage"/>
    <s v="N50A2"/>
    <s v="Yes"/>
    <x v="19"/>
    <n v="43.2"/>
    <n v="18.5"/>
    <n v="192"/>
    <x v="30"/>
    <x v="1"/>
    <n v="8.9702500000000001"/>
    <n v="-26.03679"/>
  </r>
  <r>
    <s v="PAL0910"/>
    <n v="101"/>
    <x v="0"/>
    <s v="Anvers"/>
    <s v="Biscoe"/>
    <s v="Adult, 1 Egg Stage"/>
    <s v="N47A1"/>
    <s v="Yes"/>
    <x v="20"/>
    <n v="35"/>
    <n v="17.899999999999999"/>
    <n v="192"/>
    <x v="37"/>
    <x v="0"/>
    <n v="8.8445099999999996"/>
    <n v="-26.280550000000002"/>
  </r>
  <r>
    <s v="PAL0910"/>
    <n v="102"/>
    <x v="0"/>
    <s v="Anvers"/>
    <s v="Biscoe"/>
    <s v="Adult, 1 Egg Stage"/>
    <s v="N47A2"/>
    <s v="Yes"/>
    <x v="20"/>
    <n v="41"/>
    <n v="20"/>
    <n v="203"/>
    <x v="38"/>
    <x v="1"/>
    <n v="9.0107900000000001"/>
    <n v="-26.380849999999999"/>
  </r>
  <r>
    <s v="PAL0910"/>
    <n v="103"/>
    <x v="0"/>
    <s v="Anvers"/>
    <s v="Biscoe"/>
    <s v="Adult, 1 Egg Stage"/>
    <s v="N49A1"/>
    <s v="Yes"/>
    <x v="21"/>
    <n v="37.700000000000003"/>
    <n v="16"/>
    <n v="183"/>
    <x v="39"/>
    <x v="0"/>
    <n v="9.2150999999999996"/>
    <n v="-26.225300000000001"/>
  </r>
  <r>
    <s v="PAL0910"/>
    <n v="104"/>
    <x v="0"/>
    <s v="Anvers"/>
    <s v="Biscoe"/>
    <s v="Adult, 1 Egg Stage"/>
    <s v="N49A2"/>
    <s v="Yes"/>
    <x v="21"/>
    <n v="37.799999999999997"/>
    <n v="20"/>
    <n v="190"/>
    <x v="33"/>
    <x v="1"/>
    <n v="9.5192899999999998"/>
    <n v="-25.691990000000001"/>
  </r>
  <r>
    <s v="PAL0910"/>
    <n v="105"/>
    <x v="0"/>
    <s v="Anvers"/>
    <s v="Biscoe"/>
    <s v="Adult, 1 Egg Stage"/>
    <s v="N51A1"/>
    <s v="Yes"/>
    <x v="21"/>
    <n v="37.9"/>
    <n v="18.600000000000001"/>
    <n v="193"/>
    <x v="40"/>
    <x v="0"/>
    <n v="9.0264199999999999"/>
    <n v="-25.864820000000002"/>
  </r>
  <r>
    <s v="PAL0910"/>
    <n v="106"/>
    <x v="0"/>
    <s v="Anvers"/>
    <s v="Biscoe"/>
    <s v="Adult, 1 Egg Stage"/>
    <s v="N51A2"/>
    <s v="Yes"/>
    <x v="21"/>
    <n v="39.700000000000003"/>
    <n v="18.899999999999999"/>
    <n v="184"/>
    <x v="13"/>
    <x v="1"/>
    <n v="8.8569899999999997"/>
    <n v="-25.80208"/>
  </r>
  <r>
    <s v="PAL0910"/>
    <n v="107"/>
    <x v="0"/>
    <s v="Anvers"/>
    <s v="Biscoe"/>
    <s v="Adult, 1 Egg Stage"/>
    <s v="N53A1"/>
    <s v="Yes"/>
    <x v="21"/>
    <n v="38.6"/>
    <n v="17.2"/>
    <n v="199"/>
    <x v="28"/>
    <x v="0"/>
    <n v="8.7732200000000002"/>
    <n v="-26.489730000000002"/>
  </r>
  <r>
    <s v="PAL0910"/>
    <n v="108"/>
    <x v="0"/>
    <s v="Anvers"/>
    <s v="Biscoe"/>
    <s v="Adult, 1 Egg Stage"/>
    <s v="N53A2"/>
    <s v="Yes"/>
    <x v="21"/>
    <n v="38.200000000000003"/>
    <n v="20"/>
    <n v="190"/>
    <x v="16"/>
    <x v="1"/>
    <n v="9.5924499999999995"/>
    <n v="-25.70711"/>
  </r>
  <r>
    <s v="PAL0910"/>
    <n v="109"/>
    <x v="0"/>
    <s v="Anvers"/>
    <s v="Biscoe"/>
    <s v="Adult, 1 Egg Stage"/>
    <s v="N55A1"/>
    <s v="Yes"/>
    <x v="22"/>
    <n v="38.1"/>
    <n v="17"/>
    <n v="181"/>
    <x v="41"/>
    <x v="0"/>
    <n v="9.7953200000000002"/>
    <n v="-25.273849999999999"/>
  </r>
  <r>
    <s v="PAL0910"/>
    <n v="110"/>
    <x v="0"/>
    <s v="Anvers"/>
    <s v="Biscoe"/>
    <s v="Adult, 1 Egg Stage"/>
    <s v="N55A2"/>
    <s v="Yes"/>
    <x v="22"/>
    <n v="43.2"/>
    <n v="19"/>
    <n v="197"/>
    <x v="42"/>
    <x v="1"/>
    <n v="9.3173499999999994"/>
    <n v="-25.451709999999999"/>
  </r>
  <r>
    <s v="PAL0910"/>
    <n v="111"/>
    <x v="0"/>
    <s v="Anvers"/>
    <s v="Biscoe"/>
    <s v="Adult, 1 Egg Stage"/>
    <s v="N58A1"/>
    <s v="Yes"/>
    <x v="23"/>
    <n v="38.1"/>
    <n v="16.5"/>
    <n v="198"/>
    <x v="43"/>
    <x v="0"/>
    <n v="8.4395100000000003"/>
    <n v="-26.57563"/>
  </r>
  <r>
    <s v="PAL0910"/>
    <n v="112"/>
    <x v="0"/>
    <s v="Anvers"/>
    <s v="Biscoe"/>
    <s v="Adult, 1 Egg Stage"/>
    <s v="N58A2"/>
    <s v="Yes"/>
    <x v="23"/>
    <n v="45.6"/>
    <n v="20.3"/>
    <n v="191"/>
    <x v="21"/>
    <x v="1"/>
    <n v="8.6546599999999998"/>
    <n v="-26.329090000000001"/>
  </r>
  <r>
    <s v="PAL0910"/>
    <n v="113"/>
    <x v="0"/>
    <s v="Anvers"/>
    <s v="Biscoe"/>
    <s v="Adult, 1 Egg Stage"/>
    <s v="N60A1"/>
    <s v="Yes"/>
    <x v="21"/>
    <n v="39.700000000000003"/>
    <n v="17.7"/>
    <n v="193"/>
    <x v="14"/>
    <x v="0"/>
    <n v="9.0265699999999995"/>
    <n v="-26.06203"/>
  </r>
  <r>
    <s v="PAL0910"/>
    <n v="114"/>
    <x v="0"/>
    <s v="Anvers"/>
    <s v="Biscoe"/>
    <s v="Adult, 1 Egg Stage"/>
    <s v="N60A2"/>
    <s v="Yes"/>
    <x v="21"/>
    <n v="42.2"/>
    <n v="19.5"/>
    <n v="197"/>
    <x v="44"/>
    <x v="1"/>
    <n v="8.8018599999999996"/>
    <n v="-26.412179999999999"/>
  </r>
  <r>
    <s v="PAL0910"/>
    <n v="115"/>
    <x v="0"/>
    <s v="Anvers"/>
    <s v="Biscoe"/>
    <s v="Adult, 1 Egg Stage"/>
    <s v="N61A1"/>
    <s v="Yes"/>
    <x v="24"/>
    <n v="39.6"/>
    <n v="20.7"/>
    <n v="191"/>
    <x v="16"/>
    <x v="0"/>
    <n v="8.8096700000000006"/>
    <n v="-26.789580000000001"/>
  </r>
  <r>
    <s v="PAL0910"/>
    <n v="116"/>
    <x v="0"/>
    <s v="Anvers"/>
    <s v="Biscoe"/>
    <s v="Adult, 1 Egg Stage"/>
    <s v="N61A2"/>
    <s v="Yes"/>
    <x v="24"/>
    <n v="42.7"/>
    <n v="18.3"/>
    <n v="196"/>
    <x v="45"/>
    <x v="1"/>
    <n v="8.9143399999999993"/>
    <n v="-26.420179999999998"/>
  </r>
  <r>
    <s v="PAL0910"/>
    <n v="117"/>
    <x v="0"/>
    <s v="Anvers"/>
    <s v="Torgersen"/>
    <s v="Adult, 1 Egg Stage"/>
    <s v="N63A1"/>
    <s v="Yes"/>
    <x v="25"/>
    <n v="38.6"/>
    <n v="17"/>
    <n v="188"/>
    <x v="25"/>
    <x v="0"/>
    <n v="9.1802100000000006"/>
    <n v="-25.772639999999999"/>
  </r>
  <r>
    <s v="PAL0910"/>
    <n v="118"/>
    <x v="0"/>
    <s v="Anvers"/>
    <s v="Torgersen"/>
    <s v="Adult, 1 Egg Stage"/>
    <s v="N63A2"/>
    <s v="Yes"/>
    <x v="25"/>
    <n v="37.299999999999997"/>
    <n v="20.5"/>
    <n v="199"/>
    <x v="46"/>
    <x v="1"/>
    <n v="9.4964499999999994"/>
    <n v="-26.366779999999999"/>
  </r>
  <r>
    <s v="PAL0910"/>
    <n v="119"/>
    <x v="0"/>
    <s v="Anvers"/>
    <s v="Torgersen"/>
    <s v="Adult, 1 Egg Stage"/>
    <s v="N64A1"/>
    <s v="Yes"/>
    <x v="26"/>
    <n v="35.700000000000003"/>
    <n v="17"/>
    <n v="189"/>
    <x v="29"/>
    <x v="0"/>
    <n v="8.9643599999999992"/>
    <n v="-23.903089999999999"/>
  </r>
  <r>
    <s v="PAL0910"/>
    <n v="120"/>
    <x v="0"/>
    <s v="Anvers"/>
    <s v="Torgersen"/>
    <s v="Adult, 1 Egg Stage"/>
    <s v="N64A2"/>
    <s v="Yes"/>
    <x v="26"/>
    <n v="41.1"/>
    <n v="18.600000000000001"/>
    <n v="189"/>
    <x v="8"/>
    <x v="1"/>
    <n v="9.3227700000000002"/>
    <n v="-26.099889999999998"/>
  </r>
  <r>
    <s v="PAL0910"/>
    <n v="121"/>
    <x v="0"/>
    <s v="Anvers"/>
    <s v="Torgersen"/>
    <s v="Adult, 1 Egg Stage"/>
    <s v="N66A1"/>
    <s v="No"/>
    <x v="24"/>
    <n v="36.200000000000003"/>
    <n v="17.2"/>
    <n v="187"/>
    <x v="15"/>
    <x v="0"/>
    <n v="9.0429600000000008"/>
    <n v="-26.19444"/>
  </r>
  <r>
    <s v="PAL0910"/>
    <n v="122"/>
    <x v="0"/>
    <s v="Anvers"/>
    <s v="Torgersen"/>
    <s v="Adult, 1 Egg Stage"/>
    <s v="N66A2"/>
    <s v="No"/>
    <x v="24"/>
    <n v="37.700000000000003"/>
    <n v="19.8"/>
    <n v="198"/>
    <x v="22"/>
    <x v="1"/>
    <n v="9.1106599999999993"/>
    <n v="-26.425630000000002"/>
  </r>
  <r>
    <s v="PAL0910"/>
    <n v="123"/>
    <x v="0"/>
    <s v="Anvers"/>
    <s v="Torgersen"/>
    <s v="Adult, 1 Egg Stage"/>
    <s v="N67A1"/>
    <s v="Yes"/>
    <x v="27"/>
    <n v="40.200000000000003"/>
    <n v="17"/>
    <n v="176"/>
    <x v="2"/>
    <x v="0"/>
    <n v="9.3072199999999992"/>
    <n v="-25.610389999999999"/>
  </r>
  <r>
    <s v="PAL0910"/>
    <n v="124"/>
    <x v="0"/>
    <s v="Anvers"/>
    <s v="Torgersen"/>
    <s v="Adult, 1 Egg Stage"/>
    <s v="N67A2"/>
    <s v="Yes"/>
    <x v="27"/>
    <n v="41.4"/>
    <n v="18.5"/>
    <n v="202"/>
    <x v="47"/>
    <x v="1"/>
    <n v="9.5946200000000008"/>
    <n v="-25.426210000000001"/>
  </r>
  <r>
    <s v="PAL0910"/>
    <n v="125"/>
    <x v="0"/>
    <s v="Anvers"/>
    <s v="Torgersen"/>
    <s v="Adult, 1 Egg Stage"/>
    <s v="N69A1"/>
    <s v="Yes"/>
    <x v="25"/>
    <n v="35.200000000000003"/>
    <n v="15.9"/>
    <n v="186"/>
    <x v="31"/>
    <x v="0"/>
    <n v="8.8166799999999999"/>
    <n v="-25.953990000000001"/>
  </r>
  <r>
    <s v="PAL0910"/>
    <n v="126"/>
    <x v="0"/>
    <s v="Anvers"/>
    <s v="Torgersen"/>
    <s v="Adult, 1 Egg Stage"/>
    <s v="N69A2"/>
    <s v="Yes"/>
    <x v="25"/>
    <n v="40.6"/>
    <n v="19"/>
    <n v="199"/>
    <x v="34"/>
    <x v="1"/>
    <n v="9.2253699999999998"/>
    <n v="-25.608260000000001"/>
  </r>
  <r>
    <s v="PAL0910"/>
    <n v="127"/>
    <x v="0"/>
    <s v="Anvers"/>
    <s v="Torgersen"/>
    <s v="Adult, 1 Egg Stage"/>
    <s v="N71A1"/>
    <s v="Yes"/>
    <x v="28"/>
    <n v="38.799999999999997"/>
    <n v="17.600000000000001"/>
    <n v="191"/>
    <x v="48"/>
    <x v="0"/>
    <n v="8.8809799999999992"/>
    <n v="-25.897410000000001"/>
  </r>
  <r>
    <s v="PAL0910"/>
    <n v="128"/>
    <x v="0"/>
    <s v="Anvers"/>
    <s v="Torgersen"/>
    <s v="Adult, 1 Egg Stage"/>
    <s v="N71A2"/>
    <s v="Yes"/>
    <x v="28"/>
    <n v="41.5"/>
    <n v="18.3"/>
    <n v="195"/>
    <x v="23"/>
    <x v="1"/>
    <n v="8.5256600000000002"/>
    <n v="-26.0245"/>
  </r>
  <r>
    <s v="PAL0910"/>
    <n v="129"/>
    <x v="0"/>
    <s v="Anvers"/>
    <s v="Torgersen"/>
    <s v="Adult, 1 Egg Stage"/>
    <s v="N72A1"/>
    <s v="Yes"/>
    <x v="25"/>
    <n v="39"/>
    <n v="17.100000000000001"/>
    <n v="191"/>
    <x v="31"/>
    <x v="0"/>
    <n v="9.1903100000000002"/>
    <n v="-25.737220000000001"/>
  </r>
  <r>
    <s v="PAL0910"/>
    <n v="130"/>
    <x v="0"/>
    <s v="Anvers"/>
    <s v="Torgersen"/>
    <s v="Adult, 1 Egg Stage"/>
    <s v="N72A2"/>
    <s v="Yes"/>
    <x v="25"/>
    <n v="44.1"/>
    <n v="18"/>
    <n v="210"/>
    <x v="34"/>
    <x v="1"/>
    <n v="9.1070200000000003"/>
    <n v="-26.013629999999999"/>
  </r>
  <r>
    <s v="PAL0910"/>
    <n v="131"/>
    <x v="0"/>
    <s v="Anvers"/>
    <s v="Torgersen"/>
    <s v="Adult, 1 Egg Stage"/>
    <s v="N73A1"/>
    <s v="No"/>
    <x v="29"/>
    <n v="38.5"/>
    <n v="17.899999999999999"/>
    <n v="190"/>
    <x v="8"/>
    <x v="0"/>
    <n v="8.9846000000000004"/>
    <n v="-25.579560000000001"/>
  </r>
  <r>
    <s v="PAL0910"/>
    <n v="132"/>
    <x v="0"/>
    <s v="Anvers"/>
    <s v="Torgersen"/>
    <s v="Adult, 1 Egg Stage"/>
    <s v="N73A2"/>
    <s v="No"/>
    <x v="29"/>
    <n v="43.1"/>
    <n v="19.2"/>
    <n v="197"/>
    <x v="22"/>
    <x v="1"/>
    <n v="8.8649500000000003"/>
    <n v="-26.139600000000002"/>
  </r>
  <r>
    <s v="PAL0910"/>
    <n v="133"/>
    <x v="0"/>
    <s v="Anvers"/>
    <s v="Dream"/>
    <s v="Adult, 1 Egg Stage"/>
    <s v="N76A1"/>
    <s v="Yes"/>
    <x v="30"/>
    <n v="36.799999999999997"/>
    <n v="18.5"/>
    <n v="193"/>
    <x v="22"/>
    <x v="0"/>
    <n v="8.98705"/>
    <n v="-25.57647"/>
  </r>
  <r>
    <s v="PAL0910"/>
    <n v="134"/>
    <x v="0"/>
    <s v="Anvers"/>
    <s v="Dream"/>
    <s v="Adult, 1 Egg Stage"/>
    <s v="N76A2"/>
    <s v="Yes"/>
    <x v="30"/>
    <n v="37.5"/>
    <n v="18.5"/>
    <n v="199"/>
    <x v="49"/>
    <x v="1"/>
    <n v="8.5670800000000007"/>
    <n v="-26.49288"/>
  </r>
  <r>
    <s v="PAL0910"/>
    <n v="135"/>
    <x v="0"/>
    <s v="Anvers"/>
    <s v="Dream"/>
    <s v="Adult, 1 Egg Stage"/>
    <s v="N77A1"/>
    <s v="Yes"/>
    <x v="31"/>
    <n v="38.1"/>
    <n v="17.600000000000001"/>
    <n v="187"/>
    <x v="50"/>
    <x v="0"/>
    <n v="8.7170000000000005"/>
    <n v="-25.779509999999998"/>
  </r>
  <r>
    <s v="PAL0910"/>
    <n v="136"/>
    <x v="0"/>
    <s v="Anvers"/>
    <s v="Dream"/>
    <s v="Adult, 1 Egg Stage"/>
    <s v="N77A2"/>
    <s v="Yes"/>
    <x v="31"/>
    <n v="41.1"/>
    <n v="17.5"/>
    <n v="190"/>
    <x v="16"/>
    <x v="1"/>
    <n v="8.9436499999999999"/>
    <n v="-26.069430000000001"/>
  </r>
  <r>
    <s v="PAL0910"/>
    <n v="137"/>
    <x v="0"/>
    <s v="Anvers"/>
    <s v="Dream"/>
    <s v="Adult, 1 Egg Stage"/>
    <s v="N78A1"/>
    <s v="Yes"/>
    <x v="27"/>
    <n v="35.6"/>
    <n v="17.5"/>
    <n v="191"/>
    <x v="41"/>
    <x v="0"/>
    <n v="8.7598400000000005"/>
    <n v="-25.976959999999998"/>
  </r>
  <r>
    <s v="PAL0910"/>
    <n v="138"/>
    <x v="0"/>
    <s v="Anvers"/>
    <s v="Dream"/>
    <s v="Adult, 1 Egg Stage"/>
    <s v="N78A2"/>
    <s v="Yes"/>
    <x v="27"/>
    <n v="40.200000000000003"/>
    <n v="20.100000000000001"/>
    <n v="200"/>
    <x v="51"/>
    <x v="1"/>
    <n v="8.9599799999999998"/>
    <n v="-26.32601"/>
  </r>
  <r>
    <s v="PAL0910"/>
    <n v="139"/>
    <x v="0"/>
    <s v="Anvers"/>
    <s v="Dream"/>
    <s v="Adult, 1 Egg Stage"/>
    <s v="N79A1"/>
    <s v="No"/>
    <x v="27"/>
    <n v="37"/>
    <n v="16.5"/>
    <n v="185"/>
    <x v="10"/>
    <x v="0"/>
    <n v="8.6165099999999999"/>
    <n v="-26.070209999999999"/>
  </r>
  <r>
    <s v="PAL0910"/>
    <n v="140"/>
    <x v="0"/>
    <s v="Anvers"/>
    <s v="Dream"/>
    <s v="Adult, 1 Egg Stage"/>
    <s v="N79A2"/>
    <s v="No"/>
    <x v="27"/>
    <n v="39.700000000000003"/>
    <n v="17.899999999999999"/>
    <n v="193"/>
    <x v="33"/>
    <x v="1"/>
    <n v="9.2576900000000002"/>
    <n v="-25.887979999999999"/>
  </r>
  <r>
    <s v="PAL0910"/>
    <n v="141"/>
    <x v="0"/>
    <s v="Anvers"/>
    <s v="Dream"/>
    <s v="Adult, 1 Egg Stage"/>
    <s v="N80A1"/>
    <s v="Yes"/>
    <x v="32"/>
    <n v="40.200000000000003"/>
    <n v="17.100000000000001"/>
    <n v="193"/>
    <x v="10"/>
    <x v="0"/>
    <n v="9.2881"/>
    <n v="-25.549759999999999"/>
  </r>
  <r>
    <s v="PAL0910"/>
    <n v="142"/>
    <x v="0"/>
    <s v="Anvers"/>
    <s v="Dream"/>
    <s v="Adult, 1 Egg Stage"/>
    <s v="N80A2"/>
    <s v="Yes"/>
    <x v="32"/>
    <n v="40.6"/>
    <n v="17.2"/>
    <n v="187"/>
    <x v="52"/>
    <x v="1"/>
    <n v="9.2340800000000005"/>
    <n v="-26.01549"/>
  </r>
  <r>
    <s v="PAL0910"/>
    <n v="143"/>
    <x v="0"/>
    <s v="Anvers"/>
    <s v="Dream"/>
    <s v="Adult, 1 Egg Stage"/>
    <s v="N81A1"/>
    <s v="Yes"/>
    <x v="27"/>
    <n v="32.1"/>
    <n v="15.5"/>
    <n v="188"/>
    <x v="31"/>
    <x v="0"/>
    <n v="8.7978699999999996"/>
    <n v="-26.610749999999999"/>
  </r>
  <r>
    <s v="PAL0910"/>
    <n v="144"/>
    <x v="0"/>
    <s v="Anvers"/>
    <s v="Dream"/>
    <s v="Adult, 1 Egg Stage"/>
    <s v="N81A2"/>
    <s v="Yes"/>
    <x v="27"/>
    <n v="40.700000000000003"/>
    <n v="17"/>
    <n v="190"/>
    <x v="37"/>
    <x v="1"/>
    <n v="9.0567399999999996"/>
    <n v="-25.795290000000001"/>
  </r>
  <r>
    <s v="PAL0910"/>
    <n v="145"/>
    <x v="0"/>
    <s v="Anvers"/>
    <s v="Dream"/>
    <s v="Adult, 1 Egg Stage"/>
    <s v="N82A1"/>
    <s v="Yes"/>
    <x v="27"/>
    <n v="37.299999999999997"/>
    <n v="16.8"/>
    <n v="192"/>
    <x v="20"/>
    <x v="0"/>
    <n v="9.0682899999999993"/>
    <n v="-25.852029999999999"/>
  </r>
  <r>
    <s v="PAL0910"/>
    <n v="146"/>
    <x v="0"/>
    <s v="Anvers"/>
    <s v="Dream"/>
    <s v="Adult, 1 Egg Stage"/>
    <s v="N82A2"/>
    <s v="Yes"/>
    <x v="27"/>
    <n v="39"/>
    <n v="18.7"/>
    <n v="185"/>
    <x v="3"/>
    <x v="1"/>
    <n v="9.2203300000000006"/>
    <n v="-26.034420000000001"/>
  </r>
  <r>
    <s v="PAL0910"/>
    <n v="147"/>
    <x v="0"/>
    <s v="Anvers"/>
    <s v="Dream"/>
    <s v="Adult, 1 Egg Stage"/>
    <s v="N83A1"/>
    <s v="Yes"/>
    <x v="31"/>
    <n v="39.200000000000003"/>
    <n v="18.600000000000001"/>
    <n v="190"/>
    <x v="33"/>
    <x v="1"/>
    <n v="9.1100600000000007"/>
    <n v="-25.795490000000001"/>
  </r>
  <r>
    <s v="PAL0910"/>
    <n v="148"/>
    <x v="0"/>
    <s v="Anvers"/>
    <s v="Dream"/>
    <s v="Adult, 1 Egg Stage"/>
    <s v="N83A2"/>
    <s v="Yes"/>
    <x v="31"/>
    <n v="36.6"/>
    <n v="18.399999999999999"/>
    <n v="184"/>
    <x v="52"/>
    <x v="0"/>
    <n v="8.6874400000000005"/>
    <n v="-25.8306"/>
  </r>
  <r>
    <s v="PAL0910"/>
    <n v="149"/>
    <x v="0"/>
    <s v="Anvers"/>
    <s v="Dream"/>
    <s v="Adult, 1 Egg Stage"/>
    <s v="N84A1"/>
    <s v="Yes"/>
    <x v="24"/>
    <n v="36"/>
    <n v="17.8"/>
    <n v="195"/>
    <x v="2"/>
    <x v="0"/>
    <n v="8.9433199999999999"/>
    <n v="-25.791889999999999"/>
  </r>
  <r>
    <s v="PAL0910"/>
    <n v="150"/>
    <x v="0"/>
    <s v="Anvers"/>
    <s v="Dream"/>
    <s v="Adult, 1 Egg Stage"/>
    <s v="N84A2"/>
    <s v="Yes"/>
    <x v="24"/>
    <n v="37.799999999999997"/>
    <n v="18.100000000000001"/>
    <n v="193"/>
    <x v="28"/>
    <x v="1"/>
    <n v="8.9753299999999996"/>
    <n v="-26.034949999999998"/>
  </r>
  <r>
    <s v="PAL0910"/>
    <n v="151"/>
    <x v="0"/>
    <s v="Anvers"/>
    <s v="Dream"/>
    <s v="Adult, 1 Egg Stage"/>
    <s v="N85A1"/>
    <s v="Yes"/>
    <x v="24"/>
    <n v="36"/>
    <n v="17.100000000000001"/>
    <n v="187"/>
    <x v="26"/>
    <x v="0"/>
    <n v="8.9346499999999995"/>
    <n v="-26.070810000000002"/>
  </r>
  <r>
    <s v="PAL0910"/>
    <n v="152"/>
    <x v="0"/>
    <s v="Anvers"/>
    <s v="Dream"/>
    <s v="Adult, 1 Egg Stage"/>
    <s v="N85A2"/>
    <s v="Yes"/>
    <x v="24"/>
    <n v="41.5"/>
    <n v="18.5"/>
    <n v="201"/>
    <x v="34"/>
    <x v="1"/>
    <n v="8.8963999999999999"/>
    <n v="-26.069669999999999"/>
  </r>
  <r>
    <s v="PAL0708"/>
    <n v="1"/>
    <x v="1"/>
    <s v="Anvers"/>
    <s v="Dream"/>
    <s v="Adult, 1 Egg Stage"/>
    <s v="N61A1"/>
    <s v="No"/>
    <x v="7"/>
    <n v="46.5"/>
    <n v="17.899999999999999"/>
    <n v="192"/>
    <x v="22"/>
    <x v="0"/>
    <n v="9.0393500000000007"/>
    <n v="-24.302289999999999"/>
  </r>
  <r>
    <s v="PAL0708"/>
    <n v="2"/>
    <x v="1"/>
    <s v="Anvers"/>
    <s v="Dream"/>
    <s v="Adult, 1 Egg Stage"/>
    <s v="N61A2"/>
    <s v="No"/>
    <x v="7"/>
    <n v="50"/>
    <n v="19.5"/>
    <n v="196"/>
    <x v="16"/>
    <x v="1"/>
    <n v="8.9206900000000005"/>
    <n v="-24.23592"/>
  </r>
  <r>
    <s v="PAL0708"/>
    <n v="3"/>
    <x v="1"/>
    <s v="Anvers"/>
    <s v="Dream"/>
    <s v="Adult, 1 Egg Stage"/>
    <s v="N62A1"/>
    <s v="Yes"/>
    <x v="33"/>
    <n v="51.3"/>
    <n v="19.2"/>
    <n v="193"/>
    <x v="3"/>
    <x v="1"/>
    <n v="9.2907799999999998"/>
    <n v="-24.755700000000001"/>
  </r>
  <r>
    <s v="PAL0708"/>
    <n v="4"/>
    <x v="1"/>
    <s v="Anvers"/>
    <s v="Dream"/>
    <s v="Adult, 1 Egg Stage"/>
    <s v="N62A2"/>
    <s v="Yes"/>
    <x v="33"/>
    <n v="45.4"/>
    <n v="18.7"/>
    <n v="188"/>
    <x v="53"/>
    <x v="0"/>
    <n v="8.6470099999999999"/>
    <n v="-24.62717"/>
  </r>
  <r>
    <s v="PAL0708"/>
    <n v="5"/>
    <x v="1"/>
    <s v="Anvers"/>
    <s v="Dream"/>
    <s v="Adult, 1 Egg Stage"/>
    <s v="N64A1"/>
    <s v="Yes"/>
    <x v="34"/>
    <n v="52.7"/>
    <n v="19.8"/>
    <n v="197"/>
    <x v="37"/>
    <x v="1"/>
    <n v="9.0064200000000003"/>
    <n v="-24.618670000000002"/>
  </r>
  <r>
    <s v="PAL0708"/>
    <n v="6"/>
    <x v="1"/>
    <s v="Anvers"/>
    <s v="Dream"/>
    <s v="Adult, 1 Egg Stage"/>
    <s v="N64A2"/>
    <s v="Yes"/>
    <x v="34"/>
    <n v="45.2"/>
    <n v="17.8"/>
    <n v="198"/>
    <x v="12"/>
    <x v="0"/>
    <n v="8.8894199999999994"/>
    <n v="-24.494330000000001"/>
  </r>
  <r>
    <s v="PAL0708"/>
    <n v="7"/>
    <x v="1"/>
    <s v="Anvers"/>
    <s v="Dream"/>
    <s v="Adult, 1 Egg Stage"/>
    <s v="N66A1"/>
    <s v="Yes"/>
    <x v="35"/>
    <n v="46.1"/>
    <n v="18.2"/>
    <n v="178"/>
    <x v="1"/>
    <x v="0"/>
    <n v="8.8566400000000005"/>
    <n v="-24.556439999999998"/>
  </r>
  <r>
    <s v="PAL0708"/>
    <n v="8"/>
    <x v="1"/>
    <s v="Anvers"/>
    <s v="Dream"/>
    <s v="Adult, 1 Egg Stage"/>
    <s v="N66A2"/>
    <s v="Yes"/>
    <x v="35"/>
    <n v="51.3"/>
    <n v="18.2"/>
    <n v="197"/>
    <x v="28"/>
    <x v="1"/>
    <n v="8.6370100000000001"/>
    <n v="-24.840589999999999"/>
  </r>
  <r>
    <s v="PAL0708"/>
    <n v="9"/>
    <x v="1"/>
    <s v="Anvers"/>
    <s v="Dream"/>
    <s v="Adult, 1 Egg Stage"/>
    <s v="N67A1"/>
    <s v="Yes"/>
    <x v="34"/>
    <n v="46"/>
    <n v="18.899999999999999"/>
    <n v="195"/>
    <x v="18"/>
    <x v="0"/>
    <n v="8.4717300000000009"/>
    <n v="-24.292290000000001"/>
  </r>
  <r>
    <s v="PAL0708"/>
    <n v="10"/>
    <x v="1"/>
    <s v="Anvers"/>
    <s v="Dream"/>
    <s v="Adult, 1 Egg Stage"/>
    <s v="N67A2"/>
    <s v="Yes"/>
    <x v="34"/>
    <n v="51.3"/>
    <n v="19.899999999999999"/>
    <n v="198"/>
    <x v="26"/>
    <x v="1"/>
    <n v="8.7958099999999995"/>
    <n v="-24.360880000000002"/>
  </r>
  <r>
    <s v="PAL0708"/>
    <n v="11"/>
    <x v="1"/>
    <s v="Anvers"/>
    <s v="Dream"/>
    <s v="Adult, 1 Egg Stage"/>
    <s v="N68A1"/>
    <s v="Yes"/>
    <x v="35"/>
    <n v="46.6"/>
    <n v="17.8"/>
    <n v="193"/>
    <x v="0"/>
    <x v="0"/>
    <n v="8.9506300000000003"/>
    <n v="-24.598970000000001"/>
  </r>
  <r>
    <s v="PAL0708"/>
    <n v="12"/>
    <x v="1"/>
    <s v="Anvers"/>
    <s v="Dream"/>
    <s v="Adult, 1 Egg Stage"/>
    <s v="N68A2"/>
    <s v="Yes"/>
    <x v="35"/>
    <n v="51.7"/>
    <n v="20.3"/>
    <n v="194"/>
    <x v="46"/>
    <x v="1"/>
    <n v="8.6874699999999994"/>
    <n v="-24.387509999999999"/>
  </r>
  <r>
    <s v="PAL0708"/>
    <n v="13"/>
    <x v="1"/>
    <s v="Anvers"/>
    <s v="Dream"/>
    <s v="Adult, 1 Egg Stage"/>
    <s v="N69A1"/>
    <s v="Yes"/>
    <x v="33"/>
    <n v="47"/>
    <n v="17.3"/>
    <n v="185"/>
    <x v="26"/>
    <x v="0"/>
    <n v="8.7203700000000008"/>
    <n v="-24.805260000000001"/>
  </r>
  <r>
    <s v="PAL0708"/>
    <n v="14"/>
    <x v="1"/>
    <s v="Anvers"/>
    <s v="Dream"/>
    <s v="Adult, 1 Egg Stage"/>
    <s v="N69A2"/>
    <s v="Yes"/>
    <x v="33"/>
    <n v="52"/>
    <n v="18.100000000000001"/>
    <n v="201"/>
    <x v="24"/>
    <x v="1"/>
    <n v="9.0233000000000008"/>
    <n v="-24.389330000000001"/>
  </r>
  <r>
    <s v="PAL0708"/>
    <n v="15"/>
    <x v="1"/>
    <s v="Anvers"/>
    <s v="Dream"/>
    <s v="Adult, 1 Egg Stage"/>
    <s v="N70A1"/>
    <s v="Yes"/>
    <x v="36"/>
    <n v="45.9"/>
    <n v="17.100000000000001"/>
    <n v="190"/>
    <x v="54"/>
    <x v="0"/>
    <n v="9.1227699999999992"/>
    <n v="-24.90024"/>
  </r>
  <r>
    <s v="PAL0708"/>
    <n v="16"/>
    <x v="1"/>
    <s v="Anvers"/>
    <s v="Dream"/>
    <s v="Adult, 1 Egg Stage"/>
    <s v="N70A2"/>
    <s v="Yes"/>
    <x v="36"/>
    <n v="50.5"/>
    <n v="19.600000000000001"/>
    <n v="201"/>
    <x v="24"/>
    <x v="1"/>
    <n v="9.8058999999999994"/>
    <n v="-24.729399999999998"/>
  </r>
  <r>
    <s v="PAL0708"/>
    <n v="17"/>
    <x v="1"/>
    <s v="Anvers"/>
    <s v="Dream"/>
    <s v="Adult, 1 Egg Stage"/>
    <s v="N71A1"/>
    <s v="No"/>
    <x v="37"/>
    <n v="50.3"/>
    <n v="20"/>
    <n v="197"/>
    <x v="17"/>
    <x v="1"/>
    <n v="10.020189999999999"/>
    <n v="-24.547039999999999"/>
  </r>
  <r>
    <s v="PAL0708"/>
    <n v="18"/>
    <x v="1"/>
    <s v="Anvers"/>
    <s v="Dream"/>
    <s v="Adult, 1 Egg Stage"/>
    <s v="N71A2"/>
    <s v="No"/>
    <x v="37"/>
    <n v="58"/>
    <n v="17.8"/>
    <n v="181"/>
    <x v="26"/>
    <x v="0"/>
    <n v="9.1438199999999998"/>
    <n v="-24.579940000000001"/>
  </r>
  <r>
    <s v="PAL0708"/>
    <n v="19"/>
    <x v="1"/>
    <s v="Anvers"/>
    <s v="Dream"/>
    <s v="Adult, 1 Egg Stage"/>
    <s v="N72A1"/>
    <s v="Yes"/>
    <x v="37"/>
    <n v="46.4"/>
    <n v="18.600000000000001"/>
    <n v="190"/>
    <x v="2"/>
    <x v="0"/>
    <n v="9.3210499999999996"/>
    <n v="-24.64162"/>
  </r>
  <r>
    <s v="PAL0708"/>
    <n v="20"/>
    <x v="1"/>
    <s v="Anvers"/>
    <s v="Dream"/>
    <s v="Adult, 1 Egg Stage"/>
    <s v="N72A2"/>
    <s v="Yes"/>
    <x v="37"/>
    <n v="49.2"/>
    <n v="18.2"/>
    <n v="195"/>
    <x v="6"/>
    <x v="1"/>
    <n v="9.2715800000000002"/>
    <n v="-24.643350000000002"/>
  </r>
  <r>
    <s v="PAL0708"/>
    <n v="21"/>
    <x v="1"/>
    <s v="Anvers"/>
    <s v="Dream"/>
    <s v="Adult, 1 Egg Stage"/>
    <s v="N73A1"/>
    <s v="Yes"/>
    <x v="38"/>
    <n v="42.4"/>
    <n v="17.3"/>
    <n v="181"/>
    <x v="11"/>
    <x v="0"/>
    <n v="9.3513800000000007"/>
    <n v="-24.687899999999999"/>
  </r>
  <r>
    <s v="PAL0708"/>
    <n v="22"/>
    <x v="1"/>
    <s v="Anvers"/>
    <s v="Dream"/>
    <s v="Adult, 1 Egg Stage"/>
    <s v="N73A2"/>
    <s v="Yes"/>
    <x v="38"/>
    <n v="48.5"/>
    <n v="17.5"/>
    <n v="191"/>
    <x v="10"/>
    <x v="1"/>
    <n v="9.42666"/>
    <n v="-24.263750000000002"/>
  </r>
  <r>
    <s v="PAL0708"/>
    <n v="23"/>
    <x v="1"/>
    <s v="Anvers"/>
    <s v="Dream"/>
    <s v="Adult, 1 Egg Stage"/>
    <s v="N85A1"/>
    <s v="No"/>
    <x v="35"/>
    <n v="43.2"/>
    <n v="16.600000000000001"/>
    <n v="187"/>
    <x v="25"/>
    <x v="0"/>
    <n v="9.3541600000000003"/>
    <n v="-25.011849999999999"/>
  </r>
  <r>
    <s v="PAL0708"/>
    <n v="24"/>
    <x v="1"/>
    <s v="Anvers"/>
    <s v="Dream"/>
    <s v="Adult, 1 Egg Stage"/>
    <s v="N85A2"/>
    <s v="No"/>
    <x v="35"/>
    <n v="50.6"/>
    <n v="19.399999999999999"/>
    <n v="193"/>
    <x v="0"/>
    <x v="1"/>
    <n v="9.2815300000000001"/>
    <n v="-24.971340000000001"/>
  </r>
  <r>
    <s v="PAL0708"/>
    <n v="25"/>
    <x v="1"/>
    <s v="Anvers"/>
    <s v="Dream"/>
    <s v="Adult, 1 Egg Stage"/>
    <s v="N89A1"/>
    <s v="No"/>
    <x v="35"/>
    <n v="46.7"/>
    <n v="17.899999999999999"/>
    <n v="195"/>
    <x v="17"/>
    <x v="0"/>
    <n v="9.7414400000000008"/>
    <n v="-24.594670000000001"/>
  </r>
  <r>
    <s v="PAL0708"/>
    <n v="26"/>
    <x v="1"/>
    <s v="Anvers"/>
    <s v="Dream"/>
    <s v="Adult, 1 Egg Stage"/>
    <s v="N89A2"/>
    <s v="No"/>
    <x v="35"/>
    <n v="52"/>
    <n v="19"/>
    <n v="197"/>
    <x v="18"/>
    <x v="1"/>
    <n v="9.3679900000000007"/>
    <n v="-24.471419999999998"/>
  </r>
  <r>
    <s v="PAL0809"/>
    <n v="27"/>
    <x v="1"/>
    <s v="Anvers"/>
    <s v="Dream"/>
    <s v="Adult, 1 Egg Stage"/>
    <s v="N61A1"/>
    <s v="No"/>
    <x v="39"/>
    <n v="50.5"/>
    <n v="18.399999999999999"/>
    <n v="200"/>
    <x v="10"/>
    <x v="0"/>
    <n v="8.9398999999999997"/>
    <n v="-23.890170000000001"/>
  </r>
  <r>
    <s v="PAL0809"/>
    <n v="28"/>
    <x v="1"/>
    <s v="Anvers"/>
    <s v="Dream"/>
    <s v="Adult, 1 Egg Stage"/>
    <s v="N61A2"/>
    <s v="No"/>
    <x v="39"/>
    <n v="49.5"/>
    <n v="19"/>
    <n v="200"/>
    <x v="0"/>
    <x v="1"/>
    <n v="9.6307399999999994"/>
    <n v="-24.34684"/>
  </r>
  <r>
    <s v="PAL0809"/>
    <n v="29"/>
    <x v="1"/>
    <s v="Anvers"/>
    <s v="Dream"/>
    <s v="Adult, 1 Egg Stage"/>
    <s v="N62A1"/>
    <s v="Yes"/>
    <x v="13"/>
    <n v="46.4"/>
    <n v="17.8"/>
    <n v="191"/>
    <x v="26"/>
    <x v="0"/>
    <n v="9.3736899999999999"/>
    <n v="-24.528960000000001"/>
  </r>
  <r>
    <s v="PAL0809"/>
    <n v="30"/>
    <x v="1"/>
    <s v="Anvers"/>
    <s v="Dream"/>
    <s v="Adult, 1 Egg Stage"/>
    <s v="N62A2"/>
    <s v="Yes"/>
    <x v="13"/>
    <n v="52.8"/>
    <n v="20"/>
    <n v="205"/>
    <x v="55"/>
    <x v="1"/>
    <n v="9.2517700000000005"/>
    <n v="-24.696380000000001"/>
  </r>
  <r>
    <s v="PAL0809"/>
    <n v="31"/>
    <x v="1"/>
    <s v="Anvers"/>
    <s v="Dream"/>
    <s v="Adult, 1 Egg Stage"/>
    <s v="N63A1"/>
    <s v="Yes"/>
    <x v="40"/>
    <n v="40.9"/>
    <n v="16.600000000000001"/>
    <n v="187"/>
    <x v="14"/>
    <x v="0"/>
    <n v="9.0845800000000008"/>
    <n v="-24.549029999999998"/>
  </r>
  <r>
    <s v="PAL0809"/>
    <n v="32"/>
    <x v="1"/>
    <s v="Anvers"/>
    <s v="Dream"/>
    <s v="Adult, 1 Egg Stage"/>
    <s v="N63A2"/>
    <s v="Yes"/>
    <x v="40"/>
    <n v="54.2"/>
    <n v="20.8"/>
    <n v="201"/>
    <x v="23"/>
    <x v="1"/>
    <n v="9.4928299999999997"/>
    <n v="-24.599959999999999"/>
  </r>
  <r>
    <s v="PAL0809"/>
    <n v="33"/>
    <x v="1"/>
    <s v="Anvers"/>
    <s v="Dream"/>
    <s v="Adult, 1 Egg Stage"/>
    <s v="N65A1"/>
    <s v="Yes"/>
    <x v="40"/>
    <n v="42.5"/>
    <n v="16.7"/>
    <n v="187"/>
    <x v="29"/>
    <x v="0"/>
    <n v="9.3666800000000006"/>
    <n v="-24.45195"/>
  </r>
  <r>
    <s v="PAL0809"/>
    <n v="34"/>
    <x v="1"/>
    <s v="Anvers"/>
    <s v="Dream"/>
    <s v="Adult, 1 Egg Stage"/>
    <s v="N65A2"/>
    <s v="Yes"/>
    <x v="40"/>
    <n v="51"/>
    <n v="18.8"/>
    <n v="203"/>
    <x v="30"/>
    <x v="1"/>
    <n v="9.2319600000000008"/>
    <n v="-24.172820000000002"/>
  </r>
  <r>
    <s v="PAL0809"/>
    <n v="35"/>
    <x v="1"/>
    <s v="Anvers"/>
    <s v="Dream"/>
    <s v="Adult, 1 Egg Stage"/>
    <s v="N67A1"/>
    <s v="Yes"/>
    <x v="39"/>
    <n v="49.7"/>
    <n v="18.600000000000001"/>
    <n v="195"/>
    <x v="11"/>
    <x v="1"/>
    <n v="9.7548600000000008"/>
    <n v="-24.311979999999998"/>
  </r>
  <r>
    <s v="PAL0809"/>
    <n v="36"/>
    <x v="1"/>
    <s v="Anvers"/>
    <s v="Dream"/>
    <s v="Adult, 1 Egg Stage"/>
    <s v="N67A2"/>
    <s v="Yes"/>
    <x v="39"/>
    <n v="47.5"/>
    <n v="16.8"/>
    <n v="199"/>
    <x v="16"/>
    <x v="0"/>
    <n v="9.0782500000000006"/>
    <n v="-25.145499999999998"/>
  </r>
  <r>
    <s v="PAL0809"/>
    <n v="37"/>
    <x v="1"/>
    <s v="Anvers"/>
    <s v="Dream"/>
    <s v="Adult, 1 Egg Stage"/>
    <s v="N69A1"/>
    <s v="Yes"/>
    <x v="13"/>
    <n v="47.6"/>
    <n v="18.3"/>
    <n v="195"/>
    <x v="56"/>
    <x v="0"/>
    <n v="8.8350200000000001"/>
    <n v="-24.65859"/>
  </r>
  <r>
    <s v="PAL0809"/>
    <n v="38"/>
    <x v="1"/>
    <s v="Anvers"/>
    <s v="Dream"/>
    <s v="Adult, 1 Egg Stage"/>
    <s v="N69A2"/>
    <s v="Yes"/>
    <x v="13"/>
    <n v="52"/>
    <n v="20.7"/>
    <n v="210"/>
    <x v="57"/>
    <x v="1"/>
    <n v="9.4314599999999995"/>
    <n v="-24.6844"/>
  </r>
  <r>
    <s v="PAL0809"/>
    <n v="39"/>
    <x v="1"/>
    <s v="Anvers"/>
    <s v="Dream"/>
    <s v="Adult, 1 Egg Stage"/>
    <s v="N72A1"/>
    <s v="No"/>
    <x v="40"/>
    <n v="46.9"/>
    <n v="16.600000000000001"/>
    <n v="192"/>
    <x v="58"/>
    <x v="0"/>
    <n v="9.8058899999999998"/>
    <n v="-24.737349999999999"/>
  </r>
  <r>
    <s v="PAL0809"/>
    <n v="40"/>
    <x v="1"/>
    <s v="Anvers"/>
    <s v="Dream"/>
    <s v="Adult, 1 Egg Stage"/>
    <s v="N72A2"/>
    <s v="No"/>
    <x v="40"/>
    <n v="53.5"/>
    <n v="19.899999999999999"/>
    <n v="205"/>
    <x v="7"/>
    <x v="1"/>
    <n v="10.02544"/>
    <n v="-24.908159999999999"/>
  </r>
  <r>
    <s v="PAL0809"/>
    <n v="41"/>
    <x v="1"/>
    <s v="Anvers"/>
    <s v="Dream"/>
    <s v="Adult, 1 Egg Stage"/>
    <s v="N74A1"/>
    <s v="Yes"/>
    <x v="40"/>
    <n v="49"/>
    <n v="19.5"/>
    <n v="210"/>
    <x v="12"/>
    <x v="1"/>
    <n v="9.5326199999999996"/>
    <n v="-24.668669999999999"/>
  </r>
  <r>
    <s v="PAL0809"/>
    <n v="42"/>
    <x v="1"/>
    <s v="Anvers"/>
    <s v="Dream"/>
    <s v="Adult, 1 Egg Stage"/>
    <s v="N74A2"/>
    <s v="Yes"/>
    <x v="40"/>
    <n v="46.2"/>
    <n v="17.5"/>
    <n v="187"/>
    <x v="3"/>
    <x v="0"/>
    <n v="9.6173400000000004"/>
    <n v="-24.66188"/>
  </r>
  <r>
    <s v="PAL0809"/>
    <n v="43"/>
    <x v="1"/>
    <s v="Anvers"/>
    <s v="Dream"/>
    <s v="Adult, 1 Egg Stage"/>
    <s v="N75A1"/>
    <s v="Yes"/>
    <x v="13"/>
    <n v="50.9"/>
    <n v="19.100000000000001"/>
    <n v="196"/>
    <x v="13"/>
    <x v="1"/>
    <n v="10.023720000000001"/>
    <n v="-24.865939999999998"/>
  </r>
  <r>
    <s v="PAL0809"/>
    <n v="44"/>
    <x v="1"/>
    <s v="Anvers"/>
    <s v="Dream"/>
    <s v="Adult, 1 Egg Stage"/>
    <s v="N75A2"/>
    <s v="Yes"/>
    <x v="13"/>
    <n v="45.5"/>
    <n v="17"/>
    <n v="196"/>
    <x v="22"/>
    <x v="0"/>
    <n v="9.3649299999999993"/>
    <n v="-24.662590000000002"/>
  </r>
  <r>
    <s v="PAL0910"/>
    <n v="45"/>
    <x v="1"/>
    <s v="Anvers"/>
    <s v="Dream"/>
    <s v="Adult, 1 Egg Stage"/>
    <s v="N86A1"/>
    <s v="Yes"/>
    <x v="24"/>
    <n v="50.9"/>
    <n v="17.899999999999999"/>
    <n v="196"/>
    <x v="59"/>
    <x v="0"/>
    <n v="9.4368400000000001"/>
    <n v="-24.165659999999999"/>
  </r>
  <r>
    <s v="PAL0910"/>
    <n v="46"/>
    <x v="1"/>
    <s v="Anvers"/>
    <s v="Dream"/>
    <s v="Adult, 1 Egg Stage"/>
    <s v="N86A2"/>
    <s v="Yes"/>
    <x v="24"/>
    <n v="50.8"/>
    <n v="18.5"/>
    <n v="201"/>
    <x v="32"/>
    <x v="1"/>
    <n v="9.4582700000000006"/>
    <n v="-24.35575"/>
  </r>
  <r>
    <s v="PAL0910"/>
    <n v="47"/>
    <x v="1"/>
    <s v="Anvers"/>
    <s v="Dream"/>
    <s v="Adult, 1 Egg Stage"/>
    <s v="N87A1"/>
    <s v="Yes"/>
    <x v="41"/>
    <n v="50.1"/>
    <n v="17.899999999999999"/>
    <n v="190"/>
    <x v="10"/>
    <x v="0"/>
    <n v="9.4681899999999999"/>
    <n v="-24.45721"/>
  </r>
  <r>
    <s v="PAL0910"/>
    <n v="48"/>
    <x v="1"/>
    <s v="Anvers"/>
    <s v="Dream"/>
    <s v="Adult, 1 Egg Stage"/>
    <s v="N87A2"/>
    <s v="Yes"/>
    <x v="41"/>
    <n v="49"/>
    <n v="19.600000000000001"/>
    <n v="212"/>
    <x v="23"/>
    <x v="1"/>
    <n v="9.3408899999999999"/>
    <n v="-24.451889999999999"/>
  </r>
  <r>
    <s v="PAL0910"/>
    <n v="49"/>
    <x v="1"/>
    <s v="Anvers"/>
    <s v="Dream"/>
    <s v="Adult, 1 Egg Stage"/>
    <s v="N88A1"/>
    <s v="Yes"/>
    <x v="29"/>
    <n v="51.5"/>
    <n v="18.7"/>
    <n v="187"/>
    <x v="1"/>
    <x v="1"/>
    <n v="9.6895000000000007"/>
    <n v="-24.430620000000001"/>
  </r>
  <r>
    <s v="PAL0910"/>
    <n v="50"/>
    <x v="1"/>
    <s v="Anvers"/>
    <s v="Dream"/>
    <s v="Adult, 1 Egg Stage"/>
    <s v="N88A2"/>
    <s v="Yes"/>
    <x v="29"/>
    <n v="49.8"/>
    <n v="17.3"/>
    <n v="198"/>
    <x v="59"/>
    <x v="0"/>
    <n v="9.3216900000000003"/>
    <n v="-24.415620000000001"/>
  </r>
  <r>
    <s v="PAL0910"/>
    <n v="51"/>
    <x v="1"/>
    <s v="Anvers"/>
    <s v="Dream"/>
    <s v="Adult, 1 Egg Stage"/>
    <s v="N90A1"/>
    <s v="Yes"/>
    <x v="28"/>
    <n v="48.1"/>
    <n v="16.399999999999999"/>
    <n v="199"/>
    <x v="8"/>
    <x v="0"/>
    <n v="9.4692900000000009"/>
    <n v="-24.484030000000001"/>
  </r>
  <r>
    <s v="PAL0910"/>
    <n v="52"/>
    <x v="1"/>
    <s v="Anvers"/>
    <s v="Dream"/>
    <s v="Adult, 1 Egg Stage"/>
    <s v="N90A2"/>
    <s v="Yes"/>
    <x v="28"/>
    <n v="51.4"/>
    <n v="19"/>
    <n v="201"/>
    <x v="12"/>
    <x v="1"/>
    <n v="9.4378200000000003"/>
    <n v="-24.362020000000001"/>
  </r>
  <r>
    <s v="PAL0910"/>
    <n v="53"/>
    <x v="1"/>
    <s v="Anvers"/>
    <s v="Dream"/>
    <s v="Adult, 1 Egg Stage"/>
    <s v="N92A1"/>
    <s v="Yes"/>
    <x v="29"/>
    <n v="45.7"/>
    <n v="17.3"/>
    <n v="193"/>
    <x v="11"/>
    <x v="0"/>
    <n v="9.4149999999999991"/>
    <n v="-24.805"/>
  </r>
  <r>
    <s v="PAL0910"/>
    <n v="54"/>
    <x v="1"/>
    <s v="Anvers"/>
    <s v="Dream"/>
    <s v="Adult, 1 Egg Stage"/>
    <s v="N92A2"/>
    <s v="Yes"/>
    <x v="29"/>
    <n v="50.7"/>
    <n v="19.7"/>
    <n v="203"/>
    <x v="24"/>
    <x v="1"/>
    <n v="9.9372699999999998"/>
    <n v="-24.59066"/>
  </r>
  <r>
    <s v="PAL0910"/>
    <n v="55"/>
    <x v="1"/>
    <s v="Anvers"/>
    <s v="Dream"/>
    <s v="Adult, 1 Egg Stage"/>
    <s v="N93A1"/>
    <s v="Yes"/>
    <x v="41"/>
    <n v="42.5"/>
    <n v="17.3"/>
    <n v="187"/>
    <x v="29"/>
    <x v="0"/>
    <n v="9.5653400000000008"/>
    <n v="-24.608820000000001"/>
  </r>
  <r>
    <s v="PAL0910"/>
    <n v="56"/>
    <x v="1"/>
    <s v="Anvers"/>
    <s v="Dream"/>
    <s v="Adult, 1 Egg Stage"/>
    <s v="N93A2"/>
    <s v="Yes"/>
    <x v="41"/>
    <n v="52.2"/>
    <n v="18.8"/>
    <n v="197"/>
    <x v="2"/>
    <x v="1"/>
    <n v="9.7752800000000004"/>
    <n v="-24.564810000000001"/>
  </r>
  <r>
    <s v="PAL0910"/>
    <n v="57"/>
    <x v="1"/>
    <s v="Anvers"/>
    <s v="Dream"/>
    <s v="Adult, 1 Egg Stage"/>
    <s v="N94A1"/>
    <s v="Yes"/>
    <x v="28"/>
    <n v="45.2"/>
    <n v="16.600000000000001"/>
    <n v="191"/>
    <x v="1"/>
    <x v="0"/>
    <n v="9.6235700000000008"/>
    <n v="-24.789840000000002"/>
  </r>
  <r>
    <s v="PAL0910"/>
    <n v="58"/>
    <x v="1"/>
    <s v="Anvers"/>
    <s v="Dream"/>
    <s v="Adult, 1 Egg Stage"/>
    <s v="N94A2"/>
    <s v="Yes"/>
    <x v="28"/>
    <n v="49.3"/>
    <n v="19.899999999999999"/>
    <n v="203"/>
    <x v="24"/>
    <x v="1"/>
    <n v="9.88809"/>
    <n v="-24.595130000000001"/>
  </r>
  <r>
    <s v="PAL0910"/>
    <n v="59"/>
    <x v="1"/>
    <s v="Anvers"/>
    <s v="Dream"/>
    <s v="Adult, 1 Egg Stage"/>
    <s v="N95A1"/>
    <s v="Yes"/>
    <x v="28"/>
    <n v="50.2"/>
    <n v="18.8"/>
    <n v="202"/>
    <x v="0"/>
    <x v="1"/>
    <n v="9.7449200000000005"/>
    <n v="-24.404"/>
  </r>
  <r>
    <s v="PAL0910"/>
    <n v="60"/>
    <x v="1"/>
    <s v="Anvers"/>
    <s v="Dream"/>
    <s v="Adult, 1 Egg Stage"/>
    <s v="N95A2"/>
    <s v="Yes"/>
    <x v="28"/>
    <n v="45.6"/>
    <n v="19.399999999999999"/>
    <n v="194"/>
    <x v="53"/>
    <x v="0"/>
    <n v="9.4698499999999992"/>
    <n v="-24.657859999999999"/>
  </r>
  <r>
    <s v="PAL0910"/>
    <n v="62"/>
    <x v="1"/>
    <s v="Anvers"/>
    <s v="Dream"/>
    <s v="Adult, 1 Egg Stage"/>
    <s v="N96A2"/>
    <s v="Yes"/>
    <x v="41"/>
    <n v="46.8"/>
    <n v="16.5"/>
    <n v="189"/>
    <x v="3"/>
    <x v="0"/>
    <n v="9.6506100000000004"/>
    <n v="-24.481529999999999"/>
  </r>
  <r>
    <s v="PAL0910"/>
    <n v="63"/>
    <x v="1"/>
    <s v="Anvers"/>
    <s v="Dream"/>
    <s v="Adult, 1 Egg Stage"/>
    <s v="N98A1"/>
    <s v="Yes"/>
    <x v="42"/>
    <n v="45.7"/>
    <n v="17"/>
    <n v="195"/>
    <x v="3"/>
    <x v="0"/>
    <n v="9.2671500000000009"/>
    <n v="-24.319120000000002"/>
  </r>
  <r>
    <s v="PAL0910"/>
    <n v="64"/>
    <x v="1"/>
    <s v="Anvers"/>
    <s v="Dream"/>
    <s v="Adult, 1 Egg Stage"/>
    <s v="N98A2"/>
    <s v="Yes"/>
    <x v="42"/>
    <n v="55.8"/>
    <n v="19.8"/>
    <n v="207"/>
    <x v="34"/>
    <x v="1"/>
    <n v="9.7046500000000009"/>
    <n v="-24.534939999999999"/>
  </r>
  <r>
    <s v="PAL0910"/>
    <n v="65"/>
    <x v="1"/>
    <s v="Anvers"/>
    <s v="Dream"/>
    <s v="Adult, 1 Egg Stage"/>
    <s v="N99A1"/>
    <s v="No"/>
    <x v="28"/>
    <n v="43.5"/>
    <n v="18.100000000000001"/>
    <n v="202"/>
    <x v="10"/>
    <x v="0"/>
    <n v="9.37608"/>
    <n v="-24.407530000000001"/>
  </r>
  <r>
    <s v="PAL0910"/>
    <n v="66"/>
    <x v="1"/>
    <s v="Anvers"/>
    <s v="Dream"/>
    <s v="Adult, 1 Egg Stage"/>
    <s v="N99A2"/>
    <s v="No"/>
    <x v="28"/>
    <n v="49.6"/>
    <n v="18.2"/>
    <n v="193"/>
    <x v="46"/>
    <x v="1"/>
    <n v="9.4618000000000002"/>
    <n v="-24.706150000000001"/>
  </r>
  <r>
    <s v="PAL0910"/>
    <n v="67"/>
    <x v="1"/>
    <s v="Anvers"/>
    <s v="Dream"/>
    <s v="Adult, 1 Egg Stage"/>
    <s v="N100A1"/>
    <s v="Yes"/>
    <x v="28"/>
    <n v="50.8"/>
    <n v="19"/>
    <n v="210"/>
    <x v="30"/>
    <x v="1"/>
    <n v="9.9804399999999998"/>
    <n v="-24.68741"/>
  </r>
  <r>
    <s v="PAL0910"/>
    <n v="68"/>
    <x v="1"/>
    <s v="Anvers"/>
    <s v="Dream"/>
    <s v="Adult, 1 Egg Stage"/>
    <s v="N100A2"/>
    <s v="Yes"/>
    <x v="28"/>
    <n v="50.2"/>
    <n v="18.7"/>
    <n v="198"/>
    <x v="46"/>
    <x v="0"/>
    <n v="9.3930500000000006"/>
    <n v="-24.252549999999999"/>
  </r>
  <r>
    <s v="PAL0708"/>
    <n v="1"/>
    <x v="2"/>
    <s v="Anvers"/>
    <s v="Biscoe"/>
    <s v="Adult, 1 Egg Stage"/>
    <s v="N31A1"/>
    <s v="Yes"/>
    <x v="43"/>
    <n v="46.1"/>
    <n v="13.2"/>
    <n v="211"/>
    <x v="7"/>
    <x v="0"/>
    <n v="7.9930000000000003"/>
    <n v="-25.5139"/>
  </r>
  <r>
    <s v="PAL0708"/>
    <n v="2"/>
    <x v="2"/>
    <s v="Anvers"/>
    <s v="Biscoe"/>
    <s v="Adult, 1 Egg Stage"/>
    <s v="N31A2"/>
    <s v="Yes"/>
    <x v="43"/>
    <n v="50"/>
    <n v="16.3"/>
    <n v="230"/>
    <x v="60"/>
    <x v="1"/>
    <n v="8.1475600000000004"/>
    <n v="-25.393689999999999"/>
  </r>
  <r>
    <s v="PAL0708"/>
    <n v="3"/>
    <x v="2"/>
    <s v="Anvers"/>
    <s v="Biscoe"/>
    <s v="Adult, 1 Egg Stage"/>
    <s v="N32A1"/>
    <s v="Yes"/>
    <x v="43"/>
    <n v="48.7"/>
    <n v="14.1"/>
    <n v="210"/>
    <x v="32"/>
    <x v="0"/>
    <n v="8.1470500000000001"/>
    <n v="-25.46172"/>
  </r>
  <r>
    <s v="PAL0708"/>
    <n v="4"/>
    <x v="2"/>
    <s v="Anvers"/>
    <s v="Biscoe"/>
    <s v="Adult, 1 Egg Stage"/>
    <s v="N32A2"/>
    <s v="Yes"/>
    <x v="43"/>
    <n v="50"/>
    <n v="15.2"/>
    <n v="218"/>
    <x v="60"/>
    <x v="1"/>
    <n v="8.2553999999999998"/>
    <n v="-25.400749999999999"/>
  </r>
  <r>
    <s v="PAL0708"/>
    <n v="5"/>
    <x v="2"/>
    <s v="Anvers"/>
    <s v="Biscoe"/>
    <s v="Adult, 1 Egg Stage"/>
    <s v="N33A1"/>
    <s v="Yes"/>
    <x v="44"/>
    <n v="47.6"/>
    <n v="14.5"/>
    <n v="215"/>
    <x v="61"/>
    <x v="1"/>
    <n v="8.2345000000000006"/>
    <n v="-25.544560000000001"/>
  </r>
  <r>
    <s v="PAL0708"/>
    <n v="6"/>
    <x v="2"/>
    <s v="Anvers"/>
    <s v="Biscoe"/>
    <s v="Adult, 1 Egg Stage"/>
    <s v="N33A2"/>
    <s v="Yes"/>
    <x v="44"/>
    <n v="46.5"/>
    <n v="13.5"/>
    <n v="210"/>
    <x v="55"/>
    <x v="0"/>
    <n v="7.9953000000000003"/>
    <n v="-25.328289999999999"/>
  </r>
  <r>
    <s v="PAL0708"/>
    <n v="7"/>
    <x v="2"/>
    <s v="Anvers"/>
    <s v="Biscoe"/>
    <s v="Adult, 1 Egg Stage"/>
    <s v="N34A1"/>
    <s v="Yes"/>
    <x v="43"/>
    <n v="45.4"/>
    <n v="14.6"/>
    <n v="211"/>
    <x v="57"/>
    <x v="0"/>
    <n v="8.2451500000000006"/>
    <n v="-25.46782"/>
  </r>
  <r>
    <s v="PAL0708"/>
    <n v="8"/>
    <x v="2"/>
    <s v="Anvers"/>
    <s v="Biscoe"/>
    <s v="Adult, 1 Egg Stage"/>
    <s v="N34A2"/>
    <s v="Yes"/>
    <x v="43"/>
    <n v="46.7"/>
    <n v="15.3"/>
    <n v="219"/>
    <x v="62"/>
    <x v="1"/>
    <n v="8.2267299999999999"/>
    <n v="-25.427600000000002"/>
  </r>
  <r>
    <s v="PAL0708"/>
    <n v="9"/>
    <x v="2"/>
    <s v="Anvers"/>
    <s v="Biscoe"/>
    <s v="Adult, 1 Egg Stage"/>
    <s v="N35A1"/>
    <s v="Yes"/>
    <x v="43"/>
    <n v="43.3"/>
    <n v="13.4"/>
    <n v="209"/>
    <x v="6"/>
    <x v="0"/>
    <n v="8.1364300000000007"/>
    <n v="-25.321760000000001"/>
  </r>
  <r>
    <s v="PAL0708"/>
    <n v="10"/>
    <x v="2"/>
    <s v="Anvers"/>
    <s v="Biscoe"/>
    <s v="Adult, 1 Egg Stage"/>
    <s v="N35A2"/>
    <s v="Yes"/>
    <x v="43"/>
    <n v="46.8"/>
    <n v="15.4"/>
    <n v="215"/>
    <x v="63"/>
    <x v="1"/>
    <n v="8.1631"/>
    <n v="-25.38017"/>
  </r>
  <r>
    <s v="PAL0708"/>
    <n v="11"/>
    <x v="2"/>
    <s v="Anvers"/>
    <s v="Biscoe"/>
    <s v="Adult, 1 Egg Stage"/>
    <s v="N36A1"/>
    <s v="No"/>
    <x v="43"/>
    <n v="40.9"/>
    <n v="13.7"/>
    <n v="214"/>
    <x v="64"/>
    <x v="0"/>
    <n v="8.1957900000000006"/>
    <n v="-25.3933"/>
  </r>
  <r>
    <s v="PAL0708"/>
    <n v="12"/>
    <x v="2"/>
    <s v="Anvers"/>
    <s v="Biscoe"/>
    <s v="Adult, 1 Egg Stage"/>
    <s v="N36A2"/>
    <s v="No"/>
    <x v="43"/>
    <n v="49"/>
    <n v="16.100000000000001"/>
    <n v="216"/>
    <x v="65"/>
    <x v="1"/>
    <n v="8.1041699999999999"/>
    <n v="-25.50562"/>
  </r>
  <r>
    <s v="PAL0708"/>
    <n v="13"/>
    <x v="2"/>
    <s v="Anvers"/>
    <s v="Biscoe"/>
    <s v="Adult, 1 Egg Stage"/>
    <s v="N37A1"/>
    <s v="Yes"/>
    <x v="45"/>
    <n v="45.5"/>
    <n v="13.7"/>
    <n v="214"/>
    <x v="64"/>
    <x v="0"/>
    <n v="7.7767200000000001"/>
    <n v="-25.416799999999999"/>
  </r>
  <r>
    <s v="PAL0708"/>
    <n v="14"/>
    <x v="2"/>
    <s v="Anvers"/>
    <s v="Biscoe"/>
    <s v="Adult, 1 Egg Stage"/>
    <s v="N37A2"/>
    <s v="Yes"/>
    <x v="45"/>
    <n v="48.4"/>
    <n v="14.6"/>
    <n v="213"/>
    <x v="66"/>
    <x v="1"/>
    <n v="7.8208000000000002"/>
    <n v="-25.480250000000002"/>
  </r>
  <r>
    <s v="PAL0708"/>
    <n v="15"/>
    <x v="2"/>
    <s v="Anvers"/>
    <s v="Biscoe"/>
    <s v="Adult, 1 Egg Stage"/>
    <s v="N38A1"/>
    <s v="Yes"/>
    <x v="38"/>
    <n v="45.8"/>
    <n v="14.6"/>
    <n v="210"/>
    <x v="9"/>
    <x v="0"/>
    <n v="7.7995799999999997"/>
    <n v="-25.626180000000002"/>
  </r>
  <r>
    <s v="PAL0708"/>
    <n v="16"/>
    <x v="2"/>
    <s v="Anvers"/>
    <s v="Biscoe"/>
    <s v="Adult, 1 Egg Stage"/>
    <s v="N38A2"/>
    <s v="Yes"/>
    <x v="38"/>
    <n v="49.3"/>
    <n v="15.7"/>
    <n v="217"/>
    <x v="66"/>
    <x v="1"/>
    <n v="8.0713699999999999"/>
    <n v="-25.524730000000002"/>
  </r>
  <r>
    <s v="PAL0708"/>
    <n v="17"/>
    <x v="2"/>
    <s v="Anvers"/>
    <s v="Biscoe"/>
    <s v="Adult, 1 Egg Stage"/>
    <s v="N39A1"/>
    <s v="Yes"/>
    <x v="43"/>
    <n v="42"/>
    <n v="13.5"/>
    <n v="210"/>
    <x v="18"/>
    <x v="0"/>
    <n v="7.6388400000000001"/>
    <n v="-25.52627"/>
  </r>
  <r>
    <s v="PAL0708"/>
    <n v="18"/>
    <x v="2"/>
    <s v="Anvers"/>
    <s v="Biscoe"/>
    <s v="Adult, 1 Egg Stage"/>
    <s v="N39A2"/>
    <s v="Yes"/>
    <x v="43"/>
    <n v="49.2"/>
    <n v="15.2"/>
    <n v="221"/>
    <x v="67"/>
    <x v="1"/>
    <n v="8.2737599999999993"/>
    <n v="-25.00169"/>
  </r>
  <r>
    <s v="PAL0708"/>
    <n v="19"/>
    <x v="2"/>
    <s v="Anvers"/>
    <s v="Biscoe"/>
    <s v="Adult, 1 Egg Stage"/>
    <s v="N40A1"/>
    <s v="Yes"/>
    <x v="43"/>
    <n v="46.2"/>
    <n v="14.5"/>
    <n v="209"/>
    <x v="57"/>
    <x v="0"/>
    <n v="7.8405699999999996"/>
    <n v="-25.378990000000002"/>
  </r>
  <r>
    <s v="PAL0708"/>
    <n v="20"/>
    <x v="2"/>
    <s v="Anvers"/>
    <s v="Biscoe"/>
    <s v="Adult, 1 Egg Stage"/>
    <s v="N40A2"/>
    <s v="Yes"/>
    <x v="43"/>
    <n v="48.7"/>
    <n v="15.1"/>
    <n v="222"/>
    <x v="68"/>
    <x v="1"/>
    <n v="7.9649099999999997"/>
    <n v="-25.395869999999999"/>
  </r>
  <r>
    <s v="PAL0708"/>
    <n v="21"/>
    <x v="2"/>
    <s v="Anvers"/>
    <s v="Biscoe"/>
    <s v="Adult, 1 Egg Stage"/>
    <s v="N41A1"/>
    <s v="Yes"/>
    <x v="43"/>
    <n v="50.2"/>
    <n v="14.3"/>
    <n v="218"/>
    <x v="60"/>
    <x v="1"/>
    <n v="7.8962000000000003"/>
    <n v="-25.377459999999999"/>
  </r>
  <r>
    <s v="PAL0708"/>
    <n v="22"/>
    <x v="2"/>
    <s v="Anvers"/>
    <s v="Biscoe"/>
    <s v="Adult, 1 Egg Stage"/>
    <s v="N41A2"/>
    <s v="Yes"/>
    <x v="43"/>
    <n v="45.1"/>
    <n v="14.5"/>
    <n v="215"/>
    <x v="69"/>
    <x v="0"/>
    <n v="7.6322000000000001"/>
    <n v="-25.465689999999999"/>
  </r>
  <r>
    <s v="PAL0708"/>
    <n v="23"/>
    <x v="2"/>
    <s v="Anvers"/>
    <s v="Biscoe"/>
    <s v="Adult, 1 Egg Stage"/>
    <s v="N42A1"/>
    <s v="Yes"/>
    <x v="43"/>
    <n v="46.5"/>
    <n v="14.5"/>
    <n v="213"/>
    <x v="6"/>
    <x v="0"/>
    <n v="7.9043599999999996"/>
    <n v="-25.3947"/>
  </r>
  <r>
    <s v="PAL0708"/>
    <n v="24"/>
    <x v="2"/>
    <s v="Anvers"/>
    <s v="Biscoe"/>
    <s v="Adult, 1 Egg Stage"/>
    <s v="N42A2"/>
    <s v="Yes"/>
    <x v="43"/>
    <n v="46.3"/>
    <n v="15.8"/>
    <n v="215"/>
    <x v="70"/>
    <x v="1"/>
    <n v="7.9097099999999996"/>
    <n v="-25.38157"/>
  </r>
  <r>
    <s v="PAL0708"/>
    <n v="25"/>
    <x v="2"/>
    <s v="Anvers"/>
    <s v="Biscoe"/>
    <s v="Adult, 1 Egg Stage"/>
    <s v="N44A1"/>
    <s v="Yes"/>
    <x v="45"/>
    <n v="42.9"/>
    <n v="13.1"/>
    <n v="215"/>
    <x v="69"/>
    <x v="0"/>
    <n v="7.6852799999999997"/>
    <n v="-25.39181"/>
  </r>
  <r>
    <s v="PAL0708"/>
    <n v="26"/>
    <x v="2"/>
    <s v="Anvers"/>
    <s v="Biscoe"/>
    <s v="Adult, 1 Egg Stage"/>
    <s v="N44A2"/>
    <s v="Yes"/>
    <x v="45"/>
    <n v="46.1"/>
    <n v="15.1"/>
    <n v="215"/>
    <x v="71"/>
    <x v="1"/>
    <n v="7.8373299999999997"/>
    <n v="-25.428260000000002"/>
  </r>
  <r>
    <s v="PAL0708"/>
    <n v="28"/>
    <x v="2"/>
    <s v="Anvers"/>
    <s v="Biscoe"/>
    <s v="Adult, 1 Egg Stage"/>
    <s v="N46A2"/>
    <s v="Yes"/>
    <x v="45"/>
    <n v="47.8"/>
    <n v="15"/>
    <n v="215"/>
    <x v="72"/>
    <x v="1"/>
    <n v="7.9235800000000003"/>
    <n v="-25.483830000000001"/>
  </r>
  <r>
    <s v="PAL0708"/>
    <n v="29"/>
    <x v="2"/>
    <s v="Anvers"/>
    <s v="Biscoe"/>
    <s v="Adult, 1 Egg Stage"/>
    <s v="N47A1"/>
    <s v="Yes"/>
    <x v="45"/>
    <n v="48.2"/>
    <n v="14.3"/>
    <n v="210"/>
    <x v="21"/>
    <x v="0"/>
    <n v="7.6886999999999999"/>
    <n v="-25.508109999999999"/>
  </r>
  <r>
    <s v="PAL0708"/>
    <n v="30"/>
    <x v="2"/>
    <s v="Anvers"/>
    <s v="Biscoe"/>
    <s v="Adult, 1 Egg Stage"/>
    <s v="N47A2"/>
    <s v="Yes"/>
    <x v="45"/>
    <n v="50"/>
    <n v="15.3"/>
    <n v="220"/>
    <x v="65"/>
    <x v="1"/>
    <n v="8.3051499999999994"/>
    <n v="-25.190169999999998"/>
  </r>
  <r>
    <s v="PAL0708"/>
    <n v="32"/>
    <x v="2"/>
    <s v="Anvers"/>
    <s v="Biscoe"/>
    <s v="Adult, 1 Egg Stage"/>
    <s v="N50A2"/>
    <s v="Yes"/>
    <x v="45"/>
    <n v="42.8"/>
    <n v="14.2"/>
    <n v="209"/>
    <x v="35"/>
    <x v="0"/>
    <n v="7.6345200000000002"/>
    <n v="-25.463270000000001"/>
  </r>
  <r>
    <s v="PAL0708"/>
    <n v="33"/>
    <x v="2"/>
    <s v="Anvers"/>
    <s v="Biscoe"/>
    <s v="Adult, 1 Egg Stage"/>
    <s v="N56A1"/>
    <s v="Yes"/>
    <x v="38"/>
    <n v="45.1"/>
    <n v="14.5"/>
    <n v="207"/>
    <x v="70"/>
    <x v="0"/>
    <n v="7.9740799999999998"/>
    <n v="-25.537680000000002"/>
  </r>
  <r>
    <s v="PAL0708"/>
    <n v="34"/>
    <x v="2"/>
    <s v="Anvers"/>
    <s v="Biscoe"/>
    <s v="Adult, 1 Egg Stage"/>
    <s v="N56A2"/>
    <s v="Yes"/>
    <x v="38"/>
    <n v="59.6"/>
    <n v="17"/>
    <n v="230"/>
    <x v="73"/>
    <x v="1"/>
    <n v="7.7684300000000004"/>
    <n v="-25.682099999999998"/>
  </r>
  <r>
    <s v="PAL0809"/>
    <n v="35"/>
    <x v="2"/>
    <s v="Anvers"/>
    <s v="Biscoe"/>
    <s v="Adult, 1 Egg Stage"/>
    <s v="N2A1"/>
    <s v="Yes"/>
    <x v="11"/>
    <n v="49.1"/>
    <n v="14.8"/>
    <n v="220"/>
    <x v="63"/>
    <x v="0"/>
    <n v="7.8974399999999996"/>
    <n v="-26.634049999999998"/>
  </r>
  <r>
    <s v="PAL0809"/>
    <n v="36"/>
    <x v="2"/>
    <s v="Anvers"/>
    <s v="Biscoe"/>
    <s v="Adult, 1 Egg Stage"/>
    <s v="N2A2"/>
    <s v="Yes"/>
    <x v="11"/>
    <n v="48.4"/>
    <n v="16.3"/>
    <n v="220"/>
    <x v="61"/>
    <x v="1"/>
    <n v="8.0365900000000003"/>
    <n v="-26.861270000000001"/>
  </r>
  <r>
    <s v="PAL0809"/>
    <n v="37"/>
    <x v="2"/>
    <s v="Anvers"/>
    <s v="Biscoe"/>
    <s v="Adult, 1 Egg Stage"/>
    <s v="N4A1"/>
    <s v="Yes"/>
    <x v="15"/>
    <n v="42.6"/>
    <n v="13.7"/>
    <n v="213"/>
    <x v="74"/>
    <x v="0"/>
    <n v="7.9693500000000004"/>
    <n v="-26.709679999999999"/>
  </r>
  <r>
    <s v="PAL0809"/>
    <n v="38"/>
    <x v="2"/>
    <s v="Anvers"/>
    <s v="Biscoe"/>
    <s v="Adult, 1 Egg Stage"/>
    <s v="N4A2"/>
    <s v="Yes"/>
    <x v="15"/>
    <n v="44.4"/>
    <n v="17.3"/>
    <n v="219"/>
    <x v="75"/>
    <x v="1"/>
    <n v="8.1374600000000008"/>
    <n v="-26.790929999999999"/>
  </r>
  <r>
    <s v="PAL0809"/>
    <n v="39"/>
    <x v="2"/>
    <s v="Anvers"/>
    <s v="Biscoe"/>
    <s v="Adult, 1 Egg Stage"/>
    <s v="N5A1"/>
    <s v="Yes"/>
    <x v="9"/>
    <n v="44"/>
    <n v="13.6"/>
    <n v="208"/>
    <x v="36"/>
    <x v="0"/>
    <n v="8.0197900000000004"/>
    <n v="-26.683109999999999"/>
  </r>
  <r>
    <s v="PAL0809"/>
    <n v="40"/>
    <x v="2"/>
    <s v="Anvers"/>
    <s v="Biscoe"/>
    <s v="Adult, 1 Egg Stage"/>
    <s v="N5A2"/>
    <s v="Yes"/>
    <x v="9"/>
    <n v="48.7"/>
    <n v="15.7"/>
    <n v="208"/>
    <x v="68"/>
    <x v="1"/>
    <n v="8.1477599999999999"/>
    <n v="-26.84506"/>
  </r>
  <r>
    <s v="PAL0809"/>
    <n v="41"/>
    <x v="2"/>
    <s v="Anvers"/>
    <s v="Biscoe"/>
    <s v="Adult, 1 Egg Stage"/>
    <s v="N6A1"/>
    <s v="No"/>
    <x v="46"/>
    <n v="42.7"/>
    <n v="13.7"/>
    <n v="208"/>
    <x v="12"/>
    <x v="0"/>
    <n v="8.1456700000000009"/>
    <n v="-26.594670000000001"/>
  </r>
  <r>
    <s v="PAL0809"/>
    <n v="42"/>
    <x v="2"/>
    <s v="Anvers"/>
    <s v="Biscoe"/>
    <s v="Adult, 1 Egg Stage"/>
    <s v="N6A2"/>
    <s v="No"/>
    <x v="46"/>
    <n v="49.6"/>
    <n v="16"/>
    <n v="225"/>
    <x v="60"/>
    <x v="1"/>
    <n v="8.3832400000000007"/>
    <n v="-26.84272"/>
  </r>
  <r>
    <s v="PAL0809"/>
    <n v="43"/>
    <x v="2"/>
    <s v="Anvers"/>
    <s v="Biscoe"/>
    <s v="Adult, 1 Egg Stage"/>
    <s v="N7A1"/>
    <s v="Yes"/>
    <x v="46"/>
    <n v="45.3"/>
    <n v="13.7"/>
    <n v="210"/>
    <x v="23"/>
    <x v="0"/>
    <n v="8.3761500000000009"/>
    <n v="-26.727910000000001"/>
  </r>
  <r>
    <s v="PAL0809"/>
    <n v="44"/>
    <x v="2"/>
    <s v="Anvers"/>
    <s v="Biscoe"/>
    <s v="Adult, 1 Egg Stage"/>
    <s v="N7A2"/>
    <s v="Yes"/>
    <x v="46"/>
    <n v="49.6"/>
    <n v="15"/>
    <n v="216"/>
    <x v="76"/>
    <x v="1"/>
    <n v="8.2654800000000002"/>
    <n v="-26.7699"/>
  </r>
  <r>
    <s v="PAL0809"/>
    <n v="45"/>
    <x v="2"/>
    <s v="Anvers"/>
    <s v="Biscoe"/>
    <s v="Adult, 1 Egg Stage"/>
    <s v="N8A1"/>
    <s v="Yes"/>
    <x v="47"/>
    <n v="50.5"/>
    <n v="15.9"/>
    <n v="222"/>
    <x v="65"/>
    <x v="1"/>
    <n v="8.4689399999999999"/>
    <n v="-26.60436"/>
  </r>
  <r>
    <s v="PAL0809"/>
    <n v="46"/>
    <x v="2"/>
    <s v="Anvers"/>
    <s v="Biscoe"/>
    <s v="Adult, 1 Egg Stage"/>
    <s v="N8A2"/>
    <s v="Yes"/>
    <x v="47"/>
    <n v="43.6"/>
    <n v="13.9"/>
    <n v="217"/>
    <x v="77"/>
    <x v="0"/>
    <n v="8.2714099999999995"/>
    <n v="-26.776499999999999"/>
  </r>
  <r>
    <s v="PAL0809"/>
    <n v="47"/>
    <x v="2"/>
    <s v="Anvers"/>
    <s v="Biscoe"/>
    <s v="Adult, 1 Egg Stage"/>
    <s v="N11A1"/>
    <s v="No"/>
    <x v="9"/>
    <n v="45.5"/>
    <n v="13.9"/>
    <n v="210"/>
    <x v="9"/>
    <x v="0"/>
    <n v="8.4782899999999994"/>
    <n v="-26.61788"/>
  </r>
  <r>
    <s v="PAL0809"/>
    <n v="48"/>
    <x v="2"/>
    <s v="Anvers"/>
    <s v="Biscoe"/>
    <s v="Adult, 1 Egg Stage"/>
    <s v="N11A2"/>
    <s v="No"/>
    <x v="9"/>
    <n v="50.5"/>
    <n v="15.9"/>
    <n v="225"/>
    <x v="61"/>
    <x v="1"/>
    <n v="8.6580300000000001"/>
    <n v="-26.575849999999999"/>
  </r>
  <r>
    <s v="PAL0809"/>
    <n v="49"/>
    <x v="2"/>
    <s v="Anvers"/>
    <s v="Biscoe"/>
    <s v="Adult, 1 Egg Stage"/>
    <s v="N12A1"/>
    <s v="Yes"/>
    <x v="15"/>
    <n v="44.9"/>
    <n v="13.3"/>
    <n v="213"/>
    <x v="71"/>
    <x v="0"/>
    <n v="8.45167"/>
    <n v="-26.896439999999998"/>
  </r>
  <r>
    <s v="PAL0809"/>
    <n v="50"/>
    <x v="2"/>
    <s v="Anvers"/>
    <s v="Biscoe"/>
    <s v="Adult, 1 Egg Stage"/>
    <s v="N12A2"/>
    <s v="Yes"/>
    <x v="15"/>
    <n v="45.2"/>
    <n v="15.8"/>
    <n v="215"/>
    <x v="78"/>
    <x v="1"/>
    <n v="8.5586800000000007"/>
    <n v="-26.677990000000001"/>
  </r>
  <r>
    <s v="PAL0809"/>
    <n v="51"/>
    <x v="2"/>
    <s v="Anvers"/>
    <s v="Biscoe"/>
    <s v="Adult, 1 Egg Stage"/>
    <s v="N13A1"/>
    <s v="Yes"/>
    <x v="46"/>
    <n v="46.6"/>
    <n v="14.2"/>
    <n v="210"/>
    <x v="79"/>
    <x v="0"/>
    <n v="8.3828899999999997"/>
    <n v="-26.863520000000001"/>
  </r>
  <r>
    <s v="PAL0809"/>
    <n v="52"/>
    <x v="2"/>
    <s v="Anvers"/>
    <s v="Biscoe"/>
    <s v="Adult, 1 Egg Stage"/>
    <s v="N13A2"/>
    <s v="Yes"/>
    <x v="46"/>
    <n v="48.5"/>
    <n v="14.1"/>
    <n v="220"/>
    <x v="78"/>
    <x v="1"/>
    <n v="8.3986699999999992"/>
    <n v="-26.793579999999999"/>
  </r>
  <r>
    <s v="PAL0809"/>
    <n v="53"/>
    <x v="2"/>
    <s v="Anvers"/>
    <s v="Biscoe"/>
    <s v="Adult, 1 Egg Stage"/>
    <s v="N14A1"/>
    <s v="Yes"/>
    <x v="46"/>
    <n v="45.1"/>
    <n v="14.4"/>
    <n v="210"/>
    <x v="6"/>
    <x v="0"/>
    <n v="8.5195100000000004"/>
    <n v="-27.018540000000002"/>
  </r>
  <r>
    <s v="PAL0809"/>
    <n v="54"/>
    <x v="2"/>
    <s v="Anvers"/>
    <s v="Biscoe"/>
    <s v="Adult, 1 Egg Stage"/>
    <s v="N14A2"/>
    <s v="Yes"/>
    <x v="46"/>
    <n v="50.1"/>
    <n v="15"/>
    <n v="225"/>
    <x v="69"/>
    <x v="1"/>
    <n v="8.5015300000000007"/>
    <n v="-26.614139999999999"/>
  </r>
  <r>
    <s v="PAL0809"/>
    <n v="55"/>
    <x v="2"/>
    <s v="Anvers"/>
    <s v="Biscoe"/>
    <s v="Adult, 1 Egg Stage"/>
    <s v="N15A1"/>
    <s v="Yes"/>
    <x v="46"/>
    <n v="46.5"/>
    <n v="14.4"/>
    <n v="217"/>
    <x v="77"/>
    <x v="0"/>
    <n v="8.4878900000000002"/>
    <n v="-26.83006"/>
  </r>
  <r>
    <s v="PAL0809"/>
    <n v="56"/>
    <x v="2"/>
    <s v="Anvers"/>
    <s v="Biscoe"/>
    <s v="Adult, 1 Egg Stage"/>
    <s v="N15A2"/>
    <s v="Yes"/>
    <x v="46"/>
    <n v="45"/>
    <n v="15.4"/>
    <n v="220"/>
    <x v="70"/>
    <x v="1"/>
    <n v="8.6348800000000008"/>
    <n v="-26.756209999999999"/>
  </r>
  <r>
    <s v="PAL0809"/>
    <n v="57"/>
    <x v="2"/>
    <s v="Anvers"/>
    <s v="Biscoe"/>
    <s v="Adult, 1 Egg Stage"/>
    <s v="N16A1"/>
    <s v="Yes"/>
    <x v="47"/>
    <n v="43.8"/>
    <n v="13.9"/>
    <n v="208"/>
    <x v="23"/>
    <x v="0"/>
    <n v="8.5831900000000001"/>
    <n v="-26.844149999999999"/>
  </r>
  <r>
    <s v="PAL0809"/>
    <n v="58"/>
    <x v="2"/>
    <s v="Anvers"/>
    <s v="Biscoe"/>
    <s v="Adult, 1 Egg Stage"/>
    <s v="N16A2"/>
    <s v="Yes"/>
    <x v="47"/>
    <n v="45.5"/>
    <n v="15"/>
    <n v="220"/>
    <x v="69"/>
    <x v="1"/>
    <n v="8.6360399999999995"/>
    <n v="-26.748899999999999"/>
  </r>
  <r>
    <s v="PAL0809"/>
    <n v="59"/>
    <x v="2"/>
    <s v="Anvers"/>
    <s v="Biscoe"/>
    <s v="Adult, 1 Egg Stage"/>
    <s v="N17A1"/>
    <s v="Yes"/>
    <x v="8"/>
    <n v="43.2"/>
    <n v="14.5"/>
    <n v="208"/>
    <x v="32"/>
    <x v="0"/>
    <n v="8.48367"/>
    <n v="-26.864850000000001"/>
  </r>
  <r>
    <s v="PAL0809"/>
    <n v="60"/>
    <x v="2"/>
    <s v="Anvers"/>
    <s v="Biscoe"/>
    <s v="Adult, 1 Egg Stage"/>
    <s v="N17A2"/>
    <s v="Yes"/>
    <x v="8"/>
    <n v="50.4"/>
    <n v="15.3"/>
    <n v="224"/>
    <x v="65"/>
    <x v="1"/>
    <n v="8.7464700000000004"/>
    <n v="-26.798459999999999"/>
  </r>
  <r>
    <s v="PAL0809"/>
    <n v="61"/>
    <x v="2"/>
    <s v="Anvers"/>
    <s v="Biscoe"/>
    <s v="Adult, 1 Egg Stage"/>
    <s v="N18A1"/>
    <s v="Yes"/>
    <x v="47"/>
    <n v="45.3"/>
    <n v="13.8"/>
    <n v="208"/>
    <x v="9"/>
    <x v="0"/>
    <n v="8.65015"/>
    <n v="-26.79053"/>
  </r>
  <r>
    <s v="PAL0809"/>
    <n v="62"/>
    <x v="2"/>
    <s v="Anvers"/>
    <s v="Biscoe"/>
    <s v="Adult, 1 Egg Stage"/>
    <s v="N18A2"/>
    <s v="Yes"/>
    <x v="47"/>
    <n v="46.2"/>
    <n v="14.9"/>
    <n v="221"/>
    <x v="78"/>
    <x v="1"/>
    <n v="8.6009200000000003"/>
    <n v="-26.84374"/>
  </r>
  <r>
    <s v="PAL0809"/>
    <n v="63"/>
    <x v="2"/>
    <s v="Anvers"/>
    <s v="Biscoe"/>
    <s v="Adult, 1 Egg Stage"/>
    <s v="N19A1"/>
    <s v="Yes"/>
    <x v="11"/>
    <n v="45.7"/>
    <n v="13.9"/>
    <n v="214"/>
    <x v="6"/>
    <x v="0"/>
    <n v="8.6287000000000003"/>
    <n v="-26.604839999999999"/>
  </r>
  <r>
    <s v="PAL0809"/>
    <n v="64"/>
    <x v="2"/>
    <s v="Anvers"/>
    <s v="Biscoe"/>
    <s v="Adult, 1 Egg Stage"/>
    <s v="N19A2"/>
    <s v="Yes"/>
    <x v="11"/>
    <n v="54.3"/>
    <n v="15.7"/>
    <n v="231"/>
    <x v="72"/>
    <x v="1"/>
    <n v="8.4966200000000001"/>
    <n v="-26.841660000000001"/>
  </r>
  <r>
    <s v="PAL0809"/>
    <n v="65"/>
    <x v="2"/>
    <s v="Anvers"/>
    <s v="Biscoe"/>
    <s v="Adult, 1 Egg Stage"/>
    <s v="N20A1"/>
    <s v="Yes"/>
    <x v="46"/>
    <n v="45.8"/>
    <n v="14.2"/>
    <n v="219"/>
    <x v="35"/>
    <x v="0"/>
    <n v="8.6044699999999992"/>
    <n v="-26.616009999999999"/>
  </r>
  <r>
    <s v="PAL0809"/>
    <n v="66"/>
    <x v="2"/>
    <s v="Anvers"/>
    <s v="Biscoe"/>
    <s v="Adult, 1 Egg Stage"/>
    <s v="N20A2"/>
    <s v="Yes"/>
    <x v="46"/>
    <n v="49.8"/>
    <n v="16.8"/>
    <n v="230"/>
    <x v="60"/>
    <x v="1"/>
    <n v="8.4706700000000001"/>
    <n v="-26.691659999999999"/>
  </r>
  <r>
    <s v="PAL0809"/>
    <n v="68"/>
    <x v="2"/>
    <s v="Anvers"/>
    <s v="Biscoe"/>
    <s v="Adult, 1 Egg Stage"/>
    <s v="N51A2"/>
    <s v="Yes"/>
    <x v="9"/>
    <n v="49.5"/>
    <n v="16.2"/>
    <n v="229"/>
    <x v="80"/>
    <x v="1"/>
    <n v="8.4985400000000002"/>
    <n v="-26.748090000000001"/>
  </r>
  <r>
    <s v="PAL0809"/>
    <n v="69"/>
    <x v="2"/>
    <s v="Anvers"/>
    <s v="Biscoe"/>
    <s v="Adult, 1 Egg Stage"/>
    <s v="N53A1"/>
    <s v="Yes"/>
    <x v="11"/>
    <n v="43.5"/>
    <n v="14.2"/>
    <n v="220"/>
    <x v="35"/>
    <x v="0"/>
    <n v="8.6493099999999998"/>
    <n v="-26.688669999999998"/>
  </r>
  <r>
    <s v="PAL0809"/>
    <n v="70"/>
    <x v="2"/>
    <s v="Anvers"/>
    <s v="Biscoe"/>
    <s v="Adult, 1 Egg Stage"/>
    <s v="N53A2"/>
    <s v="Yes"/>
    <x v="11"/>
    <n v="50.7"/>
    <n v="15"/>
    <n v="223"/>
    <x v="65"/>
    <x v="1"/>
    <n v="8.63551"/>
    <n v="-26.74249"/>
  </r>
  <r>
    <s v="PAL0809"/>
    <n v="71"/>
    <x v="2"/>
    <s v="Anvers"/>
    <s v="Biscoe"/>
    <s v="Adult, 1 Egg Stage"/>
    <s v="N54A1"/>
    <s v="Yes"/>
    <x v="47"/>
    <n v="47.7"/>
    <n v="15"/>
    <n v="216"/>
    <x v="76"/>
    <x v="0"/>
    <n v="8.5301799999999997"/>
    <n v="-26.727509999999999"/>
  </r>
  <r>
    <s v="PAL0809"/>
    <n v="72"/>
    <x v="2"/>
    <s v="Anvers"/>
    <s v="Biscoe"/>
    <s v="Adult, 1 Egg Stage"/>
    <s v="N54A2"/>
    <s v="Yes"/>
    <x v="47"/>
    <n v="46.4"/>
    <n v="15.6"/>
    <n v="221"/>
    <x v="69"/>
    <x v="1"/>
    <n v="8.3507800000000003"/>
    <n v="-26.707830000000001"/>
  </r>
  <r>
    <s v="PAL0809"/>
    <n v="73"/>
    <x v="2"/>
    <s v="Anvers"/>
    <s v="Biscoe"/>
    <s v="Adult, 1 Egg Stage"/>
    <s v="N55A1"/>
    <s v="Yes"/>
    <x v="9"/>
    <n v="48.2"/>
    <n v="15.6"/>
    <n v="221"/>
    <x v="71"/>
    <x v="1"/>
    <n v="8.2465100000000007"/>
    <n v="-26.66958"/>
  </r>
  <r>
    <s v="PAL0809"/>
    <n v="74"/>
    <x v="2"/>
    <s v="Anvers"/>
    <s v="Biscoe"/>
    <s v="Adult, 1 Egg Stage"/>
    <s v="N55A2"/>
    <s v="Yes"/>
    <x v="9"/>
    <n v="46.5"/>
    <n v="14.8"/>
    <n v="217"/>
    <x v="62"/>
    <x v="0"/>
    <n v="8.5848700000000004"/>
    <n v="-26.5929"/>
  </r>
  <r>
    <s v="PAL0809"/>
    <n v="75"/>
    <x v="2"/>
    <s v="Anvers"/>
    <s v="Biscoe"/>
    <s v="Adult, 1 Egg Stage"/>
    <s v="N56A1"/>
    <s v="Yes"/>
    <x v="8"/>
    <n v="46.4"/>
    <n v="15"/>
    <n v="216"/>
    <x v="35"/>
    <x v="0"/>
    <n v="8.4793800000000008"/>
    <n v="-26.954699999999999"/>
  </r>
  <r>
    <s v="PAL0809"/>
    <n v="76"/>
    <x v="2"/>
    <s v="Anvers"/>
    <s v="Biscoe"/>
    <s v="Adult, 1 Egg Stage"/>
    <s v="N56A2"/>
    <s v="Yes"/>
    <x v="8"/>
    <n v="48.6"/>
    <n v="16"/>
    <n v="230"/>
    <x v="80"/>
    <x v="1"/>
    <n v="8.5963999999999992"/>
    <n v="-26.71199"/>
  </r>
  <r>
    <s v="PAL0809"/>
    <n v="77"/>
    <x v="2"/>
    <s v="Anvers"/>
    <s v="Biscoe"/>
    <s v="Adult, 1 Egg Stage"/>
    <s v="N58A1"/>
    <s v="Yes"/>
    <x v="8"/>
    <n v="47.5"/>
    <n v="14.2"/>
    <n v="209"/>
    <x v="21"/>
    <x v="0"/>
    <n v="8.3929899999999993"/>
    <n v="-26.787330000000001"/>
  </r>
  <r>
    <s v="PAL0809"/>
    <n v="78"/>
    <x v="2"/>
    <s v="Anvers"/>
    <s v="Biscoe"/>
    <s v="Adult, 1 Egg Stage"/>
    <s v="N58A2"/>
    <s v="Yes"/>
    <x v="8"/>
    <n v="51.1"/>
    <n v="16.3"/>
    <n v="220"/>
    <x v="81"/>
    <x v="1"/>
    <n v="8.4032699999999991"/>
    <n v="-26.76821"/>
  </r>
  <r>
    <s v="PAL0809"/>
    <n v="79"/>
    <x v="2"/>
    <s v="Anvers"/>
    <s v="Biscoe"/>
    <s v="Adult, 1 Egg Stage"/>
    <s v="N60A1"/>
    <s v="Yes"/>
    <x v="9"/>
    <n v="45.2"/>
    <n v="13.8"/>
    <n v="215"/>
    <x v="76"/>
    <x v="0"/>
    <n v="8.2469400000000004"/>
    <n v="-26.653590000000001"/>
  </r>
  <r>
    <s v="PAL0809"/>
    <n v="80"/>
    <x v="2"/>
    <s v="Anvers"/>
    <s v="Biscoe"/>
    <s v="Adult, 1 Egg Stage"/>
    <s v="N60A2"/>
    <s v="Yes"/>
    <x v="9"/>
    <n v="45.2"/>
    <n v="16.399999999999999"/>
    <n v="223"/>
    <x v="82"/>
    <x v="1"/>
    <n v="8.1974900000000002"/>
    <n v="-26.659310000000001"/>
  </r>
  <r>
    <s v="PAL0910"/>
    <n v="81"/>
    <x v="2"/>
    <s v="Anvers"/>
    <s v="Biscoe"/>
    <s v="Adult, 1 Egg Stage"/>
    <s v="N1A1"/>
    <s v="Yes"/>
    <x v="25"/>
    <n v="49.1"/>
    <n v="14.5"/>
    <n v="212"/>
    <x v="83"/>
    <x v="0"/>
    <n v="8.3580199999999998"/>
    <n v="-26.276599999999998"/>
  </r>
  <r>
    <s v="PAL0910"/>
    <n v="82"/>
    <x v="2"/>
    <s v="Anvers"/>
    <s v="Biscoe"/>
    <s v="Adult, 1 Egg Stage"/>
    <s v="N1A2"/>
    <s v="Yes"/>
    <x v="25"/>
    <n v="52.5"/>
    <n v="15.6"/>
    <n v="221"/>
    <x v="84"/>
    <x v="1"/>
    <n v="8.2860099999999992"/>
    <n v="-26.275729999999999"/>
  </r>
  <r>
    <s v="PAL0910"/>
    <n v="83"/>
    <x v="2"/>
    <s v="Anvers"/>
    <s v="Biscoe"/>
    <s v="Adult, 1 Egg Stage"/>
    <s v="N6A1"/>
    <s v="Yes"/>
    <x v="21"/>
    <n v="47.4"/>
    <n v="14.6"/>
    <n v="212"/>
    <x v="38"/>
    <x v="0"/>
    <n v="8.1910100000000003"/>
    <n v="-26.243690000000001"/>
  </r>
  <r>
    <s v="PAL0910"/>
    <n v="84"/>
    <x v="2"/>
    <s v="Anvers"/>
    <s v="Biscoe"/>
    <s v="Adult, 1 Egg Stage"/>
    <s v="N6A2"/>
    <s v="Yes"/>
    <x v="21"/>
    <n v="50"/>
    <n v="15.9"/>
    <n v="224"/>
    <x v="68"/>
    <x v="1"/>
    <n v="8.2004199999999994"/>
    <n v="-26.39677"/>
  </r>
  <r>
    <s v="PAL0910"/>
    <n v="85"/>
    <x v="2"/>
    <s v="Anvers"/>
    <s v="Biscoe"/>
    <s v="Adult, 1 Egg Stage"/>
    <s v="N8A1"/>
    <s v="Yes"/>
    <x v="26"/>
    <n v="44.9"/>
    <n v="13.8"/>
    <n v="212"/>
    <x v="76"/>
    <x v="0"/>
    <n v="8.1123799999999999"/>
    <n v="-26.203720000000001"/>
  </r>
  <r>
    <s v="PAL0910"/>
    <n v="86"/>
    <x v="2"/>
    <s v="Anvers"/>
    <s v="Biscoe"/>
    <s v="Adult, 1 Egg Stage"/>
    <s v="N8A2"/>
    <s v="Yes"/>
    <x v="26"/>
    <n v="50.8"/>
    <n v="17.3"/>
    <n v="228"/>
    <x v="85"/>
    <x v="1"/>
    <n v="8.2742799999999992"/>
    <n v="-26.300190000000001"/>
  </r>
  <r>
    <s v="PAL0910"/>
    <n v="87"/>
    <x v="2"/>
    <s v="Anvers"/>
    <s v="Biscoe"/>
    <s v="Adult, 1 Egg Stage"/>
    <s v="N13A1"/>
    <s v="Yes"/>
    <x v="22"/>
    <n v="43.4"/>
    <n v="14.4"/>
    <n v="218"/>
    <x v="21"/>
    <x v="0"/>
    <n v="8.2346800000000009"/>
    <n v="-26.18599"/>
  </r>
  <r>
    <s v="PAL0910"/>
    <n v="88"/>
    <x v="2"/>
    <s v="Anvers"/>
    <s v="Biscoe"/>
    <s v="Adult, 1 Egg Stage"/>
    <s v="N13A2"/>
    <s v="Yes"/>
    <x v="22"/>
    <n v="51.3"/>
    <n v="14.2"/>
    <n v="218"/>
    <x v="78"/>
    <x v="1"/>
    <n v="8.1542600000000007"/>
    <n v="-26.343299999999999"/>
  </r>
  <r>
    <s v="PAL0910"/>
    <n v="89"/>
    <x v="2"/>
    <s v="Anvers"/>
    <s v="Biscoe"/>
    <s v="Adult, 1 Egg Stage"/>
    <s v="N14A1"/>
    <s v="Yes"/>
    <x v="48"/>
    <n v="47.5"/>
    <n v="14"/>
    <n v="212"/>
    <x v="86"/>
    <x v="0"/>
    <n v="8.1269100000000005"/>
    <n v="-26.236129999999999"/>
  </r>
  <r>
    <s v="PAL0910"/>
    <n v="90"/>
    <x v="2"/>
    <s v="Anvers"/>
    <s v="Biscoe"/>
    <s v="Adult, 1 Egg Stage"/>
    <s v="N14A2"/>
    <s v="Yes"/>
    <x v="48"/>
    <n v="52.1"/>
    <n v="17"/>
    <n v="230"/>
    <x v="65"/>
    <x v="1"/>
    <n v="8.2759499999999999"/>
    <n v="-26.116569999999999"/>
  </r>
  <r>
    <s v="PAL0910"/>
    <n v="91"/>
    <x v="2"/>
    <s v="Anvers"/>
    <s v="Biscoe"/>
    <s v="Adult, 1 Egg Stage"/>
    <s v="N15A1"/>
    <s v="Yes"/>
    <x v="48"/>
    <n v="47.5"/>
    <n v="15"/>
    <n v="218"/>
    <x v="74"/>
    <x v="0"/>
    <n v="8.2967099999999991"/>
    <n v="-26.085470000000001"/>
  </r>
  <r>
    <s v="PAL0910"/>
    <n v="92"/>
    <x v="2"/>
    <s v="Anvers"/>
    <s v="Biscoe"/>
    <s v="Adult, 1 Egg Stage"/>
    <s v="N15A2"/>
    <s v="Yes"/>
    <x v="48"/>
    <n v="52.2"/>
    <n v="17.100000000000001"/>
    <n v="228"/>
    <x v="61"/>
    <x v="1"/>
    <n v="8.3670100000000005"/>
    <n v="-25.898340000000001"/>
  </r>
  <r>
    <s v="PAL0910"/>
    <n v="93"/>
    <x v="2"/>
    <s v="Anvers"/>
    <s v="Biscoe"/>
    <s v="Adult, 1 Egg Stage"/>
    <s v="N18A1"/>
    <s v="Yes"/>
    <x v="49"/>
    <n v="45.5"/>
    <n v="14.5"/>
    <n v="212"/>
    <x v="76"/>
    <x v="0"/>
    <n v="8.1556599999999992"/>
    <n v="-26.228480000000001"/>
  </r>
  <r>
    <s v="PAL0910"/>
    <n v="94"/>
    <x v="2"/>
    <s v="Anvers"/>
    <s v="Biscoe"/>
    <s v="Adult, 1 Egg Stage"/>
    <s v="N18A2"/>
    <s v="Yes"/>
    <x v="49"/>
    <n v="49.5"/>
    <n v="16.100000000000001"/>
    <n v="224"/>
    <x v="72"/>
    <x v="1"/>
    <n v="8.83352"/>
    <n v="-25.691949999999999"/>
  </r>
  <r>
    <s v="PAL0910"/>
    <n v="95"/>
    <x v="2"/>
    <s v="Anvers"/>
    <s v="Biscoe"/>
    <s v="Adult, 1 Egg Stage"/>
    <s v="N19A1"/>
    <s v="Yes"/>
    <x v="41"/>
    <n v="44.5"/>
    <n v="14.7"/>
    <n v="214"/>
    <x v="79"/>
    <x v="0"/>
    <n v="8.20106"/>
    <n v="-26.165240000000001"/>
  </r>
  <r>
    <s v="PAL0910"/>
    <n v="96"/>
    <x v="2"/>
    <s v="Anvers"/>
    <s v="Biscoe"/>
    <s v="Adult, 1 Egg Stage"/>
    <s v="N19A2"/>
    <s v="Yes"/>
    <x v="41"/>
    <n v="50.8"/>
    <n v="15.7"/>
    <n v="226"/>
    <x v="62"/>
    <x v="1"/>
    <n v="8.27102"/>
    <n v="-26.112439999999999"/>
  </r>
  <r>
    <s v="PAL0910"/>
    <n v="97"/>
    <x v="2"/>
    <s v="Anvers"/>
    <s v="Biscoe"/>
    <s v="Adult, 1 Egg Stage"/>
    <s v="N20A1"/>
    <s v="Yes"/>
    <x v="25"/>
    <n v="49.4"/>
    <n v="15.8"/>
    <n v="216"/>
    <x v="87"/>
    <x v="1"/>
    <n v="8.0362399999999994"/>
    <n v="-26.065940000000001"/>
  </r>
  <r>
    <s v="PAL0910"/>
    <n v="98"/>
    <x v="2"/>
    <s v="Anvers"/>
    <s v="Biscoe"/>
    <s v="Adult, 1 Egg Stage"/>
    <s v="N20A2"/>
    <s v="Yes"/>
    <x v="25"/>
    <n v="46.9"/>
    <n v="14.6"/>
    <n v="222"/>
    <x v="86"/>
    <x v="0"/>
    <n v="7.8880999999999997"/>
    <n v="-26.047260000000001"/>
  </r>
  <r>
    <s v="PAL0910"/>
    <n v="99"/>
    <x v="2"/>
    <s v="Anvers"/>
    <s v="Biscoe"/>
    <s v="Adult, 1 Egg Stage"/>
    <s v="N21A1"/>
    <s v="Yes"/>
    <x v="25"/>
    <n v="48.4"/>
    <n v="14.4"/>
    <n v="203"/>
    <x v="83"/>
    <x v="0"/>
    <n v="8.1658200000000001"/>
    <n v="-26.139710000000001"/>
  </r>
  <r>
    <s v="PAL0910"/>
    <n v="100"/>
    <x v="2"/>
    <s v="Anvers"/>
    <s v="Biscoe"/>
    <s v="Adult, 1 Egg Stage"/>
    <s v="N21A2"/>
    <s v="Yes"/>
    <x v="25"/>
    <n v="51.1"/>
    <n v="16.5"/>
    <n v="225"/>
    <x v="75"/>
    <x v="1"/>
    <n v="8.2065999999999999"/>
    <n v="-26.36863"/>
  </r>
  <r>
    <s v="PAL0910"/>
    <n v="101"/>
    <x v="2"/>
    <s v="Anvers"/>
    <s v="Biscoe"/>
    <s v="Adult, 1 Egg Stage"/>
    <s v="N22A1"/>
    <s v="Yes"/>
    <x v="26"/>
    <n v="48.5"/>
    <n v="15"/>
    <n v="219"/>
    <x v="79"/>
    <x v="0"/>
    <n v="8.1023099999999992"/>
    <n v="-26.187629999999999"/>
  </r>
  <r>
    <s v="PAL0910"/>
    <n v="102"/>
    <x v="2"/>
    <s v="Anvers"/>
    <s v="Biscoe"/>
    <s v="Adult, 1 Egg Stage"/>
    <s v="N22A2"/>
    <s v="Yes"/>
    <x v="26"/>
    <n v="55.9"/>
    <n v="17"/>
    <n v="228"/>
    <x v="85"/>
    <x v="1"/>
    <n v="8.3117999999999999"/>
    <n v="-26.35425"/>
  </r>
  <r>
    <s v="PAL0910"/>
    <n v="103"/>
    <x v="2"/>
    <s v="Anvers"/>
    <s v="Biscoe"/>
    <s v="Adult, 1 Egg Stage"/>
    <s v="N23A1"/>
    <s v="Yes"/>
    <x v="25"/>
    <n v="47.2"/>
    <n v="15.5"/>
    <n v="215"/>
    <x v="88"/>
    <x v="0"/>
    <n v="8.3081700000000005"/>
    <n v="-26.21651"/>
  </r>
  <r>
    <s v="PAL0910"/>
    <n v="104"/>
    <x v="2"/>
    <s v="Anvers"/>
    <s v="Biscoe"/>
    <s v="Adult, 1 Egg Stage"/>
    <s v="N23A2"/>
    <s v="Yes"/>
    <x v="25"/>
    <n v="49.1"/>
    <n v="15"/>
    <n v="228"/>
    <x v="89"/>
    <x v="1"/>
    <n v="8.6591400000000007"/>
    <n v="-25.79203"/>
  </r>
  <r>
    <s v="PAL0910"/>
    <n v="106"/>
    <x v="2"/>
    <s v="Anvers"/>
    <s v="Biscoe"/>
    <s v="Adult, 1 Egg Stage"/>
    <s v="N24A2"/>
    <s v="Yes"/>
    <x v="49"/>
    <n v="46.8"/>
    <n v="16.100000000000001"/>
    <n v="215"/>
    <x v="89"/>
    <x v="1"/>
    <n v="8.3235899999999994"/>
    <n v="-26.057559999999999"/>
  </r>
  <r>
    <s v="PAL0910"/>
    <n v="107"/>
    <x v="2"/>
    <s v="Anvers"/>
    <s v="Biscoe"/>
    <s v="Adult, 1 Egg Stage"/>
    <s v="N28A1"/>
    <s v="Yes"/>
    <x v="30"/>
    <n v="41.7"/>
    <n v="14.7"/>
    <n v="210"/>
    <x v="35"/>
    <x v="0"/>
    <n v="8.1231100000000005"/>
    <n v="-26.448149999999998"/>
  </r>
  <r>
    <s v="PAL0910"/>
    <n v="108"/>
    <x v="2"/>
    <s v="Anvers"/>
    <s v="Biscoe"/>
    <s v="Adult, 1 Egg Stage"/>
    <s v="N28A2"/>
    <s v="Yes"/>
    <x v="30"/>
    <n v="53.4"/>
    <n v="15.8"/>
    <n v="219"/>
    <x v="89"/>
    <x v="1"/>
    <n v="8.4101700000000008"/>
    <n v="-26.33867"/>
  </r>
  <r>
    <s v="PAL0910"/>
    <n v="109"/>
    <x v="2"/>
    <s v="Anvers"/>
    <s v="Biscoe"/>
    <s v="Adult, 1 Egg Stage"/>
    <s v="N29A1"/>
    <s v="Yes"/>
    <x v="20"/>
    <n v="43.3"/>
    <n v="14"/>
    <n v="208"/>
    <x v="90"/>
    <x v="0"/>
    <n v="8.4207000000000001"/>
    <n v="-26.38092"/>
  </r>
  <r>
    <s v="PAL0910"/>
    <n v="110"/>
    <x v="2"/>
    <s v="Anvers"/>
    <s v="Biscoe"/>
    <s v="Adult, 1 Egg Stage"/>
    <s v="N29A2"/>
    <s v="Yes"/>
    <x v="20"/>
    <n v="48.1"/>
    <n v="15.1"/>
    <n v="209"/>
    <x v="89"/>
    <x v="1"/>
    <n v="8.4573800000000006"/>
    <n v="-26.22664"/>
  </r>
  <r>
    <s v="PAL0910"/>
    <n v="111"/>
    <x v="2"/>
    <s v="Anvers"/>
    <s v="Biscoe"/>
    <s v="Adult, 1 Egg Stage"/>
    <s v="N32A1"/>
    <s v="Yes"/>
    <x v="22"/>
    <n v="50.5"/>
    <n v="15.2"/>
    <n v="216"/>
    <x v="69"/>
    <x v="0"/>
    <n v="8.2469099999999997"/>
    <n v="-26.184660000000001"/>
  </r>
  <r>
    <s v="PAL0910"/>
    <n v="112"/>
    <x v="2"/>
    <s v="Anvers"/>
    <s v="Biscoe"/>
    <s v="Adult, 1 Egg Stage"/>
    <s v="N32A2"/>
    <s v="Yes"/>
    <x v="22"/>
    <n v="49.8"/>
    <n v="15.9"/>
    <n v="229"/>
    <x v="82"/>
    <x v="1"/>
    <n v="8.2922600000000006"/>
    <n v="-26.210190000000001"/>
  </r>
  <r>
    <s v="PAL0910"/>
    <n v="113"/>
    <x v="2"/>
    <s v="Anvers"/>
    <s v="Biscoe"/>
    <s v="Adult, 1 Egg Stage"/>
    <s v="N34A1"/>
    <s v="Yes"/>
    <x v="41"/>
    <n v="43.5"/>
    <n v="15.2"/>
    <n v="213"/>
    <x v="64"/>
    <x v="0"/>
    <n v="8.2163400000000006"/>
    <n v="-26.11046"/>
  </r>
  <r>
    <s v="PAL0910"/>
    <n v="114"/>
    <x v="2"/>
    <s v="Anvers"/>
    <s v="Biscoe"/>
    <s v="Adult, 1 Egg Stage"/>
    <s v="N34A2"/>
    <s v="Yes"/>
    <x v="41"/>
    <n v="51.5"/>
    <n v="16.3"/>
    <n v="230"/>
    <x v="89"/>
    <x v="1"/>
    <n v="8.7855699999999999"/>
    <n v="-25.761469999999999"/>
  </r>
  <r>
    <s v="PAL0910"/>
    <n v="115"/>
    <x v="2"/>
    <s v="Anvers"/>
    <s v="Biscoe"/>
    <s v="Adult, 1 Egg Stage"/>
    <s v="N35A1"/>
    <s v="Yes"/>
    <x v="48"/>
    <n v="46.2"/>
    <n v="14.1"/>
    <n v="217"/>
    <x v="91"/>
    <x v="0"/>
    <n v="8.3023100000000003"/>
    <n v="-25.960129999999999"/>
  </r>
  <r>
    <s v="PAL0910"/>
    <n v="116"/>
    <x v="2"/>
    <s v="Anvers"/>
    <s v="Biscoe"/>
    <s v="Adult, 1 Egg Stage"/>
    <s v="N35A2"/>
    <s v="Yes"/>
    <x v="48"/>
    <n v="55.1"/>
    <n v="16"/>
    <n v="230"/>
    <x v="66"/>
    <x v="1"/>
    <n v="8.0835399999999993"/>
    <n v="-26.181609999999999"/>
  </r>
  <r>
    <s v="PAL0910"/>
    <n v="118"/>
    <x v="2"/>
    <s v="Anvers"/>
    <s v="Biscoe"/>
    <s v="Adult, 1 Egg Stage"/>
    <s v="N36A2"/>
    <s v="Yes"/>
    <x v="49"/>
    <n v="48.8"/>
    <n v="16.2"/>
    <n v="222"/>
    <x v="81"/>
    <x v="1"/>
    <n v="8.3382500000000004"/>
    <n v="-25.885470000000002"/>
  </r>
  <r>
    <s v="PAL0910"/>
    <n v="119"/>
    <x v="2"/>
    <s v="Anvers"/>
    <s v="Biscoe"/>
    <s v="Adult, 1 Egg Stage"/>
    <s v="N38A1"/>
    <s v="No"/>
    <x v="49"/>
    <n v="47.2"/>
    <n v="13.7"/>
    <n v="214"/>
    <x v="87"/>
    <x v="0"/>
    <n v="7.9918399999999998"/>
    <n v="-26.205380000000002"/>
  </r>
  <r>
    <s v="PAL0910"/>
    <n v="121"/>
    <x v="2"/>
    <s v="Anvers"/>
    <s v="Biscoe"/>
    <s v="Adult, 1 Egg Stage"/>
    <s v="N39A1"/>
    <s v="Yes"/>
    <x v="26"/>
    <n v="46.8"/>
    <n v="14.3"/>
    <n v="215"/>
    <x v="79"/>
    <x v="0"/>
    <n v="8.4115099999999998"/>
    <n v="-26.13832"/>
  </r>
  <r>
    <s v="PAL0910"/>
    <n v="122"/>
    <x v="2"/>
    <s v="Anvers"/>
    <s v="Biscoe"/>
    <s v="Adult, 1 Egg Stage"/>
    <s v="N39A2"/>
    <s v="Yes"/>
    <x v="26"/>
    <n v="50.4"/>
    <n v="15.7"/>
    <n v="222"/>
    <x v="92"/>
    <x v="1"/>
    <n v="8.30166"/>
    <n v="-26.041170000000001"/>
  </r>
  <r>
    <s v="PAL0910"/>
    <n v="123"/>
    <x v="2"/>
    <s v="Anvers"/>
    <s v="Biscoe"/>
    <s v="Adult, 1 Egg Stage"/>
    <s v="N43A1"/>
    <s v="Yes"/>
    <x v="26"/>
    <n v="45.2"/>
    <n v="14.8"/>
    <n v="212"/>
    <x v="62"/>
    <x v="0"/>
    <n v="8.2424599999999995"/>
    <n v="-26.119689999999999"/>
  </r>
  <r>
    <s v="PAL0910"/>
    <n v="124"/>
    <x v="2"/>
    <s v="Anvers"/>
    <s v="Biscoe"/>
    <s v="Adult, 1 Egg Stage"/>
    <s v="N43A2"/>
    <s v="Yes"/>
    <x v="26"/>
    <n v="49.9"/>
    <n v="16.100000000000001"/>
    <n v="213"/>
    <x v="61"/>
    <x v="1"/>
    <n v="8.3638999999999992"/>
    <n v="-26.1553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960635-7613-BE4B-A70B-810E20AF4817}" name="피벗 테이블3" cacheId="8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12:J17" firstHeaderRow="1" firstDataRow="2" firstDataCol="1"/>
  <pivotFields count="16"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Col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12"/>
  </colFields>
  <colItems count="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1">
    <dataField name="개수 : 개체ID" fld="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421783-8D59-E140-96CC-4A8F75569C44}" name="피벗 테이블1" cacheId="8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3:D8" firstHeaderRow="1" firstDataRow="2" firstDataCol="1"/>
  <pivotFields count="16"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Col" showAll="0">
      <items count="3">
        <item x="0"/>
        <item x="1"/>
        <item t="default"/>
      </items>
    </pivotField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평균 : 체중(g)" fld="12" subtotal="average" baseField="0" baseItem="0" numFmtId="1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3F349FF-88B2-5B4C-BF88-832E59AC9EF6}" name="표2" displayName="표2" ref="A1:P266" totalsRowCount="1" headerRowDxfId="34" dataDxfId="33">
  <autoFilter ref="A1:P265" xr:uid="{93F349FF-88B2-5B4C-BF88-832E59AC9EF6}"/>
  <tableColumns count="16">
    <tableColumn id="1" xr3:uid="{B8EEFD07-2CE3-BF41-974A-B5F6C69AA80C}" name="시도명" totalsRowLabel="요약" dataDxfId="32" totalsRowDxfId="31"/>
    <tableColumn id="2" xr3:uid="{18BE9E21-6799-F545-8BB6-A1F348A1EE6B}" name="시군구명" dataDxfId="30" totalsRowDxfId="29"/>
    <tableColumn id="3" xr3:uid="{EBE1A376-2C31-2D41-935B-1195AFA1A3AC}" name="측정연도" dataDxfId="28" totalsRowDxfId="27"/>
    <tableColumn id="4" xr3:uid="{792F33B9-95A1-6B46-9EB9-7DAAAA8500AF}" name="지하철호선명" dataDxfId="26" totalsRowDxfId="25"/>
    <tableColumn id="5" xr3:uid="{F23CBA72-5678-B142-B40E-FC985D7B4AD3}" name="지하철역사명" dataDxfId="24" totalsRowDxfId="23"/>
    <tableColumn id="6" xr3:uid="{3F5E37BF-EC5C-1444-B7CA-D78BE39B8E66}" name="측정위치" dataDxfId="22" totalsRowDxfId="21"/>
    <tableColumn id="7" xr3:uid="{AB374CC0-54F7-B94B-9AFF-E3003AC7EE73}" name="미세먼지" totalsRowFunction="average" dataDxfId="20" totalsRowDxfId="19"/>
    <tableColumn id="8" xr3:uid="{5E21CAD8-4852-874F-877D-6F1AFDA1B5E2}" name="초미세먼지" totalsRowFunction="average" dataDxfId="18" totalsRowDxfId="17"/>
    <tableColumn id="9" xr3:uid="{87187C79-08AD-C540-81F9-79384DBEE30F}" name="이산화탄소" totalsRowFunction="average" dataDxfId="16" totalsRowDxfId="15"/>
    <tableColumn id="10" xr3:uid="{0B87318B-1C1C-3B48-936D-859161866E1C}" name="폼알데하이드" totalsRowFunction="average" dataDxfId="14" totalsRowDxfId="13"/>
    <tableColumn id="11" xr3:uid="{198D1275-8E9B-C14D-9E1E-10AC8D9A1604}" name="일산화탄소" totalsRowFunction="average" dataDxfId="12" totalsRowDxfId="11"/>
    <tableColumn id="12" xr3:uid="{8D62B354-4D2B-3A4D-A46D-3B9EEA716F2C}" name="이산화질소" totalsRowFunction="average" dataDxfId="10" totalsRowDxfId="9"/>
    <tableColumn id="13" xr3:uid="{199C5A20-E657-B444-B20F-690FC3FC9FA9}" name="라돈" totalsRowFunction="average" dataDxfId="8" totalsRowDxfId="7"/>
    <tableColumn id="14" xr3:uid="{857BB6A3-8E7E-FA4F-A7C9-6E52313BB8AA}" name="휘발성유기화합물" totalsRowFunction="average" dataDxfId="6" totalsRowDxfId="5"/>
    <tableColumn id="15" xr3:uid="{0CBC0FF8-A71C-2C43-859B-85684A84A1ED}" name="관리기관명" dataDxfId="4" totalsRowDxfId="3"/>
    <tableColumn id="16" xr3:uid="{D1D37B39-50E5-7544-B403-88DD3C1E2DE7}" name="데이터기준일자" totalsRowFunction="count" dataDxfId="2" totalsRow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E41F5-9621-1B45-9D70-6A47D0589CF2}">
  <dimension ref="A1:P325"/>
  <sheetViews>
    <sheetView workbookViewId="0">
      <selection activeCell="A9" sqref="A9"/>
    </sheetView>
  </sheetViews>
  <sheetFormatPr baseColWidth="10" defaultColWidth="10.85546875" defaultRowHeight="18"/>
  <cols>
    <col min="1" max="1" width="8.7109375" bestFit="1" customWidth="1"/>
    <col min="2" max="2" width="8.5703125" bestFit="1" customWidth="1"/>
    <col min="3" max="3" width="35.5703125" bestFit="1" customWidth="1"/>
    <col min="4" max="4" width="7.28515625" bestFit="1" customWidth="1"/>
    <col min="5" max="5" width="9.140625" bestFit="1" customWidth="1"/>
    <col min="6" max="6" width="16.5703125" bestFit="1" customWidth="1"/>
    <col min="7" max="7" width="8.140625" bestFit="1" customWidth="1"/>
    <col min="8" max="8" width="8.5703125" bestFit="1" customWidth="1"/>
    <col min="9" max="9" width="11.140625" style="7" bestFit="1" customWidth="1"/>
    <col min="10" max="12" width="12.5703125" bestFit="1" customWidth="1"/>
    <col min="13" max="13" width="7.28515625" bestFit="1" customWidth="1"/>
    <col min="14" max="14" width="7.85546875" bestFit="1" customWidth="1"/>
    <col min="15" max="16" width="15.7109375" bestFit="1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7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>
        <v>1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s="6">
        <v>40144</v>
      </c>
      <c r="J2">
        <v>46.1</v>
      </c>
      <c r="K2">
        <v>13.2</v>
      </c>
      <c r="L2">
        <v>211</v>
      </c>
      <c r="M2">
        <v>4500</v>
      </c>
      <c r="N2" t="s">
        <v>23</v>
      </c>
      <c r="O2">
        <v>7.9930000000000003</v>
      </c>
      <c r="P2">
        <v>-25.5139</v>
      </c>
    </row>
    <row r="3" spans="1:16">
      <c r="A3" t="s">
        <v>16</v>
      </c>
      <c r="B3">
        <v>1</v>
      </c>
      <c r="C3" t="s">
        <v>24</v>
      </c>
      <c r="D3" t="s">
        <v>18</v>
      </c>
      <c r="E3" t="s">
        <v>25</v>
      </c>
      <c r="F3" t="s">
        <v>20</v>
      </c>
      <c r="G3" t="s">
        <v>26</v>
      </c>
      <c r="H3" t="s">
        <v>27</v>
      </c>
      <c r="I3" s="6">
        <v>40133</v>
      </c>
      <c r="J3">
        <v>46.5</v>
      </c>
      <c r="K3">
        <v>17.899999999999999</v>
      </c>
      <c r="L3">
        <v>192</v>
      </c>
      <c r="M3">
        <v>3500</v>
      </c>
      <c r="N3" t="s">
        <v>23</v>
      </c>
      <c r="O3">
        <v>9.0393500000000007</v>
      </c>
      <c r="P3">
        <v>-24.302289999999999</v>
      </c>
    </row>
    <row r="4" spans="1:16">
      <c r="A4" t="s">
        <v>16</v>
      </c>
      <c r="B4">
        <v>2</v>
      </c>
      <c r="C4" t="s">
        <v>28</v>
      </c>
      <c r="D4" t="s">
        <v>18</v>
      </c>
      <c r="E4" t="s">
        <v>29</v>
      </c>
      <c r="F4" t="s">
        <v>20</v>
      </c>
      <c r="G4" t="s">
        <v>30</v>
      </c>
      <c r="H4" t="s">
        <v>22</v>
      </c>
      <c r="I4" s="6">
        <v>40854</v>
      </c>
      <c r="J4">
        <v>39.5</v>
      </c>
      <c r="K4">
        <v>17.399999999999999</v>
      </c>
      <c r="L4">
        <v>186</v>
      </c>
      <c r="M4">
        <v>3800</v>
      </c>
      <c r="N4" t="s">
        <v>23</v>
      </c>
      <c r="O4">
        <v>8.94956</v>
      </c>
      <c r="P4">
        <v>-24.69454</v>
      </c>
    </row>
    <row r="5" spans="1:16">
      <c r="A5" t="s">
        <v>16</v>
      </c>
      <c r="B5">
        <v>2</v>
      </c>
      <c r="C5" t="s">
        <v>17</v>
      </c>
      <c r="D5" t="s">
        <v>18</v>
      </c>
      <c r="E5" t="s">
        <v>19</v>
      </c>
      <c r="F5" t="s">
        <v>20</v>
      </c>
      <c r="G5" t="s">
        <v>31</v>
      </c>
      <c r="H5" t="s">
        <v>22</v>
      </c>
      <c r="I5" s="6">
        <v>40144</v>
      </c>
      <c r="J5">
        <v>50</v>
      </c>
      <c r="K5">
        <v>16.3</v>
      </c>
      <c r="L5">
        <v>230</v>
      </c>
      <c r="M5">
        <v>5700</v>
      </c>
      <c r="N5" t="s">
        <v>32</v>
      </c>
      <c r="O5">
        <v>8.1475600000000004</v>
      </c>
      <c r="P5">
        <v>-25.393689999999999</v>
      </c>
    </row>
    <row r="6" spans="1:16">
      <c r="A6" t="s">
        <v>16</v>
      </c>
      <c r="B6">
        <v>2</v>
      </c>
      <c r="C6" t="s">
        <v>24</v>
      </c>
      <c r="D6" t="s">
        <v>18</v>
      </c>
      <c r="E6" t="s">
        <v>25</v>
      </c>
      <c r="F6" t="s">
        <v>20</v>
      </c>
      <c r="G6" t="s">
        <v>33</v>
      </c>
      <c r="H6" t="s">
        <v>27</v>
      </c>
      <c r="I6" s="6">
        <v>40131</v>
      </c>
      <c r="J6">
        <v>50</v>
      </c>
      <c r="K6">
        <v>19.5</v>
      </c>
      <c r="L6">
        <v>196</v>
      </c>
      <c r="M6">
        <v>3900</v>
      </c>
      <c r="N6" t="s">
        <v>32</v>
      </c>
      <c r="O6">
        <v>8.9206900000000005</v>
      </c>
      <c r="P6">
        <v>-24.23592</v>
      </c>
    </row>
    <row r="7" spans="1:16">
      <c r="A7" t="s">
        <v>16</v>
      </c>
      <c r="B7">
        <v>3</v>
      </c>
      <c r="C7" t="s">
        <v>28</v>
      </c>
      <c r="D7" t="s">
        <v>18</v>
      </c>
      <c r="E7" t="s">
        <v>29</v>
      </c>
      <c r="F7" t="s">
        <v>20</v>
      </c>
      <c r="G7" t="s">
        <v>34</v>
      </c>
      <c r="H7" t="s">
        <v>22</v>
      </c>
      <c r="I7" s="6">
        <v>40854</v>
      </c>
      <c r="J7">
        <v>40.299999999999997</v>
      </c>
      <c r="K7">
        <v>18</v>
      </c>
      <c r="L7">
        <v>195</v>
      </c>
      <c r="M7">
        <v>3250</v>
      </c>
      <c r="N7" t="s">
        <v>23</v>
      </c>
      <c r="O7">
        <v>8.3682099999999995</v>
      </c>
      <c r="P7">
        <v>-25.333020000000001</v>
      </c>
    </row>
    <row r="8" spans="1:16">
      <c r="A8" t="s">
        <v>16</v>
      </c>
      <c r="B8">
        <v>3</v>
      </c>
      <c r="C8" t="s">
        <v>17</v>
      </c>
      <c r="D8" t="s">
        <v>18</v>
      </c>
      <c r="E8" t="s">
        <v>19</v>
      </c>
      <c r="F8" t="s">
        <v>20</v>
      </c>
      <c r="G8" t="s">
        <v>35</v>
      </c>
      <c r="H8" t="s">
        <v>22</v>
      </c>
      <c r="I8" s="6">
        <v>40138</v>
      </c>
      <c r="J8">
        <v>48.7</v>
      </c>
      <c r="K8">
        <v>14.1</v>
      </c>
      <c r="L8">
        <v>210</v>
      </c>
      <c r="M8">
        <v>4450</v>
      </c>
      <c r="N8" t="s">
        <v>23</v>
      </c>
      <c r="O8">
        <v>8.1470500000000001</v>
      </c>
      <c r="P8">
        <v>-25.46172</v>
      </c>
    </row>
    <row r="9" spans="1:16">
      <c r="A9" t="s">
        <v>16</v>
      </c>
      <c r="B9">
        <v>3</v>
      </c>
      <c r="C9" t="s">
        <v>24</v>
      </c>
      <c r="D9" t="s">
        <v>18</v>
      </c>
      <c r="E9" t="s">
        <v>25</v>
      </c>
      <c r="F9" t="s">
        <v>20</v>
      </c>
      <c r="G9" t="s">
        <v>36</v>
      </c>
      <c r="H9" t="s">
        <v>22</v>
      </c>
      <c r="I9" s="6">
        <v>40131</v>
      </c>
      <c r="J9">
        <v>51.3</v>
      </c>
      <c r="K9">
        <v>19.2</v>
      </c>
      <c r="L9">
        <v>193</v>
      </c>
      <c r="M9">
        <v>3650</v>
      </c>
      <c r="N9" t="s">
        <v>32</v>
      </c>
      <c r="O9">
        <v>9.2907799999999998</v>
      </c>
      <c r="P9">
        <v>-24.755700000000001</v>
      </c>
    </row>
    <row r="10" spans="1:16">
      <c r="A10" t="s">
        <v>16</v>
      </c>
      <c r="B10">
        <v>4</v>
      </c>
      <c r="C10" t="s">
        <v>17</v>
      </c>
      <c r="D10" t="s">
        <v>18</v>
      </c>
      <c r="E10" t="s">
        <v>19</v>
      </c>
      <c r="F10" t="s">
        <v>20</v>
      </c>
      <c r="G10" t="s">
        <v>37</v>
      </c>
      <c r="H10" t="s">
        <v>22</v>
      </c>
      <c r="I10" s="6">
        <v>40138</v>
      </c>
      <c r="J10">
        <v>50</v>
      </c>
      <c r="K10">
        <v>15.2</v>
      </c>
      <c r="L10">
        <v>218</v>
      </c>
      <c r="M10">
        <v>5700</v>
      </c>
      <c r="N10" t="s">
        <v>32</v>
      </c>
      <c r="O10">
        <v>8.2553999999999998</v>
      </c>
      <c r="P10">
        <v>-25.400749999999999</v>
      </c>
    </row>
    <row r="11" spans="1:16">
      <c r="A11" t="s">
        <v>16</v>
      </c>
      <c r="B11">
        <v>4</v>
      </c>
      <c r="C11" t="s">
        <v>24</v>
      </c>
      <c r="D11" t="s">
        <v>18</v>
      </c>
      <c r="E11" t="s">
        <v>25</v>
      </c>
      <c r="F11" t="s">
        <v>20</v>
      </c>
      <c r="G11" t="s">
        <v>38</v>
      </c>
      <c r="H11" t="s">
        <v>22</v>
      </c>
      <c r="I11" s="6">
        <v>40133</v>
      </c>
      <c r="J11">
        <v>45.4</v>
      </c>
      <c r="K11">
        <v>18.7</v>
      </c>
      <c r="L11">
        <v>188</v>
      </c>
      <c r="M11">
        <v>3525</v>
      </c>
      <c r="N11" t="s">
        <v>23</v>
      </c>
      <c r="O11">
        <v>8.6470099999999999</v>
      </c>
      <c r="P11">
        <v>-24.62717</v>
      </c>
    </row>
    <row r="12" spans="1:16">
      <c r="A12" t="s">
        <v>16</v>
      </c>
      <c r="B12">
        <v>5</v>
      </c>
      <c r="C12" t="s">
        <v>17</v>
      </c>
      <c r="D12" t="s">
        <v>18</v>
      </c>
      <c r="E12" t="s">
        <v>19</v>
      </c>
      <c r="F12" t="s">
        <v>20</v>
      </c>
      <c r="G12" t="s">
        <v>39</v>
      </c>
      <c r="H12" t="s">
        <v>22</v>
      </c>
      <c r="I12" s="6">
        <v>40138</v>
      </c>
      <c r="J12">
        <v>47.6</v>
      </c>
      <c r="K12">
        <v>14.5</v>
      </c>
      <c r="L12">
        <v>215</v>
      </c>
      <c r="M12">
        <v>5400</v>
      </c>
      <c r="N12" t="s">
        <v>32</v>
      </c>
      <c r="O12">
        <v>8.2345000000000006</v>
      </c>
      <c r="P12">
        <v>-25.544560000000001</v>
      </c>
    </row>
    <row r="13" spans="1:16">
      <c r="A13" t="s">
        <v>16</v>
      </c>
      <c r="B13">
        <v>5</v>
      </c>
      <c r="C13" t="s">
        <v>24</v>
      </c>
      <c r="D13" t="s">
        <v>18</v>
      </c>
      <c r="E13" t="s">
        <v>25</v>
      </c>
      <c r="F13" t="s">
        <v>20</v>
      </c>
      <c r="G13" t="s">
        <v>40</v>
      </c>
      <c r="H13" t="s">
        <v>22</v>
      </c>
      <c r="I13" s="6">
        <v>40133</v>
      </c>
      <c r="J13">
        <v>52.7</v>
      </c>
      <c r="K13">
        <v>19.8</v>
      </c>
      <c r="L13">
        <v>197</v>
      </c>
      <c r="M13">
        <v>3725</v>
      </c>
      <c r="N13" t="s">
        <v>32</v>
      </c>
      <c r="O13">
        <v>9.0064200000000003</v>
      </c>
      <c r="P13">
        <v>-24.618670000000002</v>
      </c>
    </row>
    <row r="14" spans="1:16">
      <c r="A14" t="s">
        <v>16</v>
      </c>
      <c r="B14">
        <v>5</v>
      </c>
      <c r="C14" t="s">
        <v>28</v>
      </c>
      <c r="D14" t="s">
        <v>18</v>
      </c>
      <c r="E14" t="s">
        <v>29</v>
      </c>
      <c r="F14" t="s">
        <v>20</v>
      </c>
      <c r="G14" t="s">
        <v>41</v>
      </c>
      <c r="H14" t="s">
        <v>22</v>
      </c>
      <c r="I14" s="6">
        <v>39402</v>
      </c>
      <c r="J14">
        <v>36.700000000000003</v>
      </c>
      <c r="K14">
        <v>19.3</v>
      </c>
      <c r="L14">
        <v>193</v>
      </c>
      <c r="M14">
        <v>3450</v>
      </c>
      <c r="N14" t="s">
        <v>23</v>
      </c>
      <c r="O14">
        <v>8.7665100000000002</v>
      </c>
      <c r="P14">
        <v>-25.324259999999999</v>
      </c>
    </row>
    <row r="15" spans="1:16">
      <c r="A15" t="s">
        <v>16</v>
      </c>
      <c r="B15">
        <v>6</v>
      </c>
      <c r="C15" t="s">
        <v>17</v>
      </c>
      <c r="D15" t="s">
        <v>18</v>
      </c>
      <c r="E15" t="s">
        <v>19</v>
      </c>
      <c r="F15" t="s">
        <v>20</v>
      </c>
      <c r="G15" t="s">
        <v>42</v>
      </c>
      <c r="H15" t="s">
        <v>22</v>
      </c>
      <c r="I15" s="6">
        <v>40138</v>
      </c>
      <c r="J15">
        <v>46.5</v>
      </c>
      <c r="K15">
        <v>13.5</v>
      </c>
      <c r="L15">
        <v>210</v>
      </c>
      <c r="M15">
        <v>4550</v>
      </c>
      <c r="N15" t="s">
        <v>23</v>
      </c>
      <c r="O15">
        <v>7.9953000000000003</v>
      </c>
      <c r="P15">
        <v>-25.328289999999999</v>
      </c>
    </row>
    <row r="16" spans="1:16">
      <c r="A16" t="s">
        <v>16</v>
      </c>
      <c r="B16">
        <v>6</v>
      </c>
      <c r="C16" t="s">
        <v>24</v>
      </c>
      <c r="D16" t="s">
        <v>18</v>
      </c>
      <c r="E16" t="s">
        <v>25</v>
      </c>
      <c r="F16" t="s">
        <v>20</v>
      </c>
      <c r="G16" t="s">
        <v>43</v>
      </c>
      <c r="H16" t="s">
        <v>22</v>
      </c>
      <c r="I16" s="6">
        <v>40133</v>
      </c>
      <c r="J16">
        <v>45.2</v>
      </c>
      <c r="K16">
        <v>17.8</v>
      </c>
      <c r="L16">
        <v>198</v>
      </c>
      <c r="M16">
        <v>3950</v>
      </c>
      <c r="N16" t="s">
        <v>23</v>
      </c>
      <c r="O16">
        <v>8.8894199999999994</v>
      </c>
      <c r="P16">
        <v>-24.494330000000001</v>
      </c>
    </row>
    <row r="17" spans="1:16">
      <c r="A17" t="s">
        <v>16</v>
      </c>
      <c r="B17">
        <v>6</v>
      </c>
      <c r="C17" t="s">
        <v>28</v>
      </c>
      <c r="D17" t="s">
        <v>18</v>
      </c>
      <c r="E17" t="s">
        <v>29</v>
      </c>
      <c r="F17" t="s">
        <v>20</v>
      </c>
      <c r="G17" t="s">
        <v>44</v>
      </c>
      <c r="H17" t="s">
        <v>22</v>
      </c>
      <c r="I17" s="6">
        <v>39402</v>
      </c>
      <c r="J17">
        <v>39.299999999999997</v>
      </c>
      <c r="K17">
        <v>20.6</v>
      </c>
      <c r="L17">
        <v>190</v>
      </c>
      <c r="M17">
        <v>3650</v>
      </c>
      <c r="N17" t="s">
        <v>32</v>
      </c>
      <c r="O17">
        <v>8.6649600000000007</v>
      </c>
      <c r="P17">
        <v>-25.29805</v>
      </c>
    </row>
    <row r="18" spans="1:16">
      <c r="A18" t="s">
        <v>16</v>
      </c>
      <c r="B18">
        <v>7</v>
      </c>
      <c r="C18" t="s">
        <v>17</v>
      </c>
      <c r="D18" t="s">
        <v>18</v>
      </c>
      <c r="E18" t="s">
        <v>19</v>
      </c>
      <c r="F18" t="s">
        <v>20</v>
      </c>
      <c r="G18" t="s">
        <v>45</v>
      </c>
      <c r="H18" t="s">
        <v>22</v>
      </c>
      <c r="I18" s="6">
        <v>40144</v>
      </c>
      <c r="J18">
        <v>45.4</v>
      </c>
      <c r="K18">
        <v>14.6</v>
      </c>
      <c r="L18">
        <v>211</v>
      </c>
      <c r="M18">
        <v>4800</v>
      </c>
      <c r="N18" t="s">
        <v>23</v>
      </c>
      <c r="O18">
        <v>8.2451500000000006</v>
      </c>
      <c r="P18">
        <v>-25.46782</v>
      </c>
    </row>
    <row r="19" spans="1:16">
      <c r="A19" t="s">
        <v>16</v>
      </c>
      <c r="B19">
        <v>7</v>
      </c>
      <c r="C19" t="s">
        <v>24</v>
      </c>
      <c r="D19" t="s">
        <v>18</v>
      </c>
      <c r="E19" t="s">
        <v>25</v>
      </c>
      <c r="F19" t="s">
        <v>20</v>
      </c>
      <c r="G19" t="s">
        <v>46</v>
      </c>
      <c r="H19" t="s">
        <v>22</v>
      </c>
      <c r="I19" s="6">
        <v>40133</v>
      </c>
      <c r="J19">
        <v>46.1</v>
      </c>
      <c r="K19">
        <v>18.2</v>
      </c>
      <c r="L19">
        <v>178</v>
      </c>
      <c r="M19">
        <v>3250</v>
      </c>
      <c r="N19" t="s">
        <v>23</v>
      </c>
      <c r="O19">
        <v>8.8566400000000005</v>
      </c>
      <c r="P19">
        <v>-24.556439999999998</v>
      </c>
    </row>
    <row r="20" spans="1:16">
      <c r="A20" t="s">
        <v>16</v>
      </c>
      <c r="B20">
        <v>7</v>
      </c>
      <c r="C20" t="s">
        <v>28</v>
      </c>
      <c r="D20" t="s">
        <v>18</v>
      </c>
      <c r="E20" t="s">
        <v>29</v>
      </c>
      <c r="F20" t="s">
        <v>20</v>
      </c>
      <c r="G20" t="s">
        <v>47</v>
      </c>
      <c r="H20" t="s">
        <v>27</v>
      </c>
      <c r="I20" s="6">
        <v>39402</v>
      </c>
      <c r="J20">
        <v>38.9</v>
      </c>
      <c r="K20">
        <v>17.8</v>
      </c>
      <c r="L20">
        <v>181</v>
      </c>
      <c r="M20">
        <v>3625</v>
      </c>
      <c r="N20" t="s">
        <v>23</v>
      </c>
      <c r="O20">
        <v>9.1871799999999997</v>
      </c>
      <c r="P20">
        <v>-25.21799</v>
      </c>
    </row>
    <row r="21" spans="1:16">
      <c r="A21" t="s">
        <v>16</v>
      </c>
      <c r="B21">
        <v>8</v>
      </c>
      <c r="C21" t="s">
        <v>17</v>
      </c>
      <c r="D21" t="s">
        <v>18</v>
      </c>
      <c r="E21" t="s">
        <v>19</v>
      </c>
      <c r="F21" t="s">
        <v>20</v>
      </c>
      <c r="G21" t="s">
        <v>48</v>
      </c>
      <c r="H21" t="s">
        <v>22</v>
      </c>
      <c r="I21" s="6">
        <v>40144</v>
      </c>
      <c r="J21">
        <v>46.7</v>
      </c>
      <c r="K21">
        <v>15.3</v>
      </c>
      <c r="L21">
        <v>219</v>
      </c>
      <c r="M21">
        <v>5200</v>
      </c>
      <c r="N21" t="s">
        <v>32</v>
      </c>
      <c r="O21">
        <v>8.2267299999999999</v>
      </c>
      <c r="P21">
        <v>-25.427600000000002</v>
      </c>
    </row>
    <row r="22" spans="1:16">
      <c r="A22" t="s">
        <v>16</v>
      </c>
      <c r="B22">
        <v>8</v>
      </c>
      <c r="C22" t="s">
        <v>24</v>
      </c>
      <c r="D22" t="s">
        <v>18</v>
      </c>
      <c r="E22" t="s">
        <v>25</v>
      </c>
      <c r="F22" t="s">
        <v>20</v>
      </c>
      <c r="G22" t="s">
        <v>49</v>
      </c>
      <c r="H22" t="s">
        <v>22</v>
      </c>
      <c r="I22" s="6">
        <v>40130</v>
      </c>
      <c r="J22">
        <v>51.3</v>
      </c>
      <c r="K22">
        <v>18.2</v>
      </c>
      <c r="L22">
        <v>197</v>
      </c>
      <c r="M22">
        <v>3750</v>
      </c>
      <c r="N22" t="s">
        <v>32</v>
      </c>
      <c r="O22">
        <v>8.6370100000000001</v>
      </c>
      <c r="P22">
        <v>-24.840589999999999</v>
      </c>
    </row>
    <row r="23" spans="1:16">
      <c r="A23" t="s">
        <v>16</v>
      </c>
      <c r="B23">
        <v>8</v>
      </c>
      <c r="C23" t="s">
        <v>28</v>
      </c>
      <c r="D23" t="s">
        <v>18</v>
      </c>
      <c r="E23" t="s">
        <v>29</v>
      </c>
      <c r="F23" t="s">
        <v>20</v>
      </c>
      <c r="G23" t="s">
        <v>50</v>
      </c>
      <c r="H23" t="s">
        <v>27</v>
      </c>
      <c r="I23" s="6">
        <v>39402</v>
      </c>
      <c r="J23">
        <v>39.200000000000003</v>
      </c>
      <c r="K23">
        <v>19.600000000000001</v>
      </c>
      <c r="L23">
        <v>195</v>
      </c>
      <c r="M23">
        <v>4675</v>
      </c>
      <c r="N23" t="s">
        <v>32</v>
      </c>
      <c r="O23">
        <v>9.4605999999999995</v>
      </c>
      <c r="P23">
        <v>-24.89958</v>
      </c>
    </row>
    <row r="24" spans="1:16">
      <c r="A24" t="s">
        <v>16</v>
      </c>
      <c r="B24">
        <v>9</v>
      </c>
      <c r="C24" t="s">
        <v>17</v>
      </c>
      <c r="D24" t="s">
        <v>18</v>
      </c>
      <c r="E24" t="s">
        <v>19</v>
      </c>
      <c r="F24" t="s">
        <v>20</v>
      </c>
      <c r="G24" t="s">
        <v>51</v>
      </c>
      <c r="H24" t="s">
        <v>22</v>
      </c>
      <c r="I24" s="6">
        <v>40136</v>
      </c>
      <c r="J24">
        <v>43.3</v>
      </c>
      <c r="K24">
        <v>13.4</v>
      </c>
      <c r="L24">
        <v>209</v>
      </c>
      <c r="M24">
        <v>4400</v>
      </c>
      <c r="N24" t="s">
        <v>23</v>
      </c>
      <c r="O24">
        <v>8.1364300000000007</v>
      </c>
      <c r="P24">
        <v>-25.321760000000001</v>
      </c>
    </row>
    <row r="25" spans="1:16">
      <c r="A25" t="s">
        <v>16</v>
      </c>
      <c r="B25">
        <v>9</v>
      </c>
      <c r="C25" t="s">
        <v>24</v>
      </c>
      <c r="D25" t="s">
        <v>18</v>
      </c>
      <c r="E25" t="s">
        <v>25</v>
      </c>
      <c r="F25" t="s">
        <v>20</v>
      </c>
      <c r="G25" t="s">
        <v>52</v>
      </c>
      <c r="H25" t="s">
        <v>22</v>
      </c>
      <c r="I25" s="6">
        <v>40130</v>
      </c>
      <c r="J25">
        <v>46</v>
      </c>
      <c r="K25">
        <v>18.899999999999999</v>
      </c>
      <c r="L25">
        <v>195</v>
      </c>
      <c r="M25">
        <v>4150</v>
      </c>
      <c r="N25" t="s">
        <v>23</v>
      </c>
      <c r="O25">
        <v>8.4717300000000009</v>
      </c>
      <c r="P25">
        <v>-24.292290000000001</v>
      </c>
    </row>
    <row r="26" spans="1:16">
      <c r="A26" t="s">
        <v>16</v>
      </c>
      <c r="B26">
        <v>10</v>
      </c>
      <c r="C26" t="s">
        <v>17</v>
      </c>
      <c r="D26" t="s">
        <v>18</v>
      </c>
      <c r="E26" t="s">
        <v>19</v>
      </c>
      <c r="F26" t="s">
        <v>20</v>
      </c>
      <c r="G26" t="s">
        <v>53</v>
      </c>
      <c r="H26" t="s">
        <v>22</v>
      </c>
      <c r="I26" s="6">
        <v>40136</v>
      </c>
      <c r="J26">
        <v>46.8</v>
      </c>
      <c r="K26">
        <v>15.4</v>
      </c>
      <c r="L26">
        <v>215</v>
      </c>
      <c r="M26">
        <v>5150</v>
      </c>
      <c r="N26" t="s">
        <v>32</v>
      </c>
      <c r="O26">
        <v>8.1631</v>
      </c>
      <c r="P26">
        <v>-25.38017</v>
      </c>
    </row>
    <row r="27" spans="1:16">
      <c r="A27" t="s">
        <v>16</v>
      </c>
      <c r="B27">
        <v>10</v>
      </c>
      <c r="C27" t="s">
        <v>24</v>
      </c>
      <c r="D27" t="s">
        <v>18</v>
      </c>
      <c r="E27" t="s">
        <v>25</v>
      </c>
      <c r="F27" t="s">
        <v>20</v>
      </c>
      <c r="G27" t="s">
        <v>54</v>
      </c>
      <c r="H27" t="s">
        <v>22</v>
      </c>
      <c r="I27" s="6">
        <v>40134</v>
      </c>
      <c r="J27">
        <v>51.3</v>
      </c>
      <c r="K27">
        <v>19.899999999999999</v>
      </c>
      <c r="L27">
        <v>198</v>
      </c>
      <c r="M27">
        <v>3700</v>
      </c>
      <c r="N27" t="s">
        <v>32</v>
      </c>
      <c r="O27">
        <v>8.7958099999999995</v>
      </c>
      <c r="P27">
        <v>-24.360880000000002</v>
      </c>
    </row>
    <row r="28" spans="1:16">
      <c r="A28" t="s">
        <v>16</v>
      </c>
      <c r="B28">
        <v>11</v>
      </c>
      <c r="C28" t="s">
        <v>17</v>
      </c>
      <c r="D28" t="s">
        <v>18</v>
      </c>
      <c r="E28" t="s">
        <v>19</v>
      </c>
      <c r="F28" t="s">
        <v>20</v>
      </c>
      <c r="G28" t="s">
        <v>55</v>
      </c>
      <c r="H28" t="s">
        <v>27</v>
      </c>
      <c r="I28" s="6">
        <v>40138</v>
      </c>
      <c r="J28">
        <v>40.9</v>
      </c>
      <c r="K28">
        <v>13.7</v>
      </c>
      <c r="L28">
        <v>214</v>
      </c>
      <c r="M28">
        <v>4650</v>
      </c>
      <c r="N28" t="s">
        <v>23</v>
      </c>
      <c r="O28">
        <v>8.1957900000000006</v>
      </c>
      <c r="P28">
        <v>-25.3933</v>
      </c>
    </row>
    <row r="29" spans="1:16">
      <c r="A29" t="s">
        <v>16</v>
      </c>
      <c r="B29">
        <v>11</v>
      </c>
      <c r="C29" t="s">
        <v>24</v>
      </c>
      <c r="D29" t="s">
        <v>18</v>
      </c>
      <c r="E29" t="s">
        <v>25</v>
      </c>
      <c r="F29" t="s">
        <v>20</v>
      </c>
      <c r="G29" t="s">
        <v>56</v>
      </c>
      <c r="H29" t="s">
        <v>22</v>
      </c>
      <c r="I29" s="6">
        <v>40134</v>
      </c>
      <c r="J29">
        <v>46.6</v>
      </c>
      <c r="K29">
        <v>17.8</v>
      </c>
      <c r="L29">
        <v>193</v>
      </c>
      <c r="M29">
        <v>3800</v>
      </c>
      <c r="N29" t="s">
        <v>23</v>
      </c>
      <c r="O29">
        <v>8.9506300000000003</v>
      </c>
      <c r="P29">
        <v>-24.598970000000001</v>
      </c>
    </row>
    <row r="30" spans="1:16">
      <c r="A30" t="s">
        <v>16</v>
      </c>
      <c r="B30">
        <v>12</v>
      </c>
      <c r="C30" t="s">
        <v>17</v>
      </c>
      <c r="D30" t="s">
        <v>18</v>
      </c>
      <c r="E30" t="s">
        <v>19</v>
      </c>
      <c r="F30" t="s">
        <v>20</v>
      </c>
      <c r="G30" t="s">
        <v>57</v>
      </c>
      <c r="H30" t="s">
        <v>27</v>
      </c>
      <c r="I30" s="6">
        <v>40138</v>
      </c>
      <c r="J30">
        <v>49</v>
      </c>
      <c r="K30">
        <v>16.100000000000001</v>
      </c>
      <c r="L30">
        <v>216</v>
      </c>
      <c r="M30">
        <v>5550</v>
      </c>
      <c r="N30" t="s">
        <v>32</v>
      </c>
      <c r="O30">
        <v>8.1041699999999999</v>
      </c>
      <c r="P30">
        <v>-25.50562</v>
      </c>
    </row>
    <row r="31" spans="1:16">
      <c r="A31" t="s">
        <v>16</v>
      </c>
      <c r="B31">
        <v>12</v>
      </c>
      <c r="C31" t="s">
        <v>24</v>
      </c>
      <c r="D31" t="s">
        <v>18</v>
      </c>
      <c r="E31" t="s">
        <v>25</v>
      </c>
      <c r="F31" t="s">
        <v>20</v>
      </c>
      <c r="G31" t="s">
        <v>58</v>
      </c>
      <c r="H31" t="s">
        <v>22</v>
      </c>
      <c r="I31" s="6">
        <v>40134</v>
      </c>
      <c r="J31">
        <v>51.7</v>
      </c>
      <c r="K31">
        <v>20.3</v>
      </c>
      <c r="L31">
        <v>194</v>
      </c>
      <c r="M31">
        <v>3775</v>
      </c>
      <c r="N31" t="s">
        <v>32</v>
      </c>
      <c r="O31">
        <v>8.6874699999999994</v>
      </c>
      <c r="P31">
        <v>-24.387509999999999</v>
      </c>
    </row>
    <row r="32" spans="1:16">
      <c r="A32" t="s">
        <v>16</v>
      </c>
      <c r="B32">
        <v>13</v>
      </c>
      <c r="C32" t="s">
        <v>17</v>
      </c>
      <c r="D32" t="s">
        <v>18</v>
      </c>
      <c r="E32" t="s">
        <v>19</v>
      </c>
      <c r="F32" t="s">
        <v>20</v>
      </c>
      <c r="G32" t="s">
        <v>59</v>
      </c>
      <c r="H32" t="s">
        <v>22</v>
      </c>
      <c r="I32" s="6">
        <v>40138</v>
      </c>
      <c r="J32">
        <v>45.5</v>
      </c>
      <c r="K32">
        <v>13.7</v>
      </c>
      <c r="L32">
        <v>214</v>
      </c>
      <c r="M32">
        <v>4650</v>
      </c>
      <c r="N32" t="s">
        <v>23</v>
      </c>
      <c r="O32">
        <v>7.7767200000000001</v>
      </c>
      <c r="P32">
        <v>-25.416799999999999</v>
      </c>
    </row>
    <row r="33" spans="1:16">
      <c r="A33" t="s">
        <v>16</v>
      </c>
      <c r="B33">
        <v>13</v>
      </c>
      <c r="C33" t="s">
        <v>24</v>
      </c>
      <c r="D33" t="s">
        <v>18</v>
      </c>
      <c r="E33" t="s">
        <v>25</v>
      </c>
      <c r="F33" t="s">
        <v>20</v>
      </c>
      <c r="G33" t="s">
        <v>60</v>
      </c>
      <c r="H33" t="s">
        <v>22</v>
      </c>
      <c r="I33" s="6">
        <v>40134</v>
      </c>
      <c r="J33">
        <v>47</v>
      </c>
      <c r="K33">
        <v>17.3</v>
      </c>
      <c r="L33">
        <v>185</v>
      </c>
      <c r="M33">
        <v>3700</v>
      </c>
      <c r="N33" t="s">
        <v>23</v>
      </c>
      <c r="O33">
        <v>8.7203700000000008</v>
      </c>
      <c r="P33">
        <v>-24.805260000000001</v>
      </c>
    </row>
    <row r="34" spans="1:16">
      <c r="A34" t="s">
        <v>16</v>
      </c>
      <c r="B34">
        <v>14</v>
      </c>
      <c r="C34" t="s">
        <v>17</v>
      </c>
      <c r="D34" t="s">
        <v>18</v>
      </c>
      <c r="E34" t="s">
        <v>19</v>
      </c>
      <c r="F34" t="s">
        <v>20</v>
      </c>
      <c r="G34" t="s">
        <v>61</v>
      </c>
      <c r="H34" t="s">
        <v>22</v>
      </c>
      <c r="I34" s="6">
        <v>40138</v>
      </c>
      <c r="J34">
        <v>48.4</v>
      </c>
      <c r="K34">
        <v>14.6</v>
      </c>
      <c r="L34">
        <v>213</v>
      </c>
      <c r="M34">
        <v>5850</v>
      </c>
      <c r="N34" t="s">
        <v>32</v>
      </c>
      <c r="O34">
        <v>7.8208000000000002</v>
      </c>
      <c r="P34">
        <v>-25.480250000000002</v>
      </c>
    </row>
    <row r="35" spans="1:16">
      <c r="A35" t="s">
        <v>16</v>
      </c>
      <c r="B35">
        <v>14</v>
      </c>
      <c r="C35" t="s">
        <v>24</v>
      </c>
      <c r="D35" t="s">
        <v>18</v>
      </c>
      <c r="E35" t="s">
        <v>25</v>
      </c>
      <c r="F35" t="s">
        <v>20</v>
      </c>
      <c r="G35" t="s">
        <v>62</v>
      </c>
      <c r="H35" t="s">
        <v>22</v>
      </c>
      <c r="I35" s="6">
        <v>39405</v>
      </c>
      <c r="J35">
        <v>52</v>
      </c>
      <c r="K35">
        <v>18.100000000000001</v>
      </c>
      <c r="L35">
        <v>201</v>
      </c>
      <c r="M35">
        <v>4050</v>
      </c>
      <c r="N35" t="s">
        <v>32</v>
      </c>
      <c r="O35">
        <v>9.0233000000000008</v>
      </c>
      <c r="P35">
        <v>-24.389330000000001</v>
      </c>
    </row>
    <row r="36" spans="1:16">
      <c r="A36" t="s">
        <v>16</v>
      </c>
      <c r="B36">
        <v>15</v>
      </c>
      <c r="C36" t="s">
        <v>17</v>
      </c>
      <c r="D36" t="s">
        <v>18</v>
      </c>
      <c r="E36" t="s">
        <v>19</v>
      </c>
      <c r="F36" t="s">
        <v>20</v>
      </c>
      <c r="G36" t="s">
        <v>63</v>
      </c>
      <c r="H36" t="s">
        <v>22</v>
      </c>
      <c r="I36" s="6">
        <v>39413</v>
      </c>
      <c r="J36">
        <v>45.8</v>
      </c>
      <c r="K36">
        <v>14.6</v>
      </c>
      <c r="L36">
        <v>210</v>
      </c>
      <c r="M36">
        <v>4200</v>
      </c>
      <c r="N36" t="s">
        <v>23</v>
      </c>
      <c r="O36">
        <v>7.7995799999999997</v>
      </c>
      <c r="P36">
        <v>-25.626180000000002</v>
      </c>
    </row>
    <row r="37" spans="1:16">
      <c r="A37" t="s">
        <v>16</v>
      </c>
      <c r="B37">
        <v>15</v>
      </c>
      <c r="C37" t="s">
        <v>24</v>
      </c>
      <c r="D37" t="s">
        <v>18</v>
      </c>
      <c r="E37" t="s">
        <v>25</v>
      </c>
      <c r="F37" t="s">
        <v>20</v>
      </c>
      <c r="G37" t="s">
        <v>64</v>
      </c>
      <c r="H37" t="s">
        <v>22</v>
      </c>
      <c r="I37" s="6">
        <v>39405</v>
      </c>
      <c r="J37">
        <v>45.9</v>
      </c>
      <c r="K37">
        <v>17.100000000000001</v>
      </c>
      <c r="L37">
        <v>190</v>
      </c>
      <c r="M37">
        <v>3575</v>
      </c>
      <c r="N37" t="s">
        <v>23</v>
      </c>
      <c r="O37">
        <v>9.1227699999999992</v>
      </c>
      <c r="P37">
        <v>-24.90024</v>
      </c>
    </row>
    <row r="38" spans="1:16">
      <c r="A38" t="s">
        <v>16</v>
      </c>
      <c r="B38">
        <v>15</v>
      </c>
      <c r="C38" t="s">
        <v>28</v>
      </c>
      <c r="D38" t="s">
        <v>18</v>
      </c>
      <c r="E38" t="s">
        <v>29</v>
      </c>
      <c r="F38" t="s">
        <v>20</v>
      </c>
      <c r="G38" t="s">
        <v>65</v>
      </c>
      <c r="H38" t="s">
        <v>22</v>
      </c>
      <c r="I38" s="6">
        <v>39401</v>
      </c>
      <c r="J38">
        <v>34.6</v>
      </c>
      <c r="K38">
        <v>21.1</v>
      </c>
      <c r="L38">
        <v>198</v>
      </c>
      <c r="M38">
        <v>4400</v>
      </c>
      <c r="N38" t="s">
        <v>32</v>
      </c>
      <c r="O38">
        <v>8.5558300000000003</v>
      </c>
      <c r="P38">
        <v>-25.22588</v>
      </c>
    </row>
    <row r="39" spans="1:16">
      <c r="A39" t="s">
        <v>16</v>
      </c>
      <c r="B39">
        <v>16</v>
      </c>
      <c r="C39" t="s">
        <v>17</v>
      </c>
      <c r="D39" t="s">
        <v>18</v>
      </c>
      <c r="E39" t="s">
        <v>19</v>
      </c>
      <c r="F39" t="s">
        <v>20</v>
      </c>
      <c r="G39" t="s">
        <v>66</v>
      </c>
      <c r="H39" t="s">
        <v>22</v>
      </c>
      <c r="I39" s="6">
        <v>39413</v>
      </c>
      <c r="J39">
        <v>49.3</v>
      </c>
      <c r="K39">
        <v>15.7</v>
      </c>
      <c r="L39">
        <v>217</v>
      </c>
      <c r="M39">
        <v>5850</v>
      </c>
      <c r="N39" t="s">
        <v>32</v>
      </c>
      <c r="O39">
        <v>8.0713699999999999</v>
      </c>
      <c r="P39">
        <v>-25.524730000000002</v>
      </c>
    </row>
    <row r="40" spans="1:16">
      <c r="A40" t="s">
        <v>16</v>
      </c>
      <c r="B40">
        <v>16</v>
      </c>
      <c r="C40" t="s">
        <v>24</v>
      </c>
      <c r="D40" t="s">
        <v>18</v>
      </c>
      <c r="E40" t="s">
        <v>25</v>
      </c>
      <c r="F40" t="s">
        <v>20</v>
      </c>
      <c r="G40" t="s">
        <v>67</v>
      </c>
      <c r="H40" t="s">
        <v>22</v>
      </c>
      <c r="I40" s="6">
        <v>39412</v>
      </c>
      <c r="J40">
        <v>50.5</v>
      </c>
      <c r="K40">
        <v>19.600000000000001</v>
      </c>
      <c r="L40">
        <v>201</v>
      </c>
      <c r="M40">
        <v>4050</v>
      </c>
      <c r="N40" t="s">
        <v>32</v>
      </c>
      <c r="O40">
        <v>9.8058999999999994</v>
      </c>
      <c r="P40">
        <v>-24.729399999999998</v>
      </c>
    </row>
    <row r="41" spans="1:16">
      <c r="A41" t="s">
        <v>16</v>
      </c>
      <c r="B41">
        <v>17</v>
      </c>
      <c r="C41" t="s">
        <v>17</v>
      </c>
      <c r="D41" t="s">
        <v>18</v>
      </c>
      <c r="E41" t="s">
        <v>19</v>
      </c>
      <c r="F41" t="s">
        <v>20</v>
      </c>
      <c r="G41" t="s">
        <v>68</v>
      </c>
      <c r="H41" t="s">
        <v>22</v>
      </c>
      <c r="I41" s="6">
        <v>39413</v>
      </c>
      <c r="J41">
        <v>42</v>
      </c>
      <c r="K41">
        <v>13.5</v>
      </c>
      <c r="L41">
        <v>210</v>
      </c>
      <c r="M41">
        <v>4150</v>
      </c>
      <c r="N41" t="s">
        <v>23</v>
      </c>
      <c r="O41">
        <v>7.6388400000000001</v>
      </c>
      <c r="P41">
        <v>-25.52627</v>
      </c>
    </row>
    <row r="42" spans="1:16">
      <c r="A42" t="s">
        <v>16</v>
      </c>
      <c r="B42">
        <v>17</v>
      </c>
      <c r="C42" t="s">
        <v>24</v>
      </c>
      <c r="D42" t="s">
        <v>18</v>
      </c>
      <c r="E42" t="s">
        <v>25</v>
      </c>
      <c r="F42" t="s">
        <v>20</v>
      </c>
      <c r="G42" t="s">
        <v>69</v>
      </c>
      <c r="H42" t="s">
        <v>27</v>
      </c>
      <c r="I42" s="6">
        <v>39412</v>
      </c>
      <c r="J42">
        <v>50.3</v>
      </c>
      <c r="K42">
        <v>20</v>
      </c>
      <c r="L42">
        <v>197</v>
      </c>
      <c r="M42">
        <v>3300</v>
      </c>
      <c r="N42" t="s">
        <v>32</v>
      </c>
      <c r="O42">
        <v>10.020189999999999</v>
      </c>
      <c r="P42">
        <v>-24.547039999999999</v>
      </c>
    </row>
    <row r="43" spans="1:16">
      <c r="A43" t="s">
        <v>16</v>
      </c>
      <c r="B43">
        <v>17</v>
      </c>
      <c r="C43" t="s">
        <v>28</v>
      </c>
      <c r="D43" t="s">
        <v>18</v>
      </c>
      <c r="E43" t="s">
        <v>29</v>
      </c>
      <c r="F43" t="s">
        <v>20</v>
      </c>
      <c r="G43" t="s">
        <v>70</v>
      </c>
      <c r="H43" t="s">
        <v>22</v>
      </c>
      <c r="I43" s="6">
        <v>39401</v>
      </c>
      <c r="J43">
        <v>38.700000000000003</v>
      </c>
      <c r="K43">
        <v>19</v>
      </c>
      <c r="L43">
        <v>195</v>
      </c>
      <c r="M43">
        <v>3450</v>
      </c>
      <c r="N43" t="s">
        <v>23</v>
      </c>
      <c r="O43">
        <v>9.1852800000000006</v>
      </c>
      <c r="P43">
        <v>-25.06691</v>
      </c>
    </row>
    <row r="44" spans="1:16">
      <c r="A44" t="s">
        <v>16</v>
      </c>
      <c r="B44">
        <v>18</v>
      </c>
      <c r="C44" t="s">
        <v>28</v>
      </c>
      <c r="D44" t="s">
        <v>18</v>
      </c>
      <c r="E44" t="s">
        <v>29</v>
      </c>
      <c r="F44" t="s">
        <v>20</v>
      </c>
      <c r="G44" t="s">
        <v>71</v>
      </c>
      <c r="H44" t="s">
        <v>22</v>
      </c>
      <c r="I44" s="6">
        <v>40793</v>
      </c>
      <c r="J44">
        <v>42.5</v>
      </c>
      <c r="K44">
        <v>20.7</v>
      </c>
      <c r="L44">
        <v>197</v>
      </c>
      <c r="M44">
        <v>4500</v>
      </c>
      <c r="N44" t="s">
        <v>32</v>
      </c>
      <c r="O44">
        <v>8.6753800000000005</v>
      </c>
      <c r="P44">
        <v>-25.13993</v>
      </c>
    </row>
    <row r="45" spans="1:16">
      <c r="A45" t="s">
        <v>16</v>
      </c>
      <c r="B45">
        <v>18</v>
      </c>
      <c r="C45" t="s">
        <v>17</v>
      </c>
      <c r="D45" t="s">
        <v>18</v>
      </c>
      <c r="E45" t="s">
        <v>19</v>
      </c>
      <c r="F45" t="s">
        <v>20</v>
      </c>
      <c r="G45" t="s">
        <v>72</v>
      </c>
      <c r="H45" t="s">
        <v>22</v>
      </c>
      <c r="I45" s="6">
        <v>39413</v>
      </c>
      <c r="J45">
        <v>49.2</v>
      </c>
      <c r="K45">
        <v>15.2</v>
      </c>
      <c r="L45">
        <v>221</v>
      </c>
      <c r="M45">
        <v>6300</v>
      </c>
      <c r="N45" t="s">
        <v>32</v>
      </c>
      <c r="O45">
        <v>8.2737599999999993</v>
      </c>
      <c r="P45">
        <v>-25.00169</v>
      </c>
    </row>
    <row r="46" spans="1:16">
      <c r="A46" t="s">
        <v>16</v>
      </c>
      <c r="B46">
        <v>18</v>
      </c>
      <c r="C46" t="s">
        <v>24</v>
      </c>
      <c r="D46" t="s">
        <v>18</v>
      </c>
      <c r="E46" t="s">
        <v>25</v>
      </c>
      <c r="F46" t="s">
        <v>20</v>
      </c>
      <c r="G46" t="s">
        <v>73</v>
      </c>
      <c r="H46" t="s">
        <v>27</v>
      </c>
      <c r="I46" s="6">
        <v>39407</v>
      </c>
      <c r="J46">
        <v>58</v>
      </c>
      <c r="K46">
        <v>17.8</v>
      </c>
      <c r="L46">
        <v>181</v>
      </c>
      <c r="M46">
        <v>3700</v>
      </c>
      <c r="N46" t="s">
        <v>23</v>
      </c>
      <c r="O46">
        <v>9.1438199999999998</v>
      </c>
      <c r="P46">
        <v>-24.579940000000001</v>
      </c>
    </row>
    <row r="47" spans="1:16">
      <c r="A47" t="s">
        <v>16</v>
      </c>
      <c r="B47">
        <v>19</v>
      </c>
      <c r="C47" t="s">
        <v>28</v>
      </c>
      <c r="D47" t="s">
        <v>18</v>
      </c>
      <c r="E47" t="s">
        <v>29</v>
      </c>
      <c r="F47" t="s">
        <v>20</v>
      </c>
      <c r="G47" t="s">
        <v>74</v>
      </c>
      <c r="H47" t="s">
        <v>22</v>
      </c>
      <c r="I47" s="6">
        <v>40793</v>
      </c>
      <c r="J47">
        <v>34.4</v>
      </c>
      <c r="K47">
        <v>18.399999999999999</v>
      </c>
      <c r="L47">
        <v>184</v>
      </c>
      <c r="M47">
        <v>3325</v>
      </c>
      <c r="N47" t="s">
        <v>23</v>
      </c>
      <c r="O47">
        <v>8.4782700000000002</v>
      </c>
      <c r="P47">
        <v>-25.23319</v>
      </c>
    </row>
    <row r="48" spans="1:16">
      <c r="A48" t="s">
        <v>16</v>
      </c>
      <c r="B48">
        <v>19</v>
      </c>
      <c r="C48" t="s">
        <v>24</v>
      </c>
      <c r="D48" t="s">
        <v>18</v>
      </c>
      <c r="E48" t="s">
        <v>25</v>
      </c>
      <c r="F48" t="s">
        <v>20</v>
      </c>
      <c r="G48" t="s">
        <v>75</v>
      </c>
      <c r="H48" t="s">
        <v>22</v>
      </c>
      <c r="I48" s="6">
        <v>39407</v>
      </c>
      <c r="J48">
        <v>46.4</v>
      </c>
      <c r="K48">
        <v>18.600000000000001</v>
      </c>
      <c r="L48">
        <v>190</v>
      </c>
      <c r="M48">
        <v>3450</v>
      </c>
      <c r="N48" t="s">
        <v>23</v>
      </c>
      <c r="O48">
        <v>9.3210499999999996</v>
      </c>
      <c r="P48">
        <v>-24.64162</v>
      </c>
    </row>
    <row r="49" spans="1:16">
      <c r="A49" t="s">
        <v>16</v>
      </c>
      <c r="B49">
        <v>19</v>
      </c>
      <c r="C49" t="s">
        <v>17</v>
      </c>
      <c r="D49" t="s">
        <v>18</v>
      </c>
      <c r="E49" t="s">
        <v>19</v>
      </c>
      <c r="F49" t="s">
        <v>20</v>
      </c>
      <c r="G49" t="s">
        <v>76</v>
      </c>
      <c r="H49" t="s">
        <v>22</v>
      </c>
      <c r="I49" s="6">
        <v>39404</v>
      </c>
      <c r="J49">
        <v>46.2</v>
      </c>
      <c r="K49">
        <v>14.5</v>
      </c>
      <c r="L49">
        <v>209</v>
      </c>
      <c r="M49">
        <v>4800</v>
      </c>
      <c r="N49" t="s">
        <v>23</v>
      </c>
      <c r="O49">
        <v>7.8405699999999996</v>
      </c>
      <c r="P49">
        <v>-25.378990000000002</v>
      </c>
    </row>
    <row r="50" spans="1:16">
      <c r="A50" t="s">
        <v>16</v>
      </c>
      <c r="B50">
        <v>20</v>
      </c>
      <c r="C50" t="s">
        <v>28</v>
      </c>
      <c r="D50" t="s">
        <v>18</v>
      </c>
      <c r="E50" t="s">
        <v>29</v>
      </c>
      <c r="F50" t="s">
        <v>20</v>
      </c>
      <c r="G50" t="s">
        <v>77</v>
      </c>
      <c r="H50" t="s">
        <v>22</v>
      </c>
      <c r="I50" s="6">
        <v>40793</v>
      </c>
      <c r="J50">
        <v>46</v>
      </c>
      <c r="K50">
        <v>21.5</v>
      </c>
      <c r="L50">
        <v>194</v>
      </c>
      <c r="M50">
        <v>4200</v>
      </c>
      <c r="N50" t="s">
        <v>32</v>
      </c>
      <c r="O50">
        <v>9.1161600000000007</v>
      </c>
      <c r="P50">
        <v>-24.772269999999999</v>
      </c>
    </row>
    <row r="51" spans="1:16">
      <c r="A51" t="s">
        <v>16</v>
      </c>
      <c r="B51">
        <v>20</v>
      </c>
      <c r="C51" t="s">
        <v>24</v>
      </c>
      <c r="D51" t="s">
        <v>18</v>
      </c>
      <c r="E51" t="s">
        <v>25</v>
      </c>
      <c r="F51" t="s">
        <v>20</v>
      </c>
      <c r="G51" t="s">
        <v>78</v>
      </c>
      <c r="H51" t="s">
        <v>22</v>
      </c>
      <c r="I51" s="6">
        <v>39414</v>
      </c>
      <c r="J51">
        <v>49.2</v>
      </c>
      <c r="K51">
        <v>18.2</v>
      </c>
      <c r="L51">
        <v>195</v>
      </c>
      <c r="M51">
        <v>4400</v>
      </c>
      <c r="N51" t="s">
        <v>32</v>
      </c>
      <c r="O51">
        <v>9.2715800000000002</v>
      </c>
      <c r="P51">
        <v>-24.643350000000002</v>
      </c>
    </row>
    <row r="52" spans="1:16">
      <c r="A52" t="s">
        <v>16</v>
      </c>
      <c r="B52">
        <v>20</v>
      </c>
      <c r="C52" t="s">
        <v>17</v>
      </c>
      <c r="D52" t="s">
        <v>18</v>
      </c>
      <c r="E52" t="s">
        <v>19</v>
      </c>
      <c r="F52" t="s">
        <v>20</v>
      </c>
      <c r="G52" t="s">
        <v>79</v>
      </c>
      <c r="H52" t="s">
        <v>22</v>
      </c>
      <c r="I52" s="6">
        <v>39404</v>
      </c>
      <c r="J52">
        <v>48.7</v>
      </c>
      <c r="K52">
        <v>15.1</v>
      </c>
      <c r="L52">
        <v>222</v>
      </c>
      <c r="M52">
        <v>5350</v>
      </c>
      <c r="N52" t="s">
        <v>32</v>
      </c>
      <c r="O52">
        <v>7.9649099999999997</v>
      </c>
      <c r="P52">
        <v>-25.395869999999999</v>
      </c>
    </row>
    <row r="53" spans="1:16">
      <c r="A53" t="s">
        <v>16</v>
      </c>
      <c r="B53">
        <v>21</v>
      </c>
      <c r="C53" t="s">
        <v>28</v>
      </c>
      <c r="D53" t="s">
        <v>18</v>
      </c>
      <c r="E53" t="s">
        <v>19</v>
      </c>
      <c r="F53" t="s">
        <v>20</v>
      </c>
      <c r="G53" t="s">
        <v>80</v>
      </c>
      <c r="H53" t="s">
        <v>22</v>
      </c>
      <c r="I53" s="6">
        <v>40793</v>
      </c>
      <c r="J53">
        <v>37.799999999999997</v>
      </c>
      <c r="K53">
        <v>18.3</v>
      </c>
      <c r="L53">
        <v>174</v>
      </c>
      <c r="M53">
        <v>3400</v>
      </c>
      <c r="N53" t="s">
        <v>23</v>
      </c>
      <c r="O53">
        <v>8.7376199999999997</v>
      </c>
      <c r="P53">
        <v>-25.093830000000001</v>
      </c>
    </row>
    <row r="54" spans="1:16">
      <c r="A54" t="s">
        <v>16</v>
      </c>
      <c r="B54">
        <v>21</v>
      </c>
      <c r="C54" t="s">
        <v>24</v>
      </c>
      <c r="D54" t="s">
        <v>18</v>
      </c>
      <c r="E54" t="s">
        <v>25</v>
      </c>
      <c r="F54" t="s">
        <v>20</v>
      </c>
      <c r="G54" t="s">
        <v>81</v>
      </c>
      <c r="H54" t="s">
        <v>22</v>
      </c>
      <c r="I54" s="6">
        <v>39414</v>
      </c>
      <c r="J54">
        <v>42.4</v>
      </c>
      <c r="K54">
        <v>17.3</v>
      </c>
      <c r="L54">
        <v>181</v>
      </c>
      <c r="M54">
        <v>3600</v>
      </c>
      <c r="N54" t="s">
        <v>23</v>
      </c>
      <c r="O54">
        <v>9.3513800000000007</v>
      </c>
      <c r="P54">
        <v>-24.687899999999999</v>
      </c>
    </row>
    <row r="55" spans="1:16">
      <c r="A55" t="s">
        <v>16</v>
      </c>
      <c r="B55">
        <v>21</v>
      </c>
      <c r="C55" t="s">
        <v>17</v>
      </c>
      <c r="D55" t="s">
        <v>18</v>
      </c>
      <c r="E55" t="s">
        <v>19</v>
      </c>
      <c r="F55" t="s">
        <v>20</v>
      </c>
      <c r="G55" t="s">
        <v>82</v>
      </c>
      <c r="H55" t="s">
        <v>22</v>
      </c>
      <c r="I55" s="6">
        <v>39413</v>
      </c>
      <c r="J55">
        <v>50.2</v>
      </c>
      <c r="K55">
        <v>14.3</v>
      </c>
      <c r="L55">
        <v>218</v>
      </c>
      <c r="M55">
        <v>5700</v>
      </c>
      <c r="N55" t="s">
        <v>32</v>
      </c>
      <c r="O55">
        <v>7.8962000000000003</v>
      </c>
      <c r="P55">
        <v>-25.377459999999999</v>
      </c>
    </row>
    <row r="56" spans="1:16">
      <c r="A56" t="s">
        <v>16</v>
      </c>
      <c r="B56">
        <v>22</v>
      </c>
      <c r="C56" t="s">
        <v>17</v>
      </c>
      <c r="D56" t="s">
        <v>18</v>
      </c>
      <c r="E56" t="s">
        <v>19</v>
      </c>
      <c r="F56" t="s">
        <v>20</v>
      </c>
      <c r="G56" t="s">
        <v>83</v>
      </c>
      <c r="H56" t="s">
        <v>22</v>
      </c>
      <c r="I56" s="6">
        <v>39413</v>
      </c>
      <c r="J56">
        <v>45.1</v>
      </c>
      <c r="K56">
        <v>14.5</v>
      </c>
      <c r="L56">
        <v>215</v>
      </c>
      <c r="M56">
        <v>5000</v>
      </c>
      <c r="N56" t="s">
        <v>23</v>
      </c>
      <c r="O56">
        <v>7.6322000000000001</v>
      </c>
      <c r="P56">
        <v>-25.465689999999999</v>
      </c>
    </row>
    <row r="57" spans="1:16">
      <c r="A57" t="s">
        <v>16</v>
      </c>
      <c r="B57">
        <v>22</v>
      </c>
      <c r="C57" t="s">
        <v>24</v>
      </c>
      <c r="D57" t="s">
        <v>18</v>
      </c>
      <c r="E57" t="s">
        <v>25</v>
      </c>
      <c r="F57" t="s">
        <v>20</v>
      </c>
      <c r="G57" t="s">
        <v>84</v>
      </c>
      <c r="H57" t="s">
        <v>22</v>
      </c>
      <c r="I57" s="6">
        <v>39407</v>
      </c>
      <c r="J57">
        <v>48.5</v>
      </c>
      <c r="K57">
        <v>17.5</v>
      </c>
      <c r="L57">
        <v>191</v>
      </c>
      <c r="M57">
        <v>3400</v>
      </c>
      <c r="N57" t="s">
        <v>32</v>
      </c>
      <c r="O57">
        <v>9.42666</v>
      </c>
      <c r="P57">
        <v>-24.263750000000002</v>
      </c>
    </row>
    <row r="58" spans="1:16">
      <c r="A58" t="s">
        <v>16</v>
      </c>
      <c r="B58">
        <v>22</v>
      </c>
      <c r="C58" t="s">
        <v>28</v>
      </c>
      <c r="D58" t="s">
        <v>18</v>
      </c>
      <c r="E58" t="s">
        <v>19</v>
      </c>
      <c r="F58" t="s">
        <v>20</v>
      </c>
      <c r="G58" t="s">
        <v>85</v>
      </c>
      <c r="H58" t="s">
        <v>22</v>
      </c>
      <c r="I58" s="6">
        <v>39401</v>
      </c>
      <c r="J58">
        <v>37.700000000000003</v>
      </c>
      <c r="K58">
        <v>18.7</v>
      </c>
      <c r="L58">
        <v>180</v>
      </c>
      <c r="M58">
        <v>3600</v>
      </c>
      <c r="N58" t="s">
        <v>32</v>
      </c>
      <c r="O58">
        <v>8.6627100000000006</v>
      </c>
      <c r="P58">
        <v>-25.0639</v>
      </c>
    </row>
    <row r="59" spans="1:16">
      <c r="A59" t="s">
        <v>16</v>
      </c>
      <c r="B59">
        <v>23</v>
      </c>
      <c r="C59" t="s">
        <v>17</v>
      </c>
      <c r="D59" t="s">
        <v>18</v>
      </c>
      <c r="E59" t="s">
        <v>19</v>
      </c>
      <c r="F59" t="s">
        <v>20</v>
      </c>
      <c r="G59" t="s">
        <v>86</v>
      </c>
      <c r="H59" t="s">
        <v>22</v>
      </c>
      <c r="I59" s="6">
        <v>39413</v>
      </c>
      <c r="J59">
        <v>46.5</v>
      </c>
      <c r="K59">
        <v>14.5</v>
      </c>
      <c r="L59">
        <v>213</v>
      </c>
      <c r="M59">
        <v>4400</v>
      </c>
      <c r="N59" t="s">
        <v>23</v>
      </c>
      <c r="O59">
        <v>7.9043599999999996</v>
      </c>
      <c r="P59">
        <v>-25.3947</v>
      </c>
    </row>
    <row r="60" spans="1:16">
      <c r="A60" t="s">
        <v>16</v>
      </c>
      <c r="B60">
        <v>23</v>
      </c>
      <c r="C60" t="s">
        <v>24</v>
      </c>
      <c r="D60" t="s">
        <v>18</v>
      </c>
      <c r="E60" t="s">
        <v>25</v>
      </c>
      <c r="F60" t="s">
        <v>20</v>
      </c>
      <c r="G60" t="s">
        <v>87</v>
      </c>
      <c r="H60" t="s">
        <v>27</v>
      </c>
      <c r="I60" s="6">
        <v>39407</v>
      </c>
      <c r="J60">
        <v>43.2</v>
      </c>
      <c r="K60">
        <v>16.600000000000001</v>
      </c>
      <c r="L60">
        <v>187</v>
      </c>
      <c r="M60">
        <v>2900</v>
      </c>
      <c r="N60" t="s">
        <v>23</v>
      </c>
      <c r="O60">
        <v>9.3541600000000003</v>
      </c>
      <c r="P60">
        <v>-25.011849999999999</v>
      </c>
    </row>
    <row r="61" spans="1:16">
      <c r="A61" t="s">
        <v>16</v>
      </c>
      <c r="B61">
        <v>23</v>
      </c>
      <c r="C61" t="s">
        <v>28</v>
      </c>
      <c r="D61" t="s">
        <v>18</v>
      </c>
      <c r="E61" t="s">
        <v>19</v>
      </c>
      <c r="F61" t="s">
        <v>20</v>
      </c>
      <c r="G61" t="s">
        <v>88</v>
      </c>
      <c r="H61" t="s">
        <v>22</v>
      </c>
      <c r="I61" s="6">
        <v>39401</v>
      </c>
      <c r="J61">
        <v>35.9</v>
      </c>
      <c r="K61">
        <v>19.2</v>
      </c>
      <c r="L61">
        <v>189</v>
      </c>
      <c r="M61">
        <v>3800</v>
      </c>
      <c r="N61" t="s">
        <v>23</v>
      </c>
      <c r="O61">
        <v>9.2228600000000007</v>
      </c>
      <c r="P61">
        <v>-25.034739999999999</v>
      </c>
    </row>
    <row r="62" spans="1:16">
      <c r="A62" t="s">
        <v>16</v>
      </c>
      <c r="B62">
        <v>24</v>
      </c>
      <c r="C62" t="s">
        <v>24</v>
      </c>
      <c r="D62" t="s">
        <v>18</v>
      </c>
      <c r="E62" t="s">
        <v>25</v>
      </c>
      <c r="F62" t="s">
        <v>20</v>
      </c>
      <c r="G62" t="s">
        <v>89</v>
      </c>
      <c r="H62" t="s">
        <v>27</v>
      </c>
      <c r="I62" s="6">
        <v>39414</v>
      </c>
      <c r="J62">
        <v>50.6</v>
      </c>
      <c r="K62">
        <v>19.399999999999999</v>
      </c>
      <c r="L62">
        <v>193</v>
      </c>
      <c r="M62">
        <v>3800</v>
      </c>
      <c r="N62" t="s">
        <v>32</v>
      </c>
      <c r="O62">
        <v>9.2815300000000001</v>
      </c>
      <c r="P62">
        <v>-24.971340000000001</v>
      </c>
    </row>
    <row r="63" spans="1:16">
      <c r="A63" t="s">
        <v>16</v>
      </c>
      <c r="B63">
        <v>24</v>
      </c>
      <c r="C63" t="s">
        <v>17</v>
      </c>
      <c r="D63" t="s">
        <v>18</v>
      </c>
      <c r="E63" t="s">
        <v>19</v>
      </c>
      <c r="F63" t="s">
        <v>20</v>
      </c>
      <c r="G63" t="s">
        <v>90</v>
      </c>
      <c r="H63" t="s">
        <v>22</v>
      </c>
      <c r="I63" s="6">
        <v>39413</v>
      </c>
      <c r="J63">
        <v>46.3</v>
      </c>
      <c r="K63">
        <v>15.8</v>
      </c>
      <c r="L63">
        <v>215</v>
      </c>
      <c r="M63">
        <v>5050</v>
      </c>
      <c r="N63" t="s">
        <v>32</v>
      </c>
      <c r="O63">
        <v>7.9097099999999996</v>
      </c>
      <c r="P63">
        <v>-25.38157</v>
      </c>
    </row>
    <row r="64" spans="1:16">
      <c r="A64" t="s">
        <v>16</v>
      </c>
      <c r="B64">
        <v>24</v>
      </c>
      <c r="C64" t="s">
        <v>28</v>
      </c>
      <c r="D64" t="s">
        <v>18</v>
      </c>
      <c r="E64" t="s">
        <v>19</v>
      </c>
      <c r="F64" t="s">
        <v>20</v>
      </c>
      <c r="G64" t="s">
        <v>91</v>
      </c>
      <c r="H64" t="s">
        <v>22</v>
      </c>
      <c r="I64" s="6">
        <v>39402</v>
      </c>
      <c r="J64">
        <v>38.200000000000003</v>
      </c>
      <c r="K64">
        <v>18.100000000000001</v>
      </c>
      <c r="L64">
        <v>185</v>
      </c>
      <c r="M64">
        <v>3950</v>
      </c>
      <c r="N64" t="s">
        <v>32</v>
      </c>
      <c r="O64">
        <v>8.4342299999999994</v>
      </c>
      <c r="P64">
        <v>-25.22664</v>
      </c>
    </row>
    <row r="65" spans="1:16">
      <c r="A65" t="s">
        <v>16</v>
      </c>
      <c r="B65">
        <v>25</v>
      </c>
      <c r="C65" t="s">
        <v>24</v>
      </c>
      <c r="D65" t="s">
        <v>18</v>
      </c>
      <c r="E65" t="s">
        <v>25</v>
      </c>
      <c r="F65" t="s">
        <v>20</v>
      </c>
      <c r="G65" t="s">
        <v>92</v>
      </c>
      <c r="H65" t="s">
        <v>27</v>
      </c>
      <c r="I65" s="6">
        <v>39414</v>
      </c>
      <c r="J65">
        <v>46.7</v>
      </c>
      <c r="K65">
        <v>17.899999999999999</v>
      </c>
      <c r="L65">
        <v>195</v>
      </c>
      <c r="M65">
        <v>3300</v>
      </c>
      <c r="N65" t="s">
        <v>23</v>
      </c>
      <c r="O65">
        <v>9.7414400000000008</v>
      </c>
      <c r="P65">
        <v>-24.594670000000001</v>
      </c>
    </row>
    <row r="66" spans="1:16">
      <c r="A66" t="s">
        <v>16</v>
      </c>
      <c r="B66">
        <v>25</v>
      </c>
      <c r="C66" t="s">
        <v>17</v>
      </c>
      <c r="D66" t="s">
        <v>18</v>
      </c>
      <c r="E66" t="s">
        <v>19</v>
      </c>
      <c r="F66" t="s">
        <v>20</v>
      </c>
      <c r="G66" t="s">
        <v>93</v>
      </c>
      <c r="H66" t="s">
        <v>22</v>
      </c>
      <c r="I66" s="6">
        <v>39413</v>
      </c>
      <c r="J66">
        <v>42.9</v>
      </c>
      <c r="K66">
        <v>13.1</v>
      </c>
      <c r="L66">
        <v>215</v>
      </c>
      <c r="M66">
        <v>5000</v>
      </c>
      <c r="N66" t="s">
        <v>23</v>
      </c>
      <c r="O66">
        <v>7.6852799999999997</v>
      </c>
      <c r="P66">
        <v>-25.39181</v>
      </c>
    </row>
    <row r="67" spans="1:16">
      <c r="A67" t="s">
        <v>16</v>
      </c>
      <c r="B67">
        <v>25</v>
      </c>
      <c r="C67" t="s">
        <v>28</v>
      </c>
      <c r="D67" t="s">
        <v>18</v>
      </c>
      <c r="E67" t="s">
        <v>19</v>
      </c>
      <c r="F67" t="s">
        <v>20</v>
      </c>
      <c r="G67" t="s">
        <v>94</v>
      </c>
      <c r="H67" t="s">
        <v>22</v>
      </c>
      <c r="I67" s="6">
        <v>39402</v>
      </c>
      <c r="J67">
        <v>38.799999999999997</v>
      </c>
      <c r="K67">
        <v>17.2</v>
      </c>
      <c r="L67">
        <v>180</v>
      </c>
      <c r="M67">
        <v>3800</v>
      </c>
      <c r="N67" t="s">
        <v>32</v>
      </c>
      <c r="O67">
        <v>9.6395400000000002</v>
      </c>
      <c r="P67">
        <v>-25.298559999999998</v>
      </c>
    </row>
    <row r="68" spans="1:16">
      <c r="A68" t="s">
        <v>16</v>
      </c>
      <c r="B68">
        <v>26</v>
      </c>
      <c r="C68" t="s">
        <v>28</v>
      </c>
      <c r="D68" t="s">
        <v>18</v>
      </c>
      <c r="E68" t="s">
        <v>19</v>
      </c>
      <c r="F68" t="s">
        <v>20</v>
      </c>
      <c r="G68" t="s">
        <v>95</v>
      </c>
      <c r="H68" t="s">
        <v>22</v>
      </c>
      <c r="I68" s="6">
        <v>40884</v>
      </c>
      <c r="J68">
        <v>35.299999999999997</v>
      </c>
      <c r="K68">
        <v>18.899999999999999</v>
      </c>
      <c r="L68">
        <v>187</v>
      </c>
      <c r="M68">
        <v>3800</v>
      </c>
      <c r="N68" t="s">
        <v>23</v>
      </c>
      <c r="O68">
        <v>9.2129200000000004</v>
      </c>
      <c r="P68">
        <v>-24.3613</v>
      </c>
    </row>
    <row r="69" spans="1:16">
      <c r="A69" t="s">
        <v>16</v>
      </c>
      <c r="B69">
        <v>26</v>
      </c>
      <c r="C69" t="s">
        <v>17</v>
      </c>
      <c r="D69" t="s">
        <v>18</v>
      </c>
      <c r="E69" t="s">
        <v>19</v>
      </c>
      <c r="F69" t="s">
        <v>20</v>
      </c>
      <c r="G69" t="s">
        <v>96</v>
      </c>
      <c r="H69" t="s">
        <v>22</v>
      </c>
      <c r="I69" s="6">
        <v>39413</v>
      </c>
      <c r="J69">
        <v>46.1</v>
      </c>
      <c r="K69">
        <v>15.1</v>
      </c>
      <c r="L69">
        <v>215</v>
      </c>
      <c r="M69">
        <v>5100</v>
      </c>
      <c r="N69" t="s">
        <v>32</v>
      </c>
      <c r="O69">
        <v>7.8373299999999997</v>
      </c>
      <c r="P69">
        <v>-25.428260000000002</v>
      </c>
    </row>
    <row r="70" spans="1:16">
      <c r="A70" t="s">
        <v>16</v>
      </c>
      <c r="B70">
        <v>26</v>
      </c>
      <c r="C70" t="s">
        <v>24</v>
      </c>
      <c r="D70" t="s">
        <v>18</v>
      </c>
      <c r="E70" t="s">
        <v>25</v>
      </c>
      <c r="F70" t="s">
        <v>20</v>
      </c>
      <c r="G70" t="s">
        <v>97</v>
      </c>
      <c r="H70" t="s">
        <v>27</v>
      </c>
      <c r="I70" s="6">
        <v>39412</v>
      </c>
      <c r="J70">
        <v>52</v>
      </c>
      <c r="K70">
        <v>19</v>
      </c>
      <c r="L70">
        <v>197</v>
      </c>
      <c r="M70">
        <v>4150</v>
      </c>
      <c r="N70" t="s">
        <v>32</v>
      </c>
      <c r="O70">
        <v>9.3679900000000007</v>
      </c>
      <c r="P70">
        <v>-24.471419999999998</v>
      </c>
    </row>
    <row r="71" spans="1:16">
      <c r="A71" t="s">
        <v>16</v>
      </c>
      <c r="B71">
        <v>27</v>
      </c>
      <c r="C71" t="s">
        <v>28</v>
      </c>
      <c r="D71" t="s">
        <v>18</v>
      </c>
      <c r="E71" t="s">
        <v>19</v>
      </c>
      <c r="F71" t="s">
        <v>20</v>
      </c>
      <c r="G71" t="s">
        <v>98</v>
      </c>
      <c r="H71" t="s">
        <v>22</v>
      </c>
      <c r="I71" s="6">
        <v>40884</v>
      </c>
      <c r="J71">
        <v>40.6</v>
      </c>
      <c r="K71">
        <v>18.600000000000001</v>
      </c>
      <c r="L71">
        <v>183</v>
      </c>
      <c r="M71">
        <v>3550</v>
      </c>
      <c r="N71" t="s">
        <v>32</v>
      </c>
      <c r="O71">
        <v>8.9399700000000006</v>
      </c>
      <c r="P71">
        <v>-25.362880000000001</v>
      </c>
    </row>
    <row r="72" spans="1:16">
      <c r="A72" t="s">
        <v>99</v>
      </c>
      <c r="B72">
        <v>27</v>
      </c>
      <c r="C72" t="s">
        <v>24</v>
      </c>
      <c r="D72" t="s">
        <v>18</v>
      </c>
      <c r="E72" t="s">
        <v>25</v>
      </c>
      <c r="F72" t="s">
        <v>20</v>
      </c>
      <c r="G72" t="s">
        <v>26</v>
      </c>
      <c r="H72" t="s">
        <v>27</v>
      </c>
      <c r="I72" s="6">
        <v>39412</v>
      </c>
      <c r="J72">
        <v>50.5</v>
      </c>
      <c r="K72">
        <v>18.399999999999999</v>
      </c>
      <c r="L72">
        <v>200</v>
      </c>
      <c r="M72">
        <v>3400</v>
      </c>
      <c r="N72" t="s">
        <v>23</v>
      </c>
      <c r="O72">
        <v>8.9398999999999997</v>
      </c>
      <c r="P72">
        <v>-23.890170000000001</v>
      </c>
    </row>
    <row r="73" spans="1:16">
      <c r="A73" t="s">
        <v>16</v>
      </c>
      <c r="B73">
        <v>28</v>
      </c>
      <c r="C73" t="s">
        <v>17</v>
      </c>
      <c r="D73" t="s">
        <v>18</v>
      </c>
      <c r="E73" t="s">
        <v>19</v>
      </c>
      <c r="F73" t="s">
        <v>20</v>
      </c>
      <c r="G73" t="s">
        <v>100</v>
      </c>
      <c r="H73" t="s">
        <v>22</v>
      </c>
      <c r="I73" s="6">
        <v>39415</v>
      </c>
      <c r="J73">
        <v>47.8</v>
      </c>
      <c r="K73">
        <v>15</v>
      </c>
      <c r="L73">
        <v>215</v>
      </c>
      <c r="M73">
        <v>5650</v>
      </c>
      <c r="N73" t="s">
        <v>32</v>
      </c>
      <c r="O73">
        <v>7.9235800000000003</v>
      </c>
      <c r="P73">
        <v>-25.483830000000001</v>
      </c>
    </row>
    <row r="74" spans="1:16">
      <c r="A74" t="s">
        <v>99</v>
      </c>
      <c r="B74">
        <v>28</v>
      </c>
      <c r="C74" t="s">
        <v>24</v>
      </c>
      <c r="D74" t="s">
        <v>18</v>
      </c>
      <c r="E74" t="s">
        <v>25</v>
      </c>
      <c r="F74" t="s">
        <v>20</v>
      </c>
      <c r="G74" t="s">
        <v>33</v>
      </c>
      <c r="H74" t="s">
        <v>27</v>
      </c>
      <c r="I74" s="6">
        <v>39408</v>
      </c>
      <c r="J74">
        <v>49.5</v>
      </c>
      <c r="K74">
        <v>19</v>
      </c>
      <c r="L74">
        <v>200</v>
      </c>
      <c r="M74">
        <v>3800</v>
      </c>
      <c r="N74" t="s">
        <v>32</v>
      </c>
      <c r="O74">
        <v>9.6307399999999994</v>
      </c>
      <c r="P74">
        <v>-24.34684</v>
      </c>
    </row>
    <row r="75" spans="1:16">
      <c r="A75" t="s">
        <v>16</v>
      </c>
      <c r="B75">
        <v>28</v>
      </c>
      <c r="C75" t="s">
        <v>28</v>
      </c>
      <c r="D75" t="s">
        <v>18</v>
      </c>
      <c r="E75" t="s">
        <v>19</v>
      </c>
      <c r="F75" t="s">
        <v>20</v>
      </c>
      <c r="G75" t="s">
        <v>101</v>
      </c>
      <c r="H75" t="s">
        <v>22</v>
      </c>
      <c r="I75" s="6">
        <v>39402</v>
      </c>
      <c r="J75">
        <v>40.5</v>
      </c>
      <c r="K75">
        <v>17.899999999999999</v>
      </c>
      <c r="L75">
        <v>187</v>
      </c>
      <c r="M75">
        <v>3200</v>
      </c>
      <c r="N75" t="s">
        <v>23</v>
      </c>
      <c r="O75">
        <v>8.0813799999999993</v>
      </c>
      <c r="P75">
        <v>-25.494479999999999</v>
      </c>
    </row>
    <row r="76" spans="1:16">
      <c r="A76" t="s">
        <v>16</v>
      </c>
      <c r="B76">
        <v>29</v>
      </c>
      <c r="C76" t="s">
        <v>17</v>
      </c>
      <c r="D76" t="s">
        <v>18</v>
      </c>
      <c r="E76" t="s">
        <v>19</v>
      </c>
      <c r="F76" t="s">
        <v>20</v>
      </c>
      <c r="G76" t="s">
        <v>102</v>
      </c>
      <c r="H76" t="s">
        <v>22</v>
      </c>
      <c r="I76" s="6">
        <v>39415</v>
      </c>
      <c r="J76">
        <v>48.2</v>
      </c>
      <c r="K76">
        <v>14.3</v>
      </c>
      <c r="L76">
        <v>210</v>
      </c>
      <c r="M76">
        <v>4600</v>
      </c>
      <c r="N76" t="s">
        <v>23</v>
      </c>
      <c r="O76">
        <v>7.6886999999999999</v>
      </c>
      <c r="P76">
        <v>-25.508109999999999</v>
      </c>
    </row>
    <row r="77" spans="1:16">
      <c r="A77" t="s">
        <v>99</v>
      </c>
      <c r="B77">
        <v>29</v>
      </c>
      <c r="C77" t="s">
        <v>24</v>
      </c>
      <c r="D77" t="s">
        <v>18</v>
      </c>
      <c r="E77" t="s">
        <v>25</v>
      </c>
      <c r="F77" t="s">
        <v>20</v>
      </c>
      <c r="G77" t="s">
        <v>36</v>
      </c>
      <c r="H77" t="s">
        <v>22</v>
      </c>
      <c r="I77" s="6">
        <v>39408</v>
      </c>
      <c r="J77">
        <v>46.4</v>
      </c>
      <c r="K77">
        <v>17.8</v>
      </c>
      <c r="L77">
        <v>191</v>
      </c>
      <c r="M77">
        <v>3700</v>
      </c>
      <c r="N77" t="s">
        <v>23</v>
      </c>
      <c r="O77">
        <v>9.3736899999999999</v>
      </c>
      <c r="P77">
        <v>-24.528960000000001</v>
      </c>
    </row>
    <row r="78" spans="1:16">
      <c r="A78" t="s">
        <v>16</v>
      </c>
      <c r="B78">
        <v>29</v>
      </c>
      <c r="C78" t="s">
        <v>28</v>
      </c>
      <c r="D78" t="s">
        <v>18</v>
      </c>
      <c r="E78" t="s">
        <v>19</v>
      </c>
      <c r="F78" t="s">
        <v>20</v>
      </c>
      <c r="G78" t="s">
        <v>103</v>
      </c>
      <c r="H78" t="s">
        <v>27</v>
      </c>
      <c r="I78" s="6">
        <v>39402</v>
      </c>
      <c r="J78">
        <v>37.9</v>
      </c>
      <c r="K78">
        <v>18.600000000000001</v>
      </c>
      <c r="L78">
        <v>172</v>
      </c>
      <c r="M78">
        <v>3150</v>
      </c>
      <c r="N78" t="s">
        <v>23</v>
      </c>
      <c r="O78">
        <v>8.3840400000000006</v>
      </c>
      <c r="P78">
        <v>-25.198370000000001</v>
      </c>
    </row>
    <row r="79" spans="1:16">
      <c r="A79" t="s">
        <v>16</v>
      </c>
      <c r="B79">
        <v>30</v>
      </c>
      <c r="C79" t="s">
        <v>17</v>
      </c>
      <c r="D79" t="s">
        <v>18</v>
      </c>
      <c r="E79" t="s">
        <v>19</v>
      </c>
      <c r="F79" t="s">
        <v>20</v>
      </c>
      <c r="G79" t="s">
        <v>104</v>
      </c>
      <c r="H79" t="s">
        <v>22</v>
      </c>
      <c r="I79" s="6">
        <v>40975</v>
      </c>
      <c r="J79">
        <v>50</v>
      </c>
      <c r="K79">
        <v>15.3</v>
      </c>
      <c r="L79">
        <v>220</v>
      </c>
      <c r="M79">
        <v>5550</v>
      </c>
      <c r="N79" t="s">
        <v>32</v>
      </c>
      <c r="O79">
        <v>8.3051499999999994</v>
      </c>
      <c r="P79">
        <v>-25.190169999999998</v>
      </c>
    </row>
    <row r="80" spans="1:16">
      <c r="A80" t="s">
        <v>16</v>
      </c>
      <c r="B80">
        <v>30</v>
      </c>
      <c r="C80" t="s">
        <v>28</v>
      </c>
      <c r="D80" t="s">
        <v>18</v>
      </c>
      <c r="E80" t="s">
        <v>19</v>
      </c>
      <c r="F80" t="s">
        <v>20</v>
      </c>
      <c r="G80" t="s">
        <v>105</v>
      </c>
      <c r="H80" t="s">
        <v>27</v>
      </c>
      <c r="I80" s="6">
        <v>40884</v>
      </c>
      <c r="J80">
        <v>40.5</v>
      </c>
      <c r="K80">
        <v>18.899999999999999</v>
      </c>
      <c r="L80">
        <v>180</v>
      </c>
      <c r="M80">
        <v>3950</v>
      </c>
      <c r="N80" t="s">
        <v>32</v>
      </c>
      <c r="O80">
        <v>8.9002700000000008</v>
      </c>
      <c r="P80">
        <v>-25.11609</v>
      </c>
    </row>
    <row r="81" spans="1:16">
      <c r="A81" t="s">
        <v>99</v>
      </c>
      <c r="B81">
        <v>30</v>
      </c>
      <c r="C81" t="s">
        <v>24</v>
      </c>
      <c r="D81" t="s">
        <v>18</v>
      </c>
      <c r="E81" t="s">
        <v>25</v>
      </c>
      <c r="F81" t="s">
        <v>20</v>
      </c>
      <c r="G81" t="s">
        <v>38</v>
      </c>
      <c r="H81" t="s">
        <v>22</v>
      </c>
      <c r="I81" s="6">
        <v>39416</v>
      </c>
      <c r="J81">
        <v>52.8</v>
      </c>
      <c r="K81">
        <v>20</v>
      </c>
      <c r="L81">
        <v>205</v>
      </c>
      <c r="M81">
        <v>4550</v>
      </c>
      <c r="N81" t="s">
        <v>32</v>
      </c>
      <c r="O81">
        <v>9.2517700000000005</v>
      </c>
      <c r="P81">
        <v>-24.696380000000001</v>
      </c>
    </row>
    <row r="82" spans="1:16">
      <c r="A82" t="s">
        <v>16</v>
      </c>
      <c r="B82">
        <v>31</v>
      </c>
      <c r="C82" t="s">
        <v>28</v>
      </c>
      <c r="D82" t="s">
        <v>18</v>
      </c>
      <c r="E82" t="s">
        <v>25</v>
      </c>
      <c r="F82" t="s">
        <v>20</v>
      </c>
      <c r="G82" t="s">
        <v>106</v>
      </c>
      <c r="H82" t="s">
        <v>22</v>
      </c>
      <c r="I82" s="6">
        <v>40884</v>
      </c>
      <c r="J82">
        <v>39.5</v>
      </c>
      <c r="K82">
        <v>16.7</v>
      </c>
      <c r="L82">
        <v>178</v>
      </c>
      <c r="M82">
        <v>3250</v>
      </c>
      <c r="N82" t="s">
        <v>23</v>
      </c>
      <c r="O82">
        <v>9.6975599999999993</v>
      </c>
      <c r="P82">
        <v>-25.11223</v>
      </c>
    </row>
    <row r="83" spans="1:16">
      <c r="A83" t="s">
        <v>99</v>
      </c>
      <c r="B83">
        <v>31</v>
      </c>
      <c r="C83" t="s">
        <v>24</v>
      </c>
      <c r="D83" t="s">
        <v>18</v>
      </c>
      <c r="E83" t="s">
        <v>25</v>
      </c>
      <c r="F83" t="s">
        <v>20</v>
      </c>
      <c r="G83" t="s">
        <v>107</v>
      </c>
      <c r="H83" t="s">
        <v>22</v>
      </c>
      <c r="I83" s="6">
        <v>39416</v>
      </c>
      <c r="J83">
        <v>40.9</v>
      </c>
      <c r="K83">
        <v>16.600000000000001</v>
      </c>
      <c r="L83">
        <v>187</v>
      </c>
      <c r="M83">
        <v>3200</v>
      </c>
      <c r="N83" t="s">
        <v>23</v>
      </c>
      <c r="O83">
        <v>9.0845800000000008</v>
      </c>
      <c r="P83">
        <v>-24.549029999999998</v>
      </c>
    </row>
    <row r="84" spans="1:16">
      <c r="A84" t="s">
        <v>16</v>
      </c>
      <c r="B84">
        <v>32</v>
      </c>
      <c r="C84" t="s">
        <v>17</v>
      </c>
      <c r="D84" t="s">
        <v>18</v>
      </c>
      <c r="E84" t="s">
        <v>19</v>
      </c>
      <c r="F84" t="s">
        <v>20</v>
      </c>
      <c r="G84" t="s">
        <v>108</v>
      </c>
      <c r="H84" t="s">
        <v>22</v>
      </c>
      <c r="I84" s="6">
        <v>40975</v>
      </c>
      <c r="J84">
        <v>42.8</v>
      </c>
      <c r="K84">
        <v>14.2</v>
      </c>
      <c r="L84">
        <v>209</v>
      </c>
      <c r="M84">
        <v>4700</v>
      </c>
      <c r="N84" t="s">
        <v>23</v>
      </c>
      <c r="O84">
        <v>7.6345200000000002</v>
      </c>
      <c r="P84">
        <v>-25.463270000000001</v>
      </c>
    </row>
    <row r="85" spans="1:16">
      <c r="A85" t="s">
        <v>16</v>
      </c>
      <c r="B85">
        <v>32</v>
      </c>
      <c r="C85" t="s">
        <v>28</v>
      </c>
      <c r="D85" t="s">
        <v>18</v>
      </c>
      <c r="E85" t="s">
        <v>25</v>
      </c>
      <c r="F85" t="s">
        <v>20</v>
      </c>
      <c r="G85" t="s">
        <v>109</v>
      </c>
      <c r="H85" t="s">
        <v>22</v>
      </c>
      <c r="I85" s="6">
        <v>40884</v>
      </c>
      <c r="J85">
        <v>37.200000000000003</v>
      </c>
      <c r="K85">
        <v>18.100000000000001</v>
      </c>
      <c r="L85">
        <v>178</v>
      </c>
      <c r="M85">
        <v>3900</v>
      </c>
      <c r="N85" t="s">
        <v>32</v>
      </c>
      <c r="O85">
        <v>9.7276399999999992</v>
      </c>
      <c r="P85">
        <v>-25.010200000000001</v>
      </c>
    </row>
    <row r="86" spans="1:16">
      <c r="A86" t="s">
        <v>99</v>
      </c>
      <c r="B86">
        <v>32</v>
      </c>
      <c r="C86" t="s">
        <v>24</v>
      </c>
      <c r="D86" t="s">
        <v>18</v>
      </c>
      <c r="E86" t="s">
        <v>25</v>
      </c>
      <c r="F86" t="s">
        <v>20</v>
      </c>
      <c r="G86" t="s">
        <v>110</v>
      </c>
      <c r="H86" t="s">
        <v>22</v>
      </c>
      <c r="I86" s="6">
        <v>39416</v>
      </c>
      <c r="J86">
        <v>54.2</v>
      </c>
      <c r="K86">
        <v>20.8</v>
      </c>
      <c r="L86">
        <v>201</v>
      </c>
      <c r="M86">
        <v>4300</v>
      </c>
      <c r="N86" t="s">
        <v>32</v>
      </c>
      <c r="O86">
        <v>9.4928299999999997</v>
      </c>
      <c r="P86">
        <v>-24.599959999999999</v>
      </c>
    </row>
    <row r="87" spans="1:16">
      <c r="A87" t="s">
        <v>16</v>
      </c>
      <c r="B87">
        <v>33</v>
      </c>
      <c r="C87" t="s">
        <v>28</v>
      </c>
      <c r="D87" t="s">
        <v>18</v>
      </c>
      <c r="E87" t="s">
        <v>25</v>
      </c>
      <c r="F87" t="s">
        <v>20</v>
      </c>
      <c r="G87" t="s">
        <v>111</v>
      </c>
      <c r="H87" t="s">
        <v>22</v>
      </c>
      <c r="I87" s="6">
        <v>40884</v>
      </c>
      <c r="J87">
        <v>39.5</v>
      </c>
      <c r="K87">
        <v>17.8</v>
      </c>
      <c r="L87">
        <v>188</v>
      </c>
      <c r="M87">
        <v>3300</v>
      </c>
      <c r="N87" t="s">
        <v>23</v>
      </c>
      <c r="O87">
        <v>9.6652299999999993</v>
      </c>
      <c r="P87">
        <v>-25.060199999999998</v>
      </c>
    </row>
    <row r="88" spans="1:16">
      <c r="A88" t="s">
        <v>99</v>
      </c>
      <c r="B88">
        <v>33</v>
      </c>
      <c r="C88" t="s">
        <v>24</v>
      </c>
      <c r="D88" t="s">
        <v>18</v>
      </c>
      <c r="E88" t="s">
        <v>25</v>
      </c>
      <c r="F88" t="s">
        <v>20</v>
      </c>
      <c r="G88" t="s">
        <v>112</v>
      </c>
      <c r="H88" t="s">
        <v>22</v>
      </c>
      <c r="I88" s="6">
        <v>39416</v>
      </c>
      <c r="J88">
        <v>42.5</v>
      </c>
      <c r="K88">
        <v>16.7</v>
      </c>
      <c r="L88">
        <v>187</v>
      </c>
      <c r="M88">
        <v>3350</v>
      </c>
      <c r="N88" t="s">
        <v>23</v>
      </c>
      <c r="O88">
        <v>9.3666800000000006</v>
      </c>
      <c r="P88">
        <v>-24.45195</v>
      </c>
    </row>
    <row r="89" spans="1:16">
      <c r="A89" t="s">
        <v>16</v>
      </c>
      <c r="B89">
        <v>33</v>
      </c>
      <c r="C89" t="s">
        <v>17</v>
      </c>
      <c r="D89" t="s">
        <v>18</v>
      </c>
      <c r="E89" t="s">
        <v>19</v>
      </c>
      <c r="F89" t="s">
        <v>20</v>
      </c>
      <c r="G89" t="s">
        <v>113</v>
      </c>
      <c r="H89" t="s">
        <v>22</v>
      </c>
      <c r="I89" s="6">
        <v>39413</v>
      </c>
      <c r="J89">
        <v>45.1</v>
      </c>
      <c r="K89">
        <v>14.5</v>
      </c>
      <c r="L89">
        <v>207</v>
      </c>
      <c r="M89">
        <v>5050</v>
      </c>
      <c r="N89" t="s">
        <v>23</v>
      </c>
      <c r="O89">
        <v>7.9740799999999998</v>
      </c>
      <c r="P89">
        <v>-25.537680000000002</v>
      </c>
    </row>
    <row r="90" spans="1:16">
      <c r="A90" t="s">
        <v>99</v>
      </c>
      <c r="B90">
        <v>34</v>
      </c>
      <c r="C90" t="s">
        <v>24</v>
      </c>
      <c r="D90" t="s">
        <v>18</v>
      </c>
      <c r="E90" t="s">
        <v>25</v>
      </c>
      <c r="F90" t="s">
        <v>20</v>
      </c>
      <c r="G90" t="s">
        <v>114</v>
      </c>
      <c r="H90" t="s">
        <v>22</v>
      </c>
      <c r="I90" s="6">
        <v>40975</v>
      </c>
      <c r="J90">
        <v>51</v>
      </c>
      <c r="K90">
        <v>18.8</v>
      </c>
      <c r="L90">
        <v>203</v>
      </c>
      <c r="M90">
        <v>4100</v>
      </c>
      <c r="N90" t="s">
        <v>32</v>
      </c>
      <c r="O90">
        <v>9.2319600000000008</v>
      </c>
      <c r="P90">
        <v>-24.172820000000002</v>
      </c>
    </row>
    <row r="91" spans="1:16">
      <c r="A91" t="s">
        <v>16</v>
      </c>
      <c r="B91">
        <v>34</v>
      </c>
      <c r="C91" t="s">
        <v>28</v>
      </c>
      <c r="D91" t="s">
        <v>18</v>
      </c>
      <c r="E91" t="s">
        <v>25</v>
      </c>
      <c r="F91" t="s">
        <v>20</v>
      </c>
      <c r="G91" t="s">
        <v>115</v>
      </c>
      <c r="H91" t="s">
        <v>22</v>
      </c>
      <c r="I91" s="6">
        <v>40823</v>
      </c>
      <c r="J91">
        <v>40.9</v>
      </c>
      <c r="K91">
        <v>18.899999999999999</v>
      </c>
      <c r="L91">
        <v>184</v>
      </c>
      <c r="M91">
        <v>3900</v>
      </c>
      <c r="N91" t="s">
        <v>32</v>
      </c>
      <c r="O91">
        <v>8.7966499999999996</v>
      </c>
      <c r="P91">
        <v>-25.145910000000001</v>
      </c>
    </row>
    <row r="92" spans="1:16">
      <c r="A92" t="s">
        <v>16</v>
      </c>
      <c r="B92">
        <v>34</v>
      </c>
      <c r="C92" t="s">
        <v>17</v>
      </c>
      <c r="D92" t="s">
        <v>18</v>
      </c>
      <c r="E92" t="s">
        <v>19</v>
      </c>
      <c r="F92" t="s">
        <v>20</v>
      </c>
      <c r="G92" t="s">
        <v>116</v>
      </c>
      <c r="H92" t="s">
        <v>22</v>
      </c>
      <c r="I92" s="6">
        <v>39413</v>
      </c>
      <c r="J92">
        <v>59.6</v>
      </c>
      <c r="K92">
        <v>17</v>
      </c>
      <c r="L92">
        <v>230</v>
      </c>
      <c r="M92">
        <v>6050</v>
      </c>
      <c r="N92" t="s">
        <v>32</v>
      </c>
      <c r="O92">
        <v>7.7684300000000004</v>
      </c>
      <c r="P92">
        <v>-25.682099999999998</v>
      </c>
    </row>
    <row r="93" spans="1:16">
      <c r="A93" t="s">
        <v>99</v>
      </c>
      <c r="B93">
        <v>35</v>
      </c>
      <c r="C93" t="s">
        <v>24</v>
      </c>
      <c r="D93" t="s">
        <v>18</v>
      </c>
      <c r="E93" t="s">
        <v>25</v>
      </c>
      <c r="F93" t="s">
        <v>20</v>
      </c>
      <c r="G93" t="s">
        <v>52</v>
      </c>
      <c r="H93" t="s">
        <v>22</v>
      </c>
      <c r="I93" s="6">
        <v>40975</v>
      </c>
      <c r="J93">
        <v>49.7</v>
      </c>
      <c r="K93">
        <v>18.600000000000001</v>
      </c>
      <c r="L93">
        <v>195</v>
      </c>
      <c r="M93">
        <v>3600</v>
      </c>
      <c r="N93" t="s">
        <v>32</v>
      </c>
      <c r="O93">
        <v>9.7548600000000008</v>
      </c>
      <c r="P93">
        <v>-24.311979999999998</v>
      </c>
    </row>
    <row r="94" spans="1:16">
      <c r="A94" t="s">
        <v>16</v>
      </c>
      <c r="B94">
        <v>35</v>
      </c>
      <c r="C94" t="s">
        <v>28</v>
      </c>
      <c r="D94" t="s">
        <v>18</v>
      </c>
      <c r="E94" t="s">
        <v>25</v>
      </c>
      <c r="F94" t="s">
        <v>20</v>
      </c>
      <c r="G94" t="s">
        <v>117</v>
      </c>
      <c r="H94" t="s">
        <v>22</v>
      </c>
      <c r="I94" s="6">
        <v>40823</v>
      </c>
      <c r="J94">
        <v>36.4</v>
      </c>
      <c r="K94">
        <v>17</v>
      </c>
      <c r="L94">
        <v>195</v>
      </c>
      <c r="M94">
        <v>3325</v>
      </c>
      <c r="N94" t="s">
        <v>23</v>
      </c>
      <c r="O94">
        <v>9.1784700000000008</v>
      </c>
      <c r="P94">
        <v>-25.230609999999999</v>
      </c>
    </row>
    <row r="95" spans="1:16">
      <c r="A95" t="s">
        <v>99</v>
      </c>
      <c r="B95">
        <v>35</v>
      </c>
      <c r="C95" t="s">
        <v>17</v>
      </c>
      <c r="D95" t="s">
        <v>18</v>
      </c>
      <c r="E95" t="s">
        <v>19</v>
      </c>
      <c r="F95" t="s">
        <v>20</v>
      </c>
      <c r="G95" t="s">
        <v>34</v>
      </c>
      <c r="H95" t="s">
        <v>22</v>
      </c>
      <c r="I95" s="6">
        <v>39413</v>
      </c>
      <c r="J95">
        <v>49.1</v>
      </c>
      <c r="K95">
        <v>14.8</v>
      </c>
      <c r="L95">
        <v>220</v>
      </c>
      <c r="M95">
        <v>5150</v>
      </c>
      <c r="N95" t="s">
        <v>23</v>
      </c>
      <c r="O95">
        <v>7.8974399999999996</v>
      </c>
      <c r="P95">
        <v>-26.634049999999998</v>
      </c>
    </row>
    <row r="96" spans="1:16">
      <c r="A96" t="s">
        <v>16</v>
      </c>
      <c r="B96">
        <v>36</v>
      </c>
      <c r="C96" t="s">
        <v>28</v>
      </c>
      <c r="D96" t="s">
        <v>18</v>
      </c>
      <c r="E96" t="s">
        <v>25</v>
      </c>
      <c r="F96" t="s">
        <v>20</v>
      </c>
      <c r="G96" t="s">
        <v>118</v>
      </c>
      <c r="H96" t="s">
        <v>22</v>
      </c>
      <c r="I96" s="6">
        <v>40884</v>
      </c>
      <c r="J96">
        <v>39.200000000000003</v>
      </c>
      <c r="K96">
        <v>21.1</v>
      </c>
      <c r="L96">
        <v>196</v>
      </c>
      <c r="M96">
        <v>4150</v>
      </c>
      <c r="N96" t="s">
        <v>32</v>
      </c>
      <c r="O96">
        <v>9.1530799999999992</v>
      </c>
      <c r="P96">
        <v>-25.034690000000001</v>
      </c>
    </row>
    <row r="97" spans="1:16">
      <c r="A97" t="s">
        <v>99</v>
      </c>
      <c r="B97">
        <v>36</v>
      </c>
      <c r="C97" t="s">
        <v>24</v>
      </c>
      <c r="D97" t="s">
        <v>18</v>
      </c>
      <c r="E97" t="s">
        <v>25</v>
      </c>
      <c r="F97" t="s">
        <v>20</v>
      </c>
      <c r="G97" t="s">
        <v>54</v>
      </c>
      <c r="H97" t="s">
        <v>22</v>
      </c>
      <c r="I97" s="6">
        <v>39414</v>
      </c>
      <c r="J97">
        <v>47.5</v>
      </c>
      <c r="K97">
        <v>16.8</v>
      </c>
      <c r="L97">
        <v>199</v>
      </c>
      <c r="M97">
        <v>3900</v>
      </c>
      <c r="N97" t="s">
        <v>23</v>
      </c>
      <c r="O97">
        <v>9.0782500000000006</v>
      </c>
      <c r="P97">
        <v>-25.145499999999998</v>
      </c>
    </row>
    <row r="98" spans="1:16">
      <c r="A98" t="s">
        <v>99</v>
      </c>
      <c r="B98">
        <v>36</v>
      </c>
      <c r="C98" t="s">
        <v>17</v>
      </c>
      <c r="D98" t="s">
        <v>18</v>
      </c>
      <c r="E98" t="s">
        <v>19</v>
      </c>
      <c r="F98" t="s">
        <v>20</v>
      </c>
      <c r="G98" t="s">
        <v>119</v>
      </c>
      <c r="H98" t="s">
        <v>22</v>
      </c>
      <c r="I98" s="6">
        <v>39413</v>
      </c>
      <c r="J98">
        <v>48.4</v>
      </c>
      <c r="K98">
        <v>16.3</v>
      </c>
      <c r="L98">
        <v>220</v>
      </c>
      <c r="M98">
        <v>5400</v>
      </c>
      <c r="N98" t="s">
        <v>32</v>
      </c>
      <c r="O98">
        <v>8.0365900000000003</v>
      </c>
      <c r="P98">
        <v>-26.861270000000001</v>
      </c>
    </row>
    <row r="99" spans="1:16">
      <c r="A99" t="s">
        <v>16</v>
      </c>
      <c r="B99">
        <v>37</v>
      </c>
      <c r="C99" t="s">
        <v>28</v>
      </c>
      <c r="D99" t="s">
        <v>18</v>
      </c>
      <c r="E99" t="s">
        <v>25</v>
      </c>
      <c r="F99" t="s">
        <v>20</v>
      </c>
      <c r="G99" t="s">
        <v>120</v>
      </c>
      <c r="H99" t="s">
        <v>22</v>
      </c>
      <c r="I99" s="6">
        <v>40884</v>
      </c>
      <c r="J99">
        <v>38.799999999999997</v>
      </c>
      <c r="K99">
        <v>20</v>
      </c>
      <c r="L99">
        <v>190</v>
      </c>
      <c r="M99">
        <v>3950</v>
      </c>
      <c r="N99" t="s">
        <v>32</v>
      </c>
      <c r="O99">
        <v>9.1898499999999999</v>
      </c>
      <c r="P99">
        <v>-25.12255</v>
      </c>
    </row>
    <row r="100" spans="1:16">
      <c r="A100" t="s">
        <v>99</v>
      </c>
      <c r="B100">
        <v>37</v>
      </c>
      <c r="C100" t="s">
        <v>24</v>
      </c>
      <c r="D100" t="s">
        <v>18</v>
      </c>
      <c r="E100" t="s">
        <v>25</v>
      </c>
      <c r="F100" t="s">
        <v>20</v>
      </c>
      <c r="G100" t="s">
        <v>60</v>
      </c>
      <c r="H100" t="s">
        <v>22</v>
      </c>
      <c r="I100" s="6">
        <v>39414</v>
      </c>
      <c r="J100">
        <v>47.6</v>
      </c>
      <c r="K100">
        <v>18.3</v>
      </c>
      <c r="L100">
        <v>195</v>
      </c>
      <c r="M100">
        <v>3850</v>
      </c>
      <c r="N100" t="s">
        <v>23</v>
      </c>
      <c r="O100">
        <v>8.8350200000000001</v>
      </c>
      <c r="P100">
        <v>-24.65859</v>
      </c>
    </row>
    <row r="101" spans="1:16">
      <c r="A101" t="s">
        <v>99</v>
      </c>
      <c r="B101">
        <v>37</v>
      </c>
      <c r="C101" t="s">
        <v>17</v>
      </c>
      <c r="D101" t="s">
        <v>18</v>
      </c>
      <c r="E101" t="s">
        <v>19</v>
      </c>
      <c r="F101" t="s">
        <v>20</v>
      </c>
      <c r="G101" t="s">
        <v>47</v>
      </c>
      <c r="H101" t="s">
        <v>22</v>
      </c>
      <c r="I101" s="6">
        <v>39413</v>
      </c>
      <c r="J101">
        <v>42.6</v>
      </c>
      <c r="K101">
        <v>13.7</v>
      </c>
      <c r="L101">
        <v>213</v>
      </c>
      <c r="M101">
        <v>4950</v>
      </c>
      <c r="N101" t="s">
        <v>23</v>
      </c>
      <c r="O101">
        <v>7.9693500000000004</v>
      </c>
      <c r="P101">
        <v>-26.709679999999999</v>
      </c>
    </row>
    <row r="102" spans="1:16">
      <c r="A102" t="s">
        <v>16</v>
      </c>
      <c r="B102">
        <v>38</v>
      </c>
      <c r="C102" t="s">
        <v>28</v>
      </c>
      <c r="D102" t="s">
        <v>18</v>
      </c>
      <c r="E102" t="s">
        <v>25</v>
      </c>
      <c r="F102" t="s">
        <v>20</v>
      </c>
      <c r="G102" t="s">
        <v>121</v>
      </c>
      <c r="H102" t="s">
        <v>22</v>
      </c>
      <c r="I102" s="6">
        <v>40823</v>
      </c>
      <c r="J102">
        <v>42.2</v>
      </c>
      <c r="K102">
        <v>18.5</v>
      </c>
      <c r="L102">
        <v>180</v>
      </c>
      <c r="M102">
        <v>3550</v>
      </c>
      <c r="N102" t="s">
        <v>23</v>
      </c>
      <c r="O102">
        <v>8.0478699999999996</v>
      </c>
      <c r="P102">
        <v>-25.495229999999999</v>
      </c>
    </row>
    <row r="103" spans="1:16">
      <c r="A103" t="s">
        <v>99</v>
      </c>
      <c r="B103">
        <v>38</v>
      </c>
      <c r="C103" t="s">
        <v>24</v>
      </c>
      <c r="D103" t="s">
        <v>18</v>
      </c>
      <c r="E103" t="s">
        <v>25</v>
      </c>
      <c r="F103" t="s">
        <v>20</v>
      </c>
      <c r="G103" t="s">
        <v>62</v>
      </c>
      <c r="H103" t="s">
        <v>22</v>
      </c>
      <c r="I103" s="6">
        <v>39414</v>
      </c>
      <c r="J103">
        <v>52</v>
      </c>
      <c r="K103">
        <v>20.7</v>
      </c>
      <c r="L103">
        <v>210</v>
      </c>
      <c r="M103">
        <v>4800</v>
      </c>
      <c r="N103" t="s">
        <v>32</v>
      </c>
      <c r="O103">
        <v>9.4314599999999995</v>
      </c>
      <c r="P103">
        <v>-24.6844</v>
      </c>
    </row>
    <row r="104" spans="1:16">
      <c r="A104" t="s">
        <v>99</v>
      </c>
      <c r="B104">
        <v>38</v>
      </c>
      <c r="C104" t="s">
        <v>17</v>
      </c>
      <c r="D104" t="s">
        <v>18</v>
      </c>
      <c r="E104" t="s">
        <v>19</v>
      </c>
      <c r="F104" t="s">
        <v>20</v>
      </c>
      <c r="G104" t="s">
        <v>50</v>
      </c>
      <c r="H104" t="s">
        <v>22</v>
      </c>
      <c r="I104" s="6">
        <v>39413</v>
      </c>
      <c r="J104">
        <v>44.4</v>
      </c>
      <c r="K104">
        <v>17.3</v>
      </c>
      <c r="L104">
        <v>219</v>
      </c>
      <c r="M104">
        <v>5250</v>
      </c>
      <c r="N104" t="s">
        <v>32</v>
      </c>
      <c r="O104">
        <v>8.1374600000000008</v>
      </c>
      <c r="P104">
        <v>-26.790929999999999</v>
      </c>
    </row>
    <row r="105" spans="1:16">
      <c r="A105" t="s">
        <v>16</v>
      </c>
      <c r="B105">
        <v>39</v>
      </c>
      <c r="C105" t="s">
        <v>28</v>
      </c>
      <c r="D105" t="s">
        <v>18</v>
      </c>
      <c r="E105" t="s">
        <v>25</v>
      </c>
      <c r="F105" t="s">
        <v>20</v>
      </c>
      <c r="G105" t="s">
        <v>122</v>
      </c>
      <c r="H105" t="s">
        <v>27</v>
      </c>
      <c r="I105" s="6">
        <v>40823</v>
      </c>
      <c r="J105">
        <v>37.6</v>
      </c>
      <c r="K105">
        <v>19.3</v>
      </c>
      <c r="L105">
        <v>181</v>
      </c>
      <c r="M105">
        <v>3300</v>
      </c>
      <c r="N105" t="s">
        <v>23</v>
      </c>
      <c r="O105">
        <v>9.4113100000000003</v>
      </c>
      <c r="P105">
        <v>-25.041689999999999</v>
      </c>
    </row>
    <row r="106" spans="1:16">
      <c r="A106" t="s">
        <v>99</v>
      </c>
      <c r="B106">
        <v>39</v>
      </c>
      <c r="C106" t="s">
        <v>24</v>
      </c>
      <c r="D106" t="s">
        <v>18</v>
      </c>
      <c r="E106" t="s">
        <v>25</v>
      </c>
      <c r="F106" t="s">
        <v>20</v>
      </c>
      <c r="G106" t="s">
        <v>75</v>
      </c>
      <c r="H106" t="s">
        <v>27</v>
      </c>
      <c r="I106" s="6">
        <v>39414</v>
      </c>
      <c r="J106">
        <v>46.9</v>
      </c>
      <c r="K106">
        <v>16.600000000000001</v>
      </c>
      <c r="L106">
        <v>192</v>
      </c>
      <c r="M106">
        <v>2700</v>
      </c>
      <c r="N106" t="s">
        <v>23</v>
      </c>
      <c r="O106">
        <v>9.8058899999999998</v>
      </c>
      <c r="P106">
        <v>-24.737349999999999</v>
      </c>
    </row>
    <row r="107" spans="1:16">
      <c r="A107" t="s">
        <v>99</v>
      </c>
      <c r="B107">
        <v>39</v>
      </c>
      <c r="C107" t="s">
        <v>17</v>
      </c>
      <c r="D107" t="s">
        <v>18</v>
      </c>
      <c r="E107" t="s">
        <v>19</v>
      </c>
      <c r="F107" t="s">
        <v>20</v>
      </c>
      <c r="G107" t="s">
        <v>123</v>
      </c>
      <c r="H107" t="s">
        <v>22</v>
      </c>
      <c r="I107" s="6">
        <v>39413</v>
      </c>
      <c r="J107">
        <v>44</v>
      </c>
      <c r="K107">
        <v>13.6</v>
      </c>
      <c r="L107">
        <v>208</v>
      </c>
      <c r="M107">
        <v>4350</v>
      </c>
      <c r="N107" t="s">
        <v>23</v>
      </c>
      <c r="O107">
        <v>8.0197900000000004</v>
      </c>
      <c r="P107">
        <v>-26.683109999999999</v>
      </c>
    </row>
    <row r="108" spans="1:16">
      <c r="A108" t="s">
        <v>99</v>
      </c>
      <c r="B108">
        <v>40</v>
      </c>
      <c r="C108" t="s">
        <v>24</v>
      </c>
      <c r="D108" t="s">
        <v>18</v>
      </c>
      <c r="E108" t="s">
        <v>25</v>
      </c>
      <c r="F108" t="s">
        <v>20</v>
      </c>
      <c r="G108" t="s">
        <v>78</v>
      </c>
      <c r="H108" t="s">
        <v>27</v>
      </c>
      <c r="I108" s="6">
        <v>39777</v>
      </c>
      <c r="J108">
        <v>53.5</v>
      </c>
      <c r="K108">
        <v>19.899999999999999</v>
      </c>
      <c r="L108">
        <v>205</v>
      </c>
      <c r="M108">
        <v>4500</v>
      </c>
      <c r="N108" t="s">
        <v>32</v>
      </c>
      <c r="O108">
        <v>10.02544</v>
      </c>
      <c r="P108">
        <v>-24.908159999999999</v>
      </c>
    </row>
    <row r="109" spans="1:16">
      <c r="A109" t="s">
        <v>99</v>
      </c>
      <c r="B109">
        <v>40</v>
      </c>
      <c r="C109" t="s">
        <v>17</v>
      </c>
      <c r="D109" t="s">
        <v>18</v>
      </c>
      <c r="E109" t="s">
        <v>19</v>
      </c>
      <c r="F109" t="s">
        <v>20</v>
      </c>
      <c r="G109" t="s">
        <v>124</v>
      </c>
      <c r="H109" t="s">
        <v>22</v>
      </c>
      <c r="I109" s="6">
        <v>39413</v>
      </c>
      <c r="J109">
        <v>48.7</v>
      </c>
      <c r="K109">
        <v>15.7</v>
      </c>
      <c r="L109">
        <v>208</v>
      </c>
      <c r="M109">
        <v>5350</v>
      </c>
      <c r="N109" t="s">
        <v>32</v>
      </c>
      <c r="O109">
        <v>8.1477599999999999</v>
      </c>
      <c r="P109">
        <v>-26.84506</v>
      </c>
    </row>
    <row r="110" spans="1:16">
      <c r="A110" t="s">
        <v>16</v>
      </c>
      <c r="B110">
        <v>41</v>
      </c>
      <c r="C110" t="s">
        <v>28</v>
      </c>
      <c r="D110" t="s">
        <v>18</v>
      </c>
      <c r="E110" t="s">
        <v>25</v>
      </c>
      <c r="F110" t="s">
        <v>20</v>
      </c>
      <c r="G110" t="s">
        <v>125</v>
      </c>
      <c r="H110" t="s">
        <v>22</v>
      </c>
      <c r="I110" s="6">
        <v>40793</v>
      </c>
      <c r="J110">
        <v>36.5</v>
      </c>
      <c r="K110">
        <v>18</v>
      </c>
      <c r="L110">
        <v>182</v>
      </c>
      <c r="M110">
        <v>3150</v>
      </c>
      <c r="N110" t="s">
        <v>23</v>
      </c>
      <c r="O110">
        <v>9.68933</v>
      </c>
      <c r="P110">
        <v>-24.422799999999999</v>
      </c>
    </row>
    <row r="111" spans="1:16">
      <c r="A111" t="s">
        <v>99</v>
      </c>
      <c r="B111">
        <v>41</v>
      </c>
      <c r="C111" t="s">
        <v>24</v>
      </c>
      <c r="D111" t="s">
        <v>18</v>
      </c>
      <c r="E111" t="s">
        <v>25</v>
      </c>
      <c r="F111" t="s">
        <v>20</v>
      </c>
      <c r="G111" t="s">
        <v>126</v>
      </c>
      <c r="H111" t="s">
        <v>22</v>
      </c>
      <c r="I111" s="6">
        <v>39777</v>
      </c>
      <c r="J111">
        <v>49</v>
      </c>
      <c r="K111">
        <v>19.5</v>
      </c>
      <c r="L111">
        <v>210</v>
      </c>
      <c r="M111">
        <v>3950</v>
      </c>
      <c r="N111" t="s">
        <v>32</v>
      </c>
      <c r="O111">
        <v>9.5326199999999996</v>
      </c>
      <c r="P111">
        <v>-24.668669999999999</v>
      </c>
    </row>
    <row r="112" spans="1:16">
      <c r="A112" t="s">
        <v>99</v>
      </c>
      <c r="B112">
        <v>41</v>
      </c>
      <c r="C112" t="s">
        <v>17</v>
      </c>
      <c r="D112" t="s">
        <v>18</v>
      </c>
      <c r="E112" t="s">
        <v>19</v>
      </c>
      <c r="F112" t="s">
        <v>20</v>
      </c>
      <c r="G112" t="s">
        <v>127</v>
      </c>
      <c r="H112" t="s">
        <v>27</v>
      </c>
      <c r="I112" s="6">
        <v>39415</v>
      </c>
      <c r="J112">
        <v>42.7</v>
      </c>
      <c r="K112">
        <v>13.7</v>
      </c>
      <c r="L112">
        <v>208</v>
      </c>
      <c r="M112">
        <v>3950</v>
      </c>
      <c r="N112" t="s">
        <v>23</v>
      </c>
      <c r="O112">
        <v>8.1456700000000009</v>
      </c>
      <c r="P112">
        <v>-26.594670000000001</v>
      </c>
    </row>
    <row r="113" spans="1:16">
      <c r="A113" t="s">
        <v>99</v>
      </c>
      <c r="B113">
        <v>42</v>
      </c>
      <c r="C113" t="s">
        <v>24</v>
      </c>
      <c r="D113" t="s">
        <v>18</v>
      </c>
      <c r="E113" t="s">
        <v>25</v>
      </c>
      <c r="F113" t="s">
        <v>20</v>
      </c>
      <c r="G113" t="s">
        <v>128</v>
      </c>
      <c r="H113" t="s">
        <v>22</v>
      </c>
      <c r="I113" s="6">
        <v>39766</v>
      </c>
      <c r="J113">
        <v>46.2</v>
      </c>
      <c r="K113">
        <v>17.5</v>
      </c>
      <c r="L113">
        <v>187</v>
      </c>
      <c r="M113">
        <v>3650</v>
      </c>
      <c r="N113" t="s">
        <v>23</v>
      </c>
      <c r="O113">
        <v>9.6173400000000004</v>
      </c>
      <c r="P113">
        <v>-24.66188</v>
      </c>
    </row>
    <row r="114" spans="1:16">
      <c r="A114" t="s">
        <v>99</v>
      </c>
      <c r="B114">
        <v>42</v>
      </c>
      <c r="C114" t="s">
        <v>17</v>
      </c>
      <c r="D114" t="s">
        <v>18</v>
      </c>
      <c r="E114" t="s">
        <v>19</v>
      </c>
      <c r="F114" t="s">
        <v>20</v>
      </c>
      <c r="G114" t="s">
        <v>129</v>
      </c>
      <c r="H114" t="s">
        <v>27</v>
      </c>
      <c r="I114" s="6">
        <v>39415</v>
      </c>
      <c r="J114">
        <v>49.6</v>
      </c>
      <c r="K114">
        <v>16</v>
      </c>
      <c r="L114">
        <v>225</v>
      </c>
      <c r="M114">
        <v>5700</v>
      </c>
      <c r="N114" t="s">
        <v>32</v>
      </c>
      <c r="O114">
        <v>8.3832400000000007</v>
      </c>
      <c r="P114">
        <v>-26.84272</v>
      </c>
    </row>
    <row r="115" spans="1:16">
      <c r="A115" t="s">
        <v>16</v>
      </c>
      <c r="B115">
        <v>43</v>
      </c>
      <c r="C115" t="s">
        <v>28</v>
      </c>
      <c r="D115" t="s">
        <v>18</v>
      </c>
      <c r="E115" t="s">
        <v>25</v>
      </c>
      <c r="F115" t="s">
        <v>20</v>
      </c>
      <c r="G115" t="s">
        <v>130</v>
      </c>
      <c r="H115" t="s">
        <v>22</v>
      </c>
      <c r="I115" s="6">
        <v>40793</v>
      </c>
      <c r="J115">
        <v>36</v>
      </c>
      <c r="K115">
        <v>18.5</v>
      </c>
      <c r="L115">
        <v>186</v>
      </c>
      <c r="M115">
        <v>3100</v>
      </c>
      <c r="N115" t="s">
        <v>23</v>
      </c>
      <c r="O115">
        <v>9.5077200000000008</v>
      </c>
      <c r="P115">
        <v>-25.03492</v>
      </c>
    </row>
    <row r="116" spans="1:16">
      <c r="A116" t="s">
        <v>99</v>
      </c>
      <c r="B116">
        <v>43</v>
      </c>
      <c r="C116" t="s">
        <v>24</v>
      </c>
      <c r="D116" t="s">
        <v>18</v>
      </c>
      <c r="E116" t="s">
        <v>25</v>
      </c>
      <c r="F116" t="s">
        <v>20</v>
      </c>
      <c r="G116" t="s">
        <v>131</v>
      </c>
      <c r="H116" t="s">
        <v>22</v>
      </c>
      <c r="I116" s="6">
        <v>39766</v>
      </c>
      <c r="J116">
        <v>50.9</v>
      </c>
      <c r="K116">
        <v>19.100000000000001</v>
      </c>
      <c r="L116">
        <v>196</v>
      </c>
      <c r="M116">
        <v>3550</v>
      </c>
      <c r="N116" t="s">
        <v>32</v>
      </c>
      <c r="O116">
        <v>10.023720000000001</v>
      </c>
      <c r="P116">
        <v>-24.865939999999998</v>
      </c>
    </row>
    <row r="117" spans="1:16">
      <c r="A117" t="s">
        <v>99</v>
      </c>
      <c r="B117">
        <v>43</v>
      </c>
      <c r="C117" t="s">
        <v>17</v>
      </c>
      <c r="D117" t="s">
        <v>18</v>
      </c>
      <c r="E117" t="s">
        <v>19</v>
      </c>
      <c r="F117" t="s">
        <v>20</v>
      </c>
      <c r="G117" t="s">
        <v>132</v>
      </c>
      <c r="H117" t="s">
        <v>22</v>
      </c>
      <c r="I117" s="6">
        <v>39415</v>
      </c>
      <c r="J117">
        <v>45.3</v>
      </c>
      <c r="K117">
        <v>13.7</v>
      </c>
      <c r="L117">
        <v>210</v>
      </c>
      <c r="M117">
        <v>4300</v>
      </c>
      <c r="N117" t="s">
        <v>23</v>
      </c>
      <c r="O117">
        <v>8.3761500000000009</v>
      </c>
      <c r="P117">
        <v>-26.727910000000001</v>
      </c>
    </row>
    <row r="118" spans="1:16">
      <c r="A118" t="s">
        <v>16</v>
      </c>
      <c r="B118">
        <v>44</v>
      </c>
      <c r="C118" t="s">
        <v>28</v>
      </c>
      <c r="D118" t="s">
        <v>18</v>
      </c>
      <c r="E118" t="s">
        <v>25</v>
      </c>
      <c r="F118" t="s">
        <v>20</v>
      </c>
      <c r="G118" t="s">
        <v>133</v>
      </c>
      <c r="H118" t="s">
        <v>22</v>
      </c>
      <c r="I118" s="6">
        <v>40793</v>
      </c>
      <c r="J118">
        <v>44.1</v>
      </c>
      <c r="K118">
        <v>19.7</v>
      </c>
      <c r="L118">
        <v>196</v>
      </c>
      <c r="M118">
        <v>4400</v>
      </c>
      <c r="N118" t="s">
        <v>32</v>
      </c>
      <c r="O118">
        <v>9.2371999999999996</v>
      </c>
      <c r="P118">
        <v>-24.526979999999998</v>
      </c>
    </row>
    <row r="119" spans="1:16">
      <c r="A119" t="s">
        <v>99</v>
      </c>
      <c r="B119">
        <v>44</v>
      </c>
      <c r="C119" t="s">
        <v>24</v>
      </c>
      <c r="D119" t="s">
        <v>18</v>
      </c>
      <c r="E119" t="s">
        <v>25</v>
      </c>
      <c r="F119" t="s">
        <v>20</v>
      </c>
      <c r="G119" t="s">
        <v>134</v>
      </c>
      <c r="H119" t="s">
        <v>22</v>
      </c>
      <c r="I119" s="6">
        <v>39776</v>
      </c>
      <c r="J119">
        <v>45.5</v>
      </c>
      <c r="K119">
        <v>17</v>
      </c>
      <c r="L119">
        <v>196</v>
      </c>
      <c r="M119">
        <v>3500</v>
      </c>
      <c r="N119" t="s">
        <v>23</v>
      </c>
      <c r="O119">
        <v>9.3649299999999993</v>
      </c>
      <c r="P119">
        <v>-24.662590000000002</v>
      </c>
    </row>
    <row r="120" spans="1:16">
      <c r="A120" t="s">
        <v>99</v>
      </c>
      <c r="B120">
        <v>44</v>
      </c>
      <c r="C120" t="s">
        <v>17</v>
      </c>
      <c r="D120" t="s">
        <v>18</v>
      </c>
      <c r="E120" t="s">
        <v>19</v>
      </c>
      <c r="F120" t="s">
        <v>20</v>
      </c>
      <c r="G120" t="s">
        <v>135</v>
      </c>
      <c r="H120" t="s">
        <v>22</v>
      </c>
      <c r="I120" s="6">
        <v>39415</v>
      </c>
      <c r="J120">
        <v>49.6</v>
      </c>
      <c r="K120">
        <v>15</v>
      </c>
      <c r="L120">
        <v>216</v>
      </c>
      <c r="M120">
        <v>4750</v>
      </c>
      <c r="N120" t="s">
        <v>32</v>
      </c>
      <c r="O120">
        <v>8.2654800000000002</v>
      </c>
      <c r="P120">
        <v>-26.7699</v>
      </c>
    </row>
    <row r="121" spans="1:16">
      <c r="A121" t="s">
        <v>16</v>
      </c>
      <c r="B121">
        <v>45</v>
      </c>
      <c r="C121" t="s">
        <v>28</v>
      </c>
      <c r="D121" t="s">
        <v>18</v>
      </c>
      <c r="E121" t="s">
        <v>25</v>
      </c>
      <c r="F121" t="s">
        <v>20</v>
      </c>
      <c r="G121" t="s">
        <v>136</v>
      </c>
      <c r="H121" t="s">
        <v>22</v>
      </c>
      <c r="I121" s="6">
        <v>40793</v>
      </c>
      <c r="J121">
        <v>37</v>
      </c>
      <c r="K121">
        <v>16.899999999999999</v>
      </c>
      <c r="L121">
        <v>185</v>
      </c>
      <c r="M121">
        <v>3000</v>
      </c>
      <c r="N121" t="s">
        <v>23</v>
      </c>
      <c r="O121">
        <v>9.3639200000000002</v>
      </c>
      <c r="P121">
        <v>-25.01745</v>
      </c>
    </row>
    <row r="122" spans="1:16">
      <c r="A122" t="s">
        <v>137</v>
      </c>
      <c r="B122">
        <v>45</v>
      </c>
      <c r="C122" t="s">
        <v>24</v>
      </c>
      <c r="D122" t="s">
        <v>18</v>
      </c>
      <c r="E122" t="s">
        <v>25</v>
      </c>
      <c r="F122" t="s">
        <v>20</v>
      </c>
      <c r="G122" t="s">
        <v>138</v>
      </c>
      <c r="H122" t="s">
        <v>22</v>
      </c>
      <c r="I122" s="6">
        <v>39776</v>
      </c>
      <c r="J122">
        <v>50.9</v>
      </c>
      <c r="K122">
        <v>17.899999999999999</v>
      </c>
      <c r="L122">
        <v>196</v>
      </c>
      <c r="M122">
        <v>3675</v>
      </c>
      <c r="N122" t="s">
        <v>23</v>
      </c>
      <c r="O122">
        <v>9.4368400000000001</v>
      </c>
      <c r="P122">
        <v>-24.165659999999999</v>
      </c>
    </row>
    <row r="123" spans="1:16">
      <c r="A123" t="s">
        <v>99</v>
      </c>
      <c r="B123">
        <v>45</v>
      </c>
      <c r="C123" t="s">
        <v>17</v>
      </c>
      <c r="D123" t="s">
        <v>18</v>
      </c>
      <c r="E123" t="s">
        <v>19</v>
      </c>
      <c r="F123" t="s">
        <v>20</v>
      </c>
      <c r="G123" t="s">
        <v>65</v>
      </c>
      <c r="H123" t="s">
        <v>22</v>
      </c>
      <c r="I123" s="6">
        <v>39415</v>
      </c>
      <c r="J123">
        <v>50.5</v>
      </c>
      <c r="K123">
        <v>15.9</v>
      </c>
      <c r="L123">
        <v>222</v>
      </c>
      <c r="M123">
        <v>5550</v>
      </c>
      <c r="N123" t="s">
        <v>32</v>
      </c>
      <c r="O123">
        <v>8.4689399999999999</v>
      </c>
      <c r="P123">
        <v>-26.60436</v>
      </c>
    </row>
    <row r="124" spans="1:16">
      <c r="A124" t="s">
        <v>137</v>
      </c>
      <c r="B124">
        <v>46</v>
      </c>
      <c r="C124" t="s">
        <v>24</v>
      </c>
      <c r="D124" t="s">
        <v>18</v>
      </c>
      <c r="E124" t="s">
        <v>25</v>
      </c>
      <c r="F124" t="s">
        <v>20</v>
      </c>
      <c r="G124" t="s">
        <v>139</v>
      </c>
      <c r="H124" t="s">
        <v>22</v>
      </c>
      <c r="I124" s="6">
        <v>39776</v>
      </c>
      <c r="J124">
        <v>50.8</v>
      </c>
      <c r="K124">
        <v>18.5</v>
      </c>
      <c r="L124">
        <v>201</v>
      </c>
      <c r="M124">
        <v>4450</v>
      </c>
      <c r="N124" t="s">
        <v>32</v>
      </c>
      <c r="O124">
        <v>9.4582700000000006</v>
      </c>
      <c r="P124">
        <v>-24.35575</v>
      </c>
    </row>
    <row r="125" spans="1:16">
      <c r="A125" t="s">
        <v>99</v>
      </c>
      <c r="B125">
        <v>46</v>
      </c>
      <c r="C125" t="s">
        <v>17</v>
      </c>
      <c r="D125" t="s">
        <v>18</v>
      </c>
      <c r="E125" t="s">
        <v>19</v>
      </c>
      <c r="F125" t="s">
        <v>20</v>
      </c>
      <c r="G125" t="s">
        <v>140</v>
      </c>
      <c r="H125" t="s">
        <v>22</v>
      </c>
      <c r="I125" s="6">
        <v>39415</v>
      </c>
      <c r="J125">
        <v>43.6</v>
      </c>
      <c r="K125">
        <v>13.9</v>
      </c>
      <c r="L125">
        <v>217</v>
      </c>
      <c r="M125">
        <v>4900</v>
      </c>
      <c r="N125" t="s">
        <v>23</v>
      </c>
      <c r="O125">
        <v>8.2714099999999995</v>
      </c>
      <c r="P125">
        <v>-26.776499999999999</v>
      </c>
    </row>
    <row r="126" spans="1:16">
      <c r="A126" t="s">
        <v>16</v>
      </c>
      <c r="B126">
        <v>46</v>
      </c>
      <c r="C126" t="s">
        <v>28</v>
      </c>
      <c r="D126" t="s">
        <v>18</v>
      </c>
      <c r="E126" t="s">
        <v>25</v>
      </c>
      <c r="F126" t="s">
        <v>20</v>
      </c>
      <c r="G126" t="s">
        <v>141</v>
      </c>
      <c r="H126" t="s">
        <v>22</v>
      </c>
      <c r="I126" s="6">
        <v>39402</v>
      </c>
      <c r="J126">
        <v>39.6</v>
      </c>
      <c r="K126">
        <v>18.8</v>
      </c>
      <c r="L126">
        <v>190</v>
      </c>
      <c r="M126">
        <v>4600</v>
      </c>
      <c r="N126" t="s">
        <v>32</v>
      </c>
      <c r="O126">
        <v>9.4910599999999992</v>
      </c>
      <c r="P126">
        <v>-24.102550000000001</v>
      </c>
    </row>
    <row r="127" spans="1:16">
      <c r="A127" t="s">
        <v>137</v>
      </c>
      <c r="B127">
        <v>47</v>
      </c>
      <c r="C127" t="s">
        <v>24</v>
      </c>
      <c r="D127" t="s">
        <v>18</v>
      </c>
      <c r="E127" t="s">
        <v>25</v>
      </c>
      <c r="F127" t="s">
        <v>20</v>
      </c>
      <c r="G127" t="s">
        <v>142</v>
      </c>
      <c r="H127" t="s">
        <v>22</v>
      </c>
      <c r="I127" s="6">
        <v>39776</v>
      </c>
      <c r="J127">
        <v>50.1</v>
      </c>
      <c r="K127">
        <v>17.899999999999999</v>
      </c>
      <c r="L127">
        <v>190</v>
      </c>
      <c r="M127">
        <v>3400</v>
      </c>
      <c r="N127" t="s">
        <v>23</v>
      </c>
      <c r="O127">
        <v>9.4681899999999999</v>
      </c>
      <c r="P127">
        <v>-24.45721</v>
      </c>
    </row>
    <row r="128" spans="1:16">
      <c r="A128" t="s">
        <v>99</v>
      </c>
      <c r="B128">
        <v>47</v>
      </c>
      <c r="C128" t="s">
        <v>17</v>
      </c>
      <c r="D128" t="s">
        <v>18</v>
      </c>
      <c r="E128" t="s">
        <v>19</v>
      </c>
      <c r="F128" t="s">
        <v>20</v>
      </c>
      <c r="G128" t="s">
        <v>80</v>
      </c>
      <c r="H128" t="s">
        <v>27</v>
      </c>
      <c r="I128" s="6">
        <v>39415</v>
      </c>
      <c r="J128">
        <v>45.5</v>
      </c>
      <c r="K128">
        <v>13.9</v>
      </c>
      <c r="L128">
        <v>210</v>
      </c>
      <c r="M128">
        <v>4200</v>
      </c>
      <c r="N128" t="s">
        <v>23</v>
      </c>
      <c r="O128">
        <v>8.4782899999999994</v>
      </c>
      <c r="P128">
        <v>-26.61788</v>
      </c>
    </row>
    <row r="129" spans="1:16">
      <c r="A129" t="s">
        <v>137</v>
      </c>
      <c r="B129">
        <v>48</v>
      </c>
      <c r="C129" t="s">
        <v>24</v>
      </c>
      <c r="D129" t="s">
        <v>18</v>
      </c>
      <c r="E129" t="s">
        <v>25</v>
      </c>
      <c r="F129" t="s">
        <v>20</v>
      </c>
      <c r="G129" t="s">
        <v>143</v>
      </c>
      <c r="H129" t="s">
        <v>22</v>
      </c>
      <c r="I129" s="6">
        <v>39777</v>
      </c>
      <c r="J129">
        <v>49</v>
      </c>
      <c r="K129">
        <v>19.600000000000001</v>
      </c>
      <c r="L129">
        <v>212</v>
      </c>
      <c r="M129">
        <v>4300</v>
      </c>
      <c r="N129" t="s">
        <v>32</v>
      </c>
      <c r="O129">
        <v>9.3408899999999999</v>
      </c>
      <c r="P129">
        <v>-24.451889999999999</v>
      </c>
    </row>
    <row r="130" spans="1:16">
      <c r="A130" t="s">
        <v>99</v>
      </c>
      <c r="B130">
        <v>48</v>
      </c>
      <c r="C130" t="s">
        <v>17</v>
      </c>
      <c r="D130" t="s">
        <v>18</v>
      </c>
      <c r="E130" t="s">
        <v>19</v>
      </c>
      <c r="F130" t="s">
        <v>20</v>
      </c>
      <c r="G130" t="s">
        <v>85</v>
      </c>
      <c r="H130" t="s">
        <v>27</v>
      </c>
      <c r="I130" s="6">
        <v>39415</v>
      </c>
      <c r="J130">
        <v>50.5</v>
      </c>
      <c r="K130">
        <v>15.9</v>
      </c>
      <c r="L130">
        <v>225</v>
      </c>
      <c r="M130">
        <v>5400</v>
      </c>
      <c r="N130" t="s">
        <v>32</v>
      </c>
      <c r="O130">
        <v>8.6580300000000001</v>
      </c>
      <c r="P130">
        <v>-26.575849999999999</v>
      </c>
    </row>
    <row r="131" spans="1:16">
      <c r="A131" t="s">
        <v>99</v>
      </c>
      <c r="B131">
        <v>49</v>
      </c>
      <c r="C131" t="s">
        <v>17</v>
      </c>
      <c r="D131" t="s">
        <v>18</v>
      </c>
      <c r="E131" t="s">
        <v>19</v>
      </c>
      <c r="F131" t="s">
        <v>20</v>
      </c>
      <c r="G131" t="s">
        <v>88</v>
      </c>
      <c r="H131" t="s">
        <v>22</v>
      </c>
      <c r="I131" s="6">
        <v>40975</v>
      </c>
      <c r="J131">
        <v>44.9</v>
      </c>
      <c r="K131">
        <v>13.3</v>
      </c>
      <c r="L131">
        <v>213</v>
      </c>
      <c r="M131">
        <v>5100</v>
      </c>
      <c r="N131" t="s">
        <v>23</v>
      </c>
      <c r="O131">
        <v>8.45167</v>
      </c>
      <c r="P131">
        <v>-26.896439999999998</v>
      </c>
    </row>
    <row r="132" spans="1:16">
      <c r="A132" t="s">
        <v>137</v>
      </c>
      <c r="B132">
        <v>49</v>
      </c>
      <c r="C132" t="s">
        <v>24</v>
      </c>
      <c r="D132" t="s">
        <v>18</v>
      </c>
      <c r="E132" t="s">
        <v>25</v>
      </c>
      <c r="F132" t="s">
        <v>20</v>
      </c>
      <c r="G132" t="s">
        <v>144</v>
      </c>
      <c r="H132" t="s">
        <v>22</v>
      </c>
      <c r="I132" s="6">
        <v>39777</v>
      </c>
      <c r="J132">
        <v>51.5</v>
      </c>
      <c r="K132">
        <v>18.7</v>
      </c>
      <c r="L132">
        <v>187</v>
      </c>
      <c r="M132">
        <v>3250</v>
      </c>
      <c r="N132" t="s">
        <v>32</v>
      </c>
      <c r="O132">
        <v>9.6895000000000007</v>
      </c>
      <c r="P132">
        <v>-24.430620000000001</v>
      </c>
    </row>
    <row r="133" spans="1:16">
      <c r="A133" t="s">
        <v>16</v>
      </c>
      <c r="B133">
        <v>49</v>
      </c>
      <c r="C133" t="s">
        <v>28</v>
      </c>
      <c r="D133" t="s">
        <v>18</v>
      </c>
      <c r="E133" t="s">
        <v>25</v>
      </c>
      <c r="F133" t="s">
        <v>20</v>
      </c>
      <c r="G133" t="s">
        <v>145</v>
      </c>
      <c r="H133" t="s">
        <v>22</v>
      </c>
      <c r="I133" s="6">
        <v>39402</v>
      </c>
      <c r="J133">
        <v>36</v>
      </c>
      <c r="K133">
        <v>17.899999999999999</v>
      </c>
      <c r="L133">
        <v>190</v>
      </c>
      <c r="M133">
        <v>3450</v>
      </c>
      <c r="N133" t="s">
        <v>23</v>
      </c>
      <c r="O133">
        <v>9.5178399999999996</v>
      </c>
      <c r="P133">
        <v>-25.076830000000001</v>
      </c>
    </row>
    <row r="134" spans="1:16">
      <c r="A134" t="s">
        <v>99</v>
      </c>
      <c r="B134">
        <v>50</v>
      </c>
      <c r="C134" t="s">
        <v>17</v>
      </c>
      <c r="D134" t="s">
        <v>18</v>
      </c>
      <c r="E134" t="s">
        <v>19</v>
      </c>
      <c r="F134" t="s">
        <v>20</v>
      </c>
      <c r="G134" t="s">
        <v>91</v>
      </c>
      <c r="H134" t="s">
        <v>22</v>
      </c>
      <c r="I134" s="6">
        <v>40975</v>
      </c>
      <c r="J134">
        <v>45.2</v>
      </c>
      <c r="K134">
        <v>15.8</v>
      </c>
      <c r="L134">
        <v>215</v>
      </c>
      <c r="M134">
        <v>5300</v>
      </c>
      <c r="N134" t="s">
        <v>32</v>
      </c>
      <c r="O134">
        <v>8.5586800000000007</v>
      </c>
      <c r="P134">
        <v>-26.677990000000001</v>
      </c>
    </row>
    <row r="135" spans="1:16">
      <c r="A135" t="s">
        <v>137</v>
      </c>
      <c r="B135">
        <v>50</v>
      </c>
      <c r="C135" t="s">
        <v>24</v>
      </c>
      <c r="D135" t="s">
        <v>18</v>
      </c>
      <c r="E135" t="s">
        <v>25</v>
      </c>
      <c r="F135" t="s">
        <v>20</v>
      </c>
      <c r="G135" t="s">
        <v>146</v>
      </c>
      <c r="H135" t="s">
        <v>22</v>
      </c>
      <c r="I135" s="6">
        <v>39766</v>
      </c>
      <c r="J135">
        <v>49.8</v>
      </c>
      <c r="K135">
        <v>17.3</v>
      </c>
      <c r="L135">
        <v>198</v>
      </c>
      <c r="M135">
        <v>3675</v>
      </c>
      <c r="N135" t="s">
        <v>23</v>
      </c>
      <c r="O135">
        <v>9.3216900000000003</v>
      </c>
      <c r="P135">
        <v>-24.415620000000001</v>
      </c>
    </row>
    <row r="136" spans="1:16">
      <c r="A136" t="s">
        <v>16</v>
      </c>
      <c r="B136">
        <v>50</v>
      </c>
      <c r="C136" t="s">
        <v>28</v>
      </c>
      <c r="D136" t="s">
        <v>18</v>
      </c>
      <c r="E136" t="s">
        <v>25</v>
      </c>
      <c r="F136" t="s">
        <v>20</v>
      </c>
      <c r="G136" t="s">
        <v>147</v>
      </c>
      <c r="H136" t="s">
        <v>22</v>
      </c>
      <c r="I136" s="6">
        <v>39402</v>
      </c>
      <c r="J136">
        <v>42.3</v>
      </c>
      <c r="K136">
        <v>21.2</v>
      </c>
      <c r="L136">
        <v>191</v>
      </c>
      <c r="M136">
        <v>4150</v>
      </c>
      <c r="N136" t="s">
        <v>32</v>
      </c>
      <c r="O136">
        <v>8.87988</v>
      </c>
      <c r="P136">
        <v>-25.18543</v>
      </c>
    </row>
    <row r="137" spans="1:16">
      <c r="A137" t="s">
        <v>137</v>
      </c>
      <c r="B137">
        <v>51</v>
      </c>
      <c r="C137" t="s">
        <v>24</v>
      </c>
      <c r="D137" t="s">
        <v>18</v>
      </c>
      <c r="E137" t="s">
        <v>25</v>
      </c>
      <c r="F137" t="s">
        <v>20</v>
      </c>
      <c r="G137" t="s">
        <v>148</v>
      </c>
      <c r="H137" t="s">
        <v>22</v>
      </c>
      <c r="I137" s="6">
        <v>39766</v>
      </c>
      <c r="J137">
        <v>48.1</v>
      </c>
      <c r="K137">
        <v>16.399999999999999</v>
      </c>
      <c r="L137">
        <v>199</v>
      </c>
      <c r="M137">
        <v>3325</v>
      </c>
      <c r="N137" t="s">
        <v>23</v>
      </c>
      <c r="O137">
        <v>9.4692900000000009</v>
      </c>
      <c r="P137">
        <v>-24.484030000000001</v>
      </c>
    </row>
    <row r="138" spans="1:16">
      <c r="A138" t="s">
        <v>99</v>
      </c>
      <c r="B138">
        <v>51</v>
      </c>
      <c r="C138" t="s">
        <v>17</v>
      </c>
      <c r="D138" t="s">
        <v>18</v>
      </c>
      <c r="E138" t="s">
        <v>19</v>
      </c>
      <c r="F138" t="s">
        <v>20</v>
      </c>
      <c r="G138" t="s">
        <v>94</v>
      </c>
      <c r="H138" t="s">
        <v>22</v>
      </c>
      <c r="I138" s="6">
        <v>39765</v>
      </c>
      <c r="J138">
        <v>46.6</v>
      </c>
      <c r="K138">
        <v>14.2</v>
      </c>
      <c r="L138">
        <v>210</v>
      </c>
      <c r="M138">
        <v>4850</v>
      </c>
      <c r="N138" t="s">
        <v>23</v>
      </c>
      <c r="O138">
        <v>8.3828899999999997</v>
      </c>
      <c r="P138">
        <v>-26.863520000000001</v>
      </c>
    </row>
    <row r="139" spans="1:16">
      <c r="A139" t="s">
        <v>99</v>
      </c>
      <c r="B139">
        <v>51</v>
      </c>
      <c r="C139" t="s">
        <v>28</v>
      </c>
      <c r="D139" t="s">
        <v>18</v>
      </c>
      <c r="E139" t="s">
        <v>19</v>
      </c>
      <c r="F139" t="s">
        <v>20</v>
      </c>
      <c r="G139" t="s">
        <v>106</v>
      </c>
      <c r="H139" t="s">
        <v>22</v>
      </c>
      <c r="I139" s="6">
        <v>39402</v>
      </c>
      <c r="J139">
        <v>39.6</v>
      </c>
      <c r="K139">
        <v>17.7</v>
      </c>
      <c r="L139">
        <v>186</v>
      </c>
      <c r="M139">
        <v>3500</v>
      </c>
      <c r="N139" t="s">
        <v>23</v>
      </c>
      <c r="O139">
        <v>8.4661600000000004</v>
      </c>
      <c r="P139">
        <v>-26.12989</v>
      </c>
    </row>
    <row r="140" spans="1:16">
      <c r="A140" t="s">
        <v>137</v>
      </c>
      <c r="B140">
        <v>52</v>
      </c>
      <c r="C140" t="s">
        <v>24</v>
      </c>
      <c r="D140" t="s">
        <v>18</v>
      </c>
      <c r="E140" t="s">
        <v>25</v>
      </c>
      <c r="F140" t="s">
        <v>20</v>
      </c>
      <c r="G140" t="s">
        <v>149</v>
      </c>
      <c r="H140" t="s">
        <v>22</v>
      </c>
      <c r="I140" s="6">
        <v>39776</v>
      </c>
      <c r="J140">
        <v>51.4</v>
      </c>
      <c r="K140">
        <v>19</v>
      </c>
      <c r="L140">
        <v>201</v>
      </c>
      <c r="M140">
        <v>3950</v>
      </c>
      <c r="N140" t="s">
        <v>32</v>
      </c>
      <c r="O140">
        <v>9.4378200000000003</v>
      </c>
      <c r="P140">
        <v>-24.362020000000001</v>
      </c>
    </row>
    <row r="141" spans="1:16">
      <c r="A141" t="s">
        <v>99</v>
      </c>
      <c r="B141">
        <v>52</v>
      </c>
      <c r="C141" t="s">
        <v>17</v>
      </c>
      <c r="D141" t="s">
        <v>18</v>
      </c>
      <c r="E141" t="s">
        <v>19</v>
      </c>
      <c r="F141" t="s">
        <v>20</v>
      </c>
      <c r="G141" t="s">
        <v>95</v>
      </c>
      <c r="H141" t="s">
        <v>22</v>
      </c>
      <c r="I141" s="6">
        <v>39765</v>
      </c>
      <c r="J141">
        <v>48.5</v>
      </c>
      <c r="K141">
        <v>14.1</v>
      </c>
      <c r="L141">
        <v>220</v>
      </c>
      <c r="M141">
        <v>5300</v>
      </c>
      <c r="N141" t="s">
        <v>32</v>
      </c>
      <c r="O141">
        <v>8.3986699999999992</v>
      </c>
      <c r="P141">
        <v>-26.793579999999999</v>
      </c>
    </row>
    <row r="142" spans="1:16">
      <c r="A142" t="s">
        <v>99</v>
      </c>
      <c r="B142">
        <v>52</v>
      </c>
      <c r="C142" t="s">
        <v>28</v>
      </c>
      <c r="D142" t="s">
        <v>18</v>
      </c>
      <c r="E142" t="s">
        <v>19</v>
      </c>
      <c r="F142" t="s">
        <v>20</v>
      </c>
      <c r="G142" t="s">
        <v>109</v>
      </c>
      <c r="H142" t="s">
        <v>22</v>
      </c>
      <c r="I142" s="6">
        <v>39399</v>
      </c>
      <c r="J142">
        <v>40.1</v>
      </c>
      <c r="K142">
        <v>18.899999999999999</v>
      </c>
      <c r="L142">
        <v>188</v>
      </c>
      <c r="M142">
        <v>4300</v>
      </c>
      <c r="N142" t="s">
        <v>32</v>
      </c>
      <c r="O142">
        <v>8.5136199999999995</v>
      </c>
      <c r="P142">
        <v>-26.55602</v>
      </c>
    </row>
    <row r="143" spans="1:16">
      <c r="A143" t="s">
        <v>99</v>
      </c>
      <c r="B143">
        <v>53</v>
      </c>
      <c r="C143" t="s">
        <v>17</v>
      </c>
      <c r="D143" t="s">
        <v>18</v>
      </c>
      <c r="E143" t="s">
        <v>19</v>
      </c>
      <c r="F143" t="s">
        <v>20</v>
      </c>
      <c r="G143" t="s">
        <v>150</v>
      </c>
      <c r="H143" t="s">
        <v>22</v>
      </c>
      <c r="I143" s="6">
        <v>40582</v>
      </c>
      <c r="J143">
        <v>45.1</v>
      </c>
      <c r="K143">
        <v>14.4</v>
      </c>
      <c r="L143">
        <v>210</v>
      </c>
      <c r="M143">
        <v>4400</v>
      </c>
      <c r="N143" t="s">
        <v>23</v>
      </c>
      <c r="O143">
        <v>8.5195100000000004</v>
      </c>
      <c r="P143">
        <v>-27.018540000000002</v>
      </c>
    </row>
    <row r="144" spans="1:16">
      <c r="A144" t="s">
        <v>137</v>
      </c>
      <c r="B144">
        <v>53</v>
      </c>
      <c r="C144" t="s">
        <v>24</v>
      </c>
      <c r="D144" t="s">
        <v>18</v>
      </c>
      <c r="E144" t="s">
        <v>25</v>
      </c>
      <c r="F144" t="s">
        <v>20</v>
      </c>
      <c r="G144" t="s">
        <v>151</v>
      </c>
      <c r="H144" t="s">
        <v>22</v>
      </c>
      <c r="I144" s="6">
        <v>39776</v>
      </c>
      <c r="J144">
        <v>45.7</v>
      </c>
      <c r="K144">
        <v>17.3</v>
      </c>
      <c r="L144">
        <v>193</v>
      </c>
      <c r="M144">
        <v>3600</v>
      </c>
      <c r="N144" t="s">
        <v>23</v>
      </c>
      <c r="O144">
        <v>9.4149999999999991</v>
      </c>
      <c r="P144">
        <v>-24.805</v>
      </c>
    </row>
    <row r="145" spans="1:16">
      <c r="A145" t="s">
        <v>99</v>
      </c>
      <c r="B145">
        <v>53</v>
      </c>
      <c r="C145" t="s">
        <v>28</v>
      </c>
      <c r="D145" t="s">
        <v>18</v>
      </c>
      <c r="E145" t="s">
        <v>19</v>
      </c>
      <c r="F145" t="s">
        <v>20</v>
      </c>
      <c r="G145" t="s">
        <v>111</v>
      </c>
      <c r="H145" t="s">
        <v>22</v>
      </c>
      <c r="I145" s="6">
        <v>39399</v>
      </c>
      <c r="J145">
        <v>35</v>
      </c>
      <c r="K145">
        <v>17.899999999999999</v>
      </c>
      <c r="L145">
        <v>190</v>
      </c>
      <c r="M145">
        <v>3450</v>
      </c>
      <c r="N145" t="s">
        <v>23</v>
      </c>
      <c r="O145">
        <v>8.1953899999999997</v>
      </c>
      <c r="P145">
        <v>-26.172129999999999</v>
      </c>
    </row>
    <row r="146" spans="1:16">
      <c r="A146" t="s">
        <v>99</v>
      </c>
      <c r="B146">
        <v>54</v>
      </c>
      <c r="C146" t="s">
        <v>17</v>
      </c>
      <c r="D146" t="s">
        <v>18</v>
      </c>
      <c r="E146" t="s">
        <v>19</v>
      </c>
      <c r="F146" t="s">
        <v>20</v>
      </c>
      <c r="G146" t="s">
        <v>152</v>
      </c>
      <c r="H146" t="s">
        <v>22</v>
      </c>
      <c r="I146" s="6">
        <v>40582</v>
      </c>
      <c r="J146">
        <v>50.1</v>
      </c>
      <c r="K146">
        <v>15</v>
      </c>
      <c r="L146">
        <v>225</v>
      </c>
      <c r="M146">
        <v>5000</v>
      </c>
      <c r="N146" t="s">
        <v>32</v>
      </c>
      <c r="O146">
        <v>8.5015300000000007</v>
      </c>
      <c r="P146">
        <v>-26.614139999999999</v>
      </c>
    </row>
    <row r="147" spans="1:16">
      <c r="A147" t="s">
        <v>137</v>
      </c>
      <c r="B147">
        <v>54</v>
      </c>
      <c r="C147" t="s">
        <v>24</v>
      </c>
      <c r="D147" t="s">
        <v>18</v>
      </c>
      <c r="E147" t="s">
        <v>25</v>
      </c>
      <c r="F147" t="s">
        <v>20</v>
      </c>
      <c r="G147" t="s">
        <v>153</v>
      </c>
      <c r="H147" t="s">
        <v>22</v>
      </c>
      <c r="I147" s="6">
        <v>39776</v>
      </c>
      <c r="J147">
        <v>50.7</v>
      </c>
      <c r="K147">
        <v>19.7</v>
      </c>
      <c r="L147">
        <v>203</v>
      </c>
      <c r="M147">
        <v>4050</v>
      </c>
      <c r="N147" t="s">
        <v>32</v>
      </c>
      <c r="O147">
        <v>9.9372699999999998</v>
      </c>
      <c r="P147">
        <v>-24.59066</v>
      </c>
    </row>
    <row r="148" spans="1:16">
      <c r="A148" t="s">
        <v>99</v>
      </c>
      <c r="B148">
        <v>54</v>
      </c>
      <c r="C148" t="s">
        <v>28</v>
      </c>
      <c r="D148" t="s">
        <v>18</v>
      </c>
      <c r="E148" t="s">
        <v>19</v>
      </c>
      <c r="F148" t="s">
        <v>20</v>
      </c>
      <c r="G148" t="s">
        <v>115</v>
      </c>
      <c r="H148" t="s">
        <v>22</v>
      </c>
      <c r="I148" s="6">
        <v>39402</v>
      </c>
      <c r="J148">
        <v>42</v>
      </c>
      <c r="K148">
        <v>19.5</v>
      </c>
      <c r="L148">
        <v>200</v>
      </c>
      <c r="M148">
        <v>4050</v>
      </c>
      <c r="N148" t="s">
        <v>32</v>
      </c>
      <c r="O148">
        <v>8.48095</v>
      </c>
      <c r="P148">
        <v>-26.314599999999999</v>
      </c>
    </row>
    <row r="149" spans="1:16">
      <c r="A149" t="s">
        <v>99</v>
      </c>
      <c r="B149">
        <v>55</v>
      </c>
      <c r="C149" t="s">
        <v>17</v>
      </c>
      <c r="D149" t="s">
        <v>18</v>
      </c>
      <c r="E149" t="s">
        <v>19</v>
      </c>
      <c r="F149" t="s">
        <v>20</v>
      </c>
      <c r="G149" t="s">
        <v>154</v>
      </c>
      <c r="H149" t="s">
        <v>22</v>
      </c>
      <c r="I149" s="6">
        <v>40794</v>
      </c>
      <c r="J149">
        <v>46.5</v>
      </c>
      <c r="K149">
        <v>14.4</v>
      </c>
      <c r="L149">
        <v>217</v>
      </c>
      <c r="M149">
        <v>4900</v>
      </c>
      <c r="N149" t="s">
        <v>23</v>
      </c>
      <c r="O149">
        <v>8.4878900000000002</v>
      </c>
      <c r="P149">
        <v>-26.83006</v>
      </c>
    </row>
    <row r="150" spans="1:16">
      <c r="A150" t="s">
        <v>137</v>
      </c>
      <c r="B150">
        <v>55</v>
      </c>
      <c r="C150" t="s">
        <v>24</v>
      </c>
      <c r="D150" t="s">
        <v>18</v>
      </c>
      <c r="E150" t="s">
        <v>25</v>
      </c>
      <c r="F150" t="s">
        <v>20</v>
      </c>
      <c r="G150" t="s">
        <v>155</v>
      </c>
      <c r="H150" t="s">
        <v>22</v>
      </c>
      <c r="I150" s="6">
        <v>39776</v>
      </c>
      <c r="J150">
        <v>42.5</v>
      </c>
      <c r="K150">
        <v>17.3</v>
      </c>
      <c r="L150">
        <v>187</v>
      </c>
      <c r="M150">
        <v>3350</v>
      </c>
      <c r="N150" t="s">
        <v>23</v>
      </c>
      <c r="O150">
        <v>9.5653400000000008</v>
      </c>
      <c r="P150">
        <v>-24.608820000000001</v>
      </c>
    </row>
    <row r="151" spans="1:16">
      <c r="A151" t="s">
        <v>99</v>
      </c>
      <c r="B151">
        <v>55</v>
      </c>
      <c r="C151" t="s">
        <v>28</v>
      </c>
      <c r="D151" t="s">
        <v>18</v>
      </c>
      <c r="E151" t="s">
        <v>19</v>
      </c>
      <c r="F151" t="s">
        <v>20</v>
      </c>
      <c r="G151" t="s">
        <v>117</v>
      </c>
      <c r="H151" t="s">
        <v>22</v>
      </c>
      <c r="I151" s="6">
        <v>39402</v>
      </c>
      <c r="J151">
        <v>34.5</v>
      </c>
      <c r="K151">
        <v>18.100000000000001</v>
      </c>
      <c r="L151">
        <v>187</v>
      </c>
      <c r="M151">
        <v>2900</v>
      </c>
      <c r="N151" t="s">
        <v>23</v>
      </c>
      <c r="O151">
        <v>8.4183699999999995</v>
      </c>
      <c r="P151">
        <v>-26.547180000000001</v>
      </c>
    </row>
    <row r="152" spans="1:16">
      <c r="A152" t="s">
        <v>99</v>
      </c>
      <c r="B152">
        <v>56</v>
      </c>
      <c r="C152" t="s">
        <v>17</v>
      </c>
      <c r="D152" t="s">
        <v>18</v>
      </c>
      <c r="E152" t="s">
        <v>19</v>
      </c>
      <c r="F152" t="s">
        <v>20</v>
      </c>
      <c r="G152" t="s">
        <v>156</v>
      </c>
      <c r="H152" t="s">
        <v>22</v>
      </c>
      <c r="I152" s="6">
        <v>40794</v>
      </c>
      <c r="J152">
        <v>45</v>
      </c>
      <c r="K152">
        <v>15.4</v>
      </c>
      <c r="L152">
        <v>220</v>
      </c>
      <c r="M152">
        <v>5050</v>
      </c>
      <c r="N152" t="s">
        <v>32</v>
      </c>
      <c r="O152">
        <v>8.6348800000000008</v>
      </c>
      <c r="P152">
        <v>-26.756209999999999</v>
      </c>
    </row>
    <row r="153" spans="1:16">
      <c r="A153" t="s">
        <v>137</v>
      </c>
      <c r="B153">
        <v>56</v>
      </c>
      <c r="C153" t="s">
        <v>24</v>
      </c>
      <c r="D153" t="s">
        <v>18</v>
      </c>
      <c r="E153" t="s">
        <v>25</v>
      </c>
      <c r="F153" t="s">
        <v>20</v>
      </c>
      <c r="G153" t="s">
        <v>157</v>
      </c>
      <c r="H153" t="s">
        <v>22</v>
      </c>
      <c r="I153" s="6">
        <v>39766</v>
      </c>
      <c r="J153">
        <v>52.2</v>
      </c>
      <c r="K153">
        <v>18.8</v>
      </c>
      <c r="L153">
        <v>197</v>
      </c>
      <c r="M153">
        <v>3450</v>
      </c>
      <c r="N153" t="s">
        <v>32</v>
      </c>
      <c r="O153">
        <v>9.7752800000000004</v>
      </c>
      <c r="P153">
        <v>-24.564810000000001</v>
      </c>
    </row>
    <row r="154" spans="1:16">
      <c r="A154" t="s">
        <v>99</v>
      </c>
      <c r="B154">
        <v>56</v>
      </c>
      <c r="C154" t="s">
        <v>28</v>
      </c>
      <c r="D154" t="s">
        <v>18</v>
      </c>
      <c r="E154" t="s">
        <v>19</v>
      </c>
      <c r="F154" t="s">
        <v>20</v>
      </c>
      <c r="G154" t="s">
        <v>118</v>
      </c>
      <c r="H154" t="s">
        <v>22</v>
      </c>
      <c r="I154" s="6">
        <v>39405</v>
      </c>
      <c r="J154">
        <v>41.4</v>
      </c>
      <c r="K154">
        <v>18.600000000000001</v>
      </c>
      <c r="L154">
        <v>191</v>
      </c>
      <c r="M154">
        <v>3700</v>
      </c>
      <c r="N154" t="s">
        <v>32</v>
      </c>
      <c r="O154">
        <v>8.3539600000000007</v>
      </c>
      <c r="P154">
        <v>-26.27853</v>
      </c>
    </row>
    <row r="155" spans="1:16">
      <c r="A155" t="s">
        <v>99</v>
      </c>
      <c r="B155">
        <v>57</v>
      </c>
      <c r="C155" t="s">
        <v>17</v>
      </c>
      <c r="D155" t="s">
        <v>18</v>
      </c>
      <c r="E155" t="s">
        <v>19</v>
      </c>
      <c r="F155" t="s">
        <v>20</v>
      </c>
      <c r="G155" t="s">
        <v>158</v>
      </c>
      <c r="H155" t="s">
        <v>22</v>
      </c>
      <c r="I155" s="6">
        <v>40641</v>
      </c>
      <c r="J155">
        <v>43.8</v>
      </c>
      <c r="K155">
        <v>13.9</v>
      </c>
      <c r="L155">
        <v>208</v>
      </c>
      <c r="M155">
        <v>4300</v>
      </c>
      <c r="N155" t="s">
        <v>23</v>
      </c>
      <c r="O155">
        <v>8.5831900000000001</v>
      </c>
      <c r="P155">
        <v>-26.844149999999999</v>
      </c>
    </row>
    <row r="156" spans="1:16">
      <c r="A156" t="s">
        <v>137</v>
      </c>
      <c r="B156">
        <v>57</v>
      </c>
      <c r="C156" t="s">
        <v>24</v>
      </c>
      <c r="D156" t="s">
        <v>18</v>
      </c>
      <c r="E156" t="s">
        <v>25</v>
      </c>
      <c r="F156" t="s">
        <v>20</v>
      </c>
      <c r="G156" t="s">
        <v>159</v>
      </c>
      <c r="H156" t="s">
        <v>22</v>
      </c>
      <c r="I156" s="6">
        <v>39766</v>
      </c>
      <c r="J156">
        <v>45.2</v>
      </c>
      <c r="K156">
        <v>16.600000000000001</v>
      </c>
      <c r="L156">
        <v>191</v>
      </c>
      <c r="M156">
        <v>3250</v>
      </c>
      <c r="N156" t="s">
        <v>23</v>
      </c>
      <c r="O156">
        <v>9.6235700000000008</v>
      </c>
      <c r="P156">
        <v>-24.789840000000002</v>
      </c>
    </row>
    <row r="157" spans="1:16">
      <c r="A157" t="s">
        <v>99</v>
      </c>
      <c r="B157">
        <v>57</v>
      </c>
      <c r="C157" t="s">
        <v>28</v>
      </c>
      <c r="D157" t="s">
        <v>18</v>
      </c>
      <c r="E157" t="s">
        <v>19</v>
      </c>
      <c r="F157" t="s">
        <v>20</v>
      </c>
      <c r="G157" t="s">
        <v>120</v>
      </c>
      <c r="H157" t="s">
        <v>22</v>
      </c>
      <c r="I157" s="6">
        <v>39405</v>
      </c>
      <c r="J157">
        <v>39</v>
      </c>
      <c r="K157">
        <v>17.5</v>
      </c>
      <c r="L157">
        <v>186</v>
      </c>
      <c r="M157">
        <v>3550</v>
      </c>
      <c r="N157" t="s">
        <v>23</v>
      </c>
      <c r="O157">
        <v>8.5719899999999996</v>
      </c>
      <c r="P157">
        <v>-26.07188</v>
      </c>
    </row>
    <row r="158" spans="1:16">
      <c r="A158" t="s">
        <v>99</v>
      </c>
      <c r="B158">
        <v>58</v>
      </c>
      <c r="C158" t="s">
        <v>17</v>
      </c>
      <c r="D158" t="s">
        <v>18</v>
      </c>
      <c r="E158" t="s">
        <v>19</v>
      </c>
      <c r="F158" t="s">
        <v>20</v>
      </c>
      <c r="G158" t="s">
        <v>160</v>
      </c>
      <c r="H158" t="s">
        <v>22</v>
      </c>
      <c r="I158" s="6">
        <v>40641</v>
      </c>
      <c r="J158">
        <v>45.5</v>
      </c>
      <c r="K158">
        <v>15</v>
      </c>
      <c r="L158">
        <v>220</v>
      </c>
      <c r="M158">
        <v>5000</v>
      </c>
      <c r="N158" t="s">
        <v>32</v>
      </c>
      <c r="O158">
        <v>8.6360399999999995</v>
      </c>
      <c r="P158">
        <v>-26.748899999999999</v>
      </c>
    </row>
    <row r="159" spans="1:16">
      <c r="A159" t="s">
        <v>137</v>
      </c>
      <c r="B159">
        <v>58</v>
      </c>
      <c r="C159" t="s">
        <v>24</v>
      </c>
      <c r="D159" t="s">
        <v>18</v>
      </c>
      <c r="E159" t="s">
        <v>25</v>
      </c>
      <c r="F159" t="s">
        <v>20</v>
      </c>
      <c r="G159" t="s">
        <v>161</v>
      </c>
      <c r="H159" t="s">
        <v>22</v>
      </c>
      <c r="I159" s="6">
        <v>40134</v>
      </c>
      <c r="J159">
        <v>49.3</v>
      </c>
      <c r="K159">
        <v>19.899999999999999</v>
      </c>
      <c r="L159">
        <v>203</v>
      </c>
      <c r="M159">
        <v>4050</v>
      </c>
      <c r="N159" t="s">
        <v>32</v>
      </c>
      <c r="O159">
        <v>9.88809</v>
      </c>
      <c r="P159">
        <v>-24.595130000000001</v>
      </c>
    </row>
    <row r="160" spans="1:16">
      <c r="A160" t="s">
        <v>99</v>
      </c>
      <c r="B160">
        <v>58</v>
      </c>
      <c r="C160" t="s">
        <v>28</v>
      </c>
      <c r="D160" t="s">
        <v>18</v>
      </c>
      <c r="E160" t="s">
        <v>19</v>
      </c>
      <c r="F160" t="s">
        <v>20</v>
      </c>
      <c r="G160" t="s">
        <v>121</v>
      </c>
      <c r="H160" t="s">
        <v>22</v>
      </c>
      <c r="I160" s="6">
        <v>39402</v>
      </c>
      <c r="J160">
        <v>40.6</v>
      </c>
      <c r="K160">
        <v>18.8</v>
      </c>
      <c r="L160">
        <v>193</v>
      </c>
      <c r="M160">
        <v>3800</v>
      </c>
      <c r="N160" t="s">
        <v>32</v>
      </c>
      <c r="O160">
        <v>8.5667399999999994</v>
      </c>
      <c r="P160">
        <v>-25.988430000000001</v>
      </c>
    </row>
    <row r="161" spans="1:16">
      <c r="A161" t="s">
        <v>99</v>
      </c>
      <c r="B161">
        <v>59</v>
      </c>
      <c r="C161" t="s">
        <v>17</v>
      </c>
      <c r="D161" t="s">
        <v>18</v>
      </c>
      <c r="E161" t="s">
        <v>19</v>
      </c>
      <c r="F161" t="s">
        <v>20</v>
      </c>
      <c r="G161" t="s">
        <v>98</v>
      </c>
      <c r="H161" t="s">
        <v>22</v>
      </c>
      <c r="I161" s="6">
        <v>40641</v>
      </c>
      <c r="J161">
        <v>43.2</v>
      </c>
      <c r="K161">
        <v>14.5</v>
      </c>
      <c r="L161">
        <v>208</v>
      </c>
      <c r="M161">
        <v>4450</v>
      </c>
      <c r="N161" t="s">
        <v>23</v>
      </c>
      <c r="O161">
        <v>8.48367</v>
      </c>
      <c r="P161">
        <v>-26.864850000000001</v>
      </c>
    </row>
    <row r="162" spans="1:16">
      <c r="A162" t="s">
        <v>137</v>
      </c>
      <c r="B162">
        <v>59</v>
      </c>
      <c r="C162" t="s">
        <v>24</v>
      </c>
      <c r="D162" t="s">
        <v>18</v>
      </c>
      <c r="E162" t="s">
        <v>25</v>
      </c>
      <c r="F162" t="s">
        <v>20</v>
      </c>
      <c r="G162" t="s">
        <v>162</v>
      </c>
      <c r="H162" t="s">
        <v>22</v>
      </c>
      <c r="I162" s="6">
        <v>40134</v>
      </c>
      <c r="J162">
        <v>50.2</v>
      </c>
      <c r="K162">
        <v>18.8</v>
      </c>
      <c r="L162">
        <v>202</v>
      </c>
      <c r="M162">
        <v>3800</v>
      </c>
      <c r="N162" t="s">
        <v>32</v>
      </c>
      <c r="O162">
        <v>9.7449200000000005</v>
      </c>
      <c r="P162">
        <v>-24.404</v>
      </c>
    </row>
    <row r="163" spans="1:16">
      <c r="A163" t="s">
        <v>99</v>
      </c>
      <c r="B163">
        <v>59</v>
      </c>
      <c r="C163" t="s">
        <v>28</v>
      </c>
      <c r="D163" t="s">
        <v>18</v>
      </c>
      <c r="E163" t="s">
        <v>19</v>
      </c>
      <c r="F163" t="s">
        <v>20</v>
      </c>
      <c r="G163" t="s">
        <v>122</v>
      </c>
      <c r="H163" t="s">
        <v>22</v>
      </c>
      <c r="I163" s="6">
        <v>39402</v>
      </c>
      <c r="J163">
        <v>36.5</v>
      </c>
      <c r="K163">
        <v>16.600000000000001</v>
      </c>
      <c r="L163">
        <v>181</v>
      </c>
      <c r="M163">
        <v>2850</v>
      </c>
      <c r="N163" t="s">
        <v>23</v>
      </c>
      <c r="O163">
        <v>9.0787800000000001</v>
      </c>
      <c r="P163">
        <v>-25.88156</v>
      </c>
    </row>
    <row r="164" spans="1:16">
      <c r="A164" t="s">
        <v>99</v>
      </c>
      <c r="B164">
        <v>60</v>
      </c>
      <c r="C164" t="s">
        <v>17</v>
      </c>
      <c r="D164" t="s">
        <v>18</v>
      </c>
      <c r="E164" t="s">
        <v>19</v>
      </c>
      <c r="F164" t="s">
        <v>20</v>
      </c>
      <c r="G164" t="s">
        <v>101</v>
      </c>
      <c r="H164" t="s">
        <v>22</v>
      </c>
      <c r="I164" s="6">
        <v>40641</v>
      </c>
      <c r="J164">
        <v>50.4</v>
      </c>
      <c r="K164">
        <v>15.3</v>
      </c>
      <c r="L164">
        <v>224</v>
      </c>
      <c r="M164">
        <v>5550</v>
      </c>
      <c r="N164" t="s">
        <v>32</v>
      </c>
      <c r="O164">
        <v>8.7464700000000004</v>
      </c>
      <c r="P164">
        <v>-26.798459999999999</v>
      </c>
    </row>
    <row r="165" spans="1:16">
      <c r="A165" t="s">
        <v>137</v>
      </c>
      <c r="B165">
        <v>60</v>
      </c>
      <c r="C165" t="s">
        <v>24</v>
      </c>
      <c r="D165" t="s">
        <v>18</v>
      </c>
      <c r="E165" t="s">
        <v>25</v>
      </c>
      <c r="F165" t="s">
        <v>20</v>
      </c>
      <c r="G165" t="s">
        <v>163</v>
      </c>
      <c r="H165" t="s">
        <v>22</v>
      </c>
      <c r="I165" s="6">
        <v>40144</v>
      </c>
      <c r="J165">
        <v>45.6</v>
      </c>
      <c r="K165">
        <v>19.399999999999999</v>
      </c>
      <c r="L165">
        <v>194</v>
      </c>
      <c r="M165">
        <v>3525</v>
      </c>
      <c r="N165" t="s">
        <v>23</v>
      </c>
      <c r="O165">
        <v>9.4698499999999992</v>
      </c>
      <c r="P165">
        <v>-24.657859999999999</v>
      </c>
    </row>
    <row r="166" spans="1:16">
      <c r="A166" t="s">
        <v>99</v>
      </c>
      <c r="B166">
        <v>60</v>
      </c>
      <c r="C166" t="s">
        <v>28</v>
      </c>
      <c r="D166" t="s">
        <v>18</v>
      </c>
      <c r="E166" t="s">
        <v>19</v>
      </c>
      <c r="F166" t="s">
        <v>20</v>
      </c>
      <c r="G166" t="s">
        <v>164</v>
      </c>
      <c r="H166" t="s">
        <v>22</v>
      </c>
      <c r="I166" s="6">
        <v>39399</v>
      </c>
      <c r="J166">
        <v>37.6</v>
      </c>
      <c r="K166">
        <v>19.100000000000001</v>
      </c>
      <c r="L166">
        <v>194</v>
      </c>
      <c r="M166">
        <v>3750</v>
      </c>
      <c r="N166" t="s">
        <v>32</v>
      </c>
      <c r="O166">
        <v>9.1080000000000005</v>
      </c>
      <c r="P166">
        <v>-25.89677</v>
      </c>
    </row>
    <row r="167" spans="1:16">
      <c r="A167" t="s">
        <v>99</v>
      </c>
      <c r="B167">
        <v>61</v>
      </c>
      <c r="C167" t="s">
        <v>17</v>
      </c>
      <c r="D167" t="s">
        <v>18</v>
      </c>
      <c r="E167" t="s">
        <v>19</v>
      </c>
      <c r="F167" t="s">
        <v>20</v>
      </c>
      <c r="G167" t="s">
        <v>103</v>
      </c>
      <c r="H167" t="s">
        <v>22</v>
      </c>
      <c r="I167" s="6">
        <v>40610</v>
      </c>
      <c r="J167">
        <v>45.3</v>
      </c>
      <c r="K167">
        <v>13.8</v>
      </c>
      <c r="L167">
        <v>208</v>
      </c>
      <c r="M167">
        <v>4200</v>
      </c>
      <c r="N167" t="s">
        <v>23</v>
      </c>
      <c r="O167">
        <v>8.65015</v>
      </c>
      <c r="P167">
        <v>-26.79053</v>
      </c>
    </row>
    <row r="168" spans="1:16">
      <c r="A168" t="s">
        <v>99</v>
      </c>
      <c r="B168">
        <v>61</v>
      </c>
      <c r="C168" t="s">
        <v>28</v>
      </c>
      <c r="D168" t="s">
        <v>18</v>
      </c>
      <c r="E168" t="s">
        <v>19</v>
      </c>
      <c r="F168" t="s">
        <v>20</v>
      </c>
      <c r="G168" t="s">
        <v>130</v>
      </c>
      <c r="H168" t="s">
        <v>22</v>
      </c>
      <c r="I168" s="6">
        <v>39399</v>
      </c>
      <c r="J168">
        <v>35.700000000000003</v>
      </c>
      <c r="K168">
        <v>16.899999999999999</v>
      </c>
      <c r="L168">
        <v>185</v>
      </c>
      <c r="M168">
        <v>3150</v>
      </c>
      <c r="N168" t="s">
        <v>23</v>
      </c>
      <c r="O168">
        <v>8.9647199999999998</v>
      </c>
      <c r="P168">
        <v>-26.40943</v>
      </c>
    </row>
    <row r="169" spans="1:16">
      <c r="A169" t="s">
        <v>99</v>
      </c>
      <c r="B169">
        <v>62</v>
      </c>
      <c r="C169" t="s">
        <v>17</v>
      </c>
      <c r="D169" t="s">
        <v>18</v>
      </c>
      <c r="E169" t="s">
        <v>19</v>
      </c>
      <c r="F169" t="s">
        <v>20</v>
      </c>
      <c r="G169" t="s">
        <v>105</v>
      </c>
      <c r="H169" t="s">
        <v>22</v>
      </c>
      <c r="I169" s="6">
        <v>40610</v>
      </c>
      <c r="J169">
        <v>46.2</v>
      </c>
      <c r="K169">
        <v>14.9</v>
      </c>
      <c r="L169">
        <v>221</v>
      </c>
      <c r="M169">
        <v>5300</v>
      </c>
      <c r="N169" t="s">
        <v>32</v>
      </c>
      <c r="O169">
        <v>8.6009200000000003</v>
      </c>
      <c r="P169">
        <v>-26.84374</v>
      </c>
    </row>
    <row r="170" spans="1:16">
      <c r="A170" t="s">
        <v>137</v>
      </c>
      <c r="B170">
        <v>62</v>
      </c>
      <c r="C170" t="s">
        <v>24</v>
      </c>
      <c r="D170" t="s">
        <v>18</v>
      </c>
      <c r="E170" t="s">
        <v>25</v>
      </c>
      <c r="F170" t="s">
        <v>20</v>
      </c>
      <c r="G170" t="s">
        <v>165</v>
      </c>
      <c r="H170" t="s">
        <v>22</v>
      </c>
      <c r="I170" s="6">
        <v>40144</v>
      </c>
      <c r="J170">
        <v>46.8</v>
      </c>
      <c r="K170">
        <v>16.5</v>
      </c>
      <c r="L170">
        <v>189</v>
      </c>
      <c r="M170">
        <v>3650</v>
      </c>
      <c r="N170" t="s">
        <v>23</v>
      </c>
      <c r="O170">
        <v>9.6506100000000004</v>
      </c>
      <c r="P170">
        <v>-24.481529999999999</v>
      </c>
    </row>
    <row r="171" spans="1:16">
      <c r="A171" t="s">
        <v>99</v>
      </c>
      <c r="B171">
        <v>62</v>
      </c>
      <c r="C171" t="s">
        <v>28</v>
      </c>
      <c r="D171" t="s">
        <v>18</v>
      </c>
      <c r="E171" t="s">
        <v>19</v>
      </c>
      <c r="F171" t="s">
        <v>20</v>
      </c>
      <c r="G171" t="s">
        <v>133</v>
      </c>
      <c r="H171" t="s">
        <v>22</v>
      </c>
      <c r="I171" s="6">
        <v>39399</v>
      </c>
      <c r="J171">
        <v>41.3</v>
      </c>
      <c r="K171">
        <v>21.1</v>
      </c>
      <c r="L171">
        <v>195</v>
      </c>
      <c r="M171">
        <v>4400</v>
      </c>
      <c r="N171" t="s">
        <v>32</v>
      </c>
      <c r="O171">
        <v>8.7480200000000004</v>
      </c>
      <c r="P171">
        <v>-26.37809</v>
      </c>
    </row>
    <row r="172" spans="1:16">
      <c r="A172" t="s">
        <v>99</v>
      </c>
      <c r="B172">
        <v>63</v>
      </c>
      <c r="C172" t="s">
        <v>17</v>
      </c>
      <c r="D172" t="s">
        <v>18</v>
      </c>
      <c r="E172" t="s">
        <v>19</v>
      </c>
      <c r="F172" t="s">
        <v>20</v>
      </c>
      <c r="G172" t="s">
        <v>166</v>
      </c>
      <c r="H172" t="s">
        <v>22</v>
      </c>
      <c r="I172" s="6">
        <v>40794</v>
      </c>
      <c r="J172">
        <v>45.7</v>
      </c>
      <c r="K172">
        <v>13.9</v>
      </c>
      <c r="L172">
        <v>214</v>
      </c>
      <c r="M172">
        <v>4400</v>
      </c>
      <c r="N172" t="s">
        <v>23</v>
      </c>
      <c r="O172">
        <v>8.6287000000000003</v>
      </c>
      <c r="P172">
        <v>-26.604839999999999</v>
      </c>
    </row>
    <row r="173" spans="1:16">
      <c r="A173" t="s">
        <v>137</v>
      </c>
      <c r="B173">
        <v>63</v>
      </c>
      <c r="C173" t="s">
        <v>24</v>
      </c>
      <c r="D173" t="s">
        <v>18</v>
      </c>
      <c r="E173" t="s">
        <v>25</v>
      </c>
      <c r="F173" t="s">
        <v>20</v>
      </c>
      <c r="G173" t="s">
        <v>167</v>
      </c>
      <c r="H173" t="s">
        <v>22</v>
      </c>
      <c r="I173" s="6">
        <v>40140</v>
      </c>
      <c r="J173">
        <v>45.7</v>
      </c>
      <c r="K173">
        <v>17</v>
      </c>
      <c r="L173">
        <v>195</v>
      </c>
      <c r="M173">
        <v>3650</v>
      </c>
      <c r="N173" t="s">
        <v>23</v>
      </c>
      <c r="O173">
        <v>9.2671500000000009</v>
      </c>
      <c r="P173">
        <v>-24.319120000000002</v>
      </c>
    </row>
    <row r="174" spans="1:16">
      <c r="A174" t="s">
        <v>99</v>
      </c>
      <c r="B174">
        <v>63</v>
      </c>
      <c r="C174" t="s">
        <v>28</v>
      </c>
      <c r="D174" t="s">
        <v>18</v>
      </c>
      <c r="E174" t="s">
        <v>19</v>
      </c>
      <c r="F174" t="s">
        <v>20</v>
      </c>
      <c r="G174" t="s">
        <v>136</v>
      </c>
      <c r="H174" t="s">
        <v>22</v>
      </c>
      <c r="I174" s="6">
        <v>39399</v>
      </c>
      <c r="J174">
        <v>37.6</v>
      </c>
      <c r="K174">
        <v>17</v>
      </c>
      <c r="L174">
        <v>185</v>
      </c>
      <c r="M174">
        <v>3600</v>
      </c>
      <c r="N174" t="s">
        <v>23</v>
      </c>
      <c r="O174">
        <v>8.5806299999999993</v>
      </c>
      <c r="P174">
        <v>-26.215689999999999</v>
      </c>
    </row>
    <row r="175" spans="1:16">
      <c r="A175" t="s">
        <v>99</v>
      </c>
      <c r="B175">
        <v>64</v>
      </c>
      <c r="C175" t="s">
        <v>17</v>
      </c>
      <c r="D175" t="s">
        <v>18</v>
      </c>
      <c r="E175" t="s">
        <v>19</v>
      </c>
      <c r="F175" t="s">
        <v>20</v>
      </c>
      <c r="G175" t="s">
        <v>168</v>
      </c>
      <c r="H175" t="s">
        <v>22</v>
      </c>
      <c r="I175" s="6">
        <v>40794</v>
      </c>
      <c r="J175">
        <v>54.3</v>
      </c>
      <c r="K175">
        <v>15.7</v>
      </c>
      <c r="L175">
        <v>231</v>
      </c>
      <c r="M175">
        <v>5650</v>
      </c>
      <c r="N175" t="s">
        <v>32</v>
      </c>
      <c r="O175">
        <v>8.4966200000000001</v>
      </c>
      <c r="P175">
        <v>-26.841660000000001</v>
      </c>
    </row>
    <row r="176" spans="1:16">
      <c r="A176" t="s">
        <v>99</v>
      </c>
      <c r="B176">
        <v>64</v>
      </c>
      <c r="C176" t="s">
        <v>28</v>
      </c>
      <c r="D176" t="s">
        <v>18</v>
      </c>
      <c r="E176" t="s">
        <v>19</v>
      </c>
      <c r="F176" t="s">
        <v>20</v>
      </c>
      <c r="G176" t="s">
        <v>141</v>
      </c>
      <c r="H176" t="s">
        <v>22</v>
      </c>
      <c r="I176" s="6">
        <v>40702</v>
      </c>
      <c r="J176">
        <v>41.1</v>
      </c>
      <c r="K176">
        <v>18.2</v>
      </c>
      <c r="L176">
        <v>192</v>
      </c>
      <c r="M176">
        <v>4050</v>
      </c>
      <c r="N176" t="s">
        <v>32</v>
      </c>
      <c r="O176">
        <v>8.6226400000000005</v>
      </c>
      <c r="P176">
        <v>-26.60023</v>
      </c>
    </row>
    <row r="177" spans="1:16">
      <c r="A177" t="s">
        <v>137</v>
      </c>
      <c r="B177">
        <v>64</v>
      </c>
      <c r="C177" t="s">
        <v>24</v>
      </c>
      <c r="D177" t="s">
        <v>18</v>
      </c>
      <c r="E177" t="s">
        <v>25</v>
      </c>
      <c r="F177" t="s">
        <v>20</v>
      </c>
      <c r="G177" t="s">
        <v>169</v>
      </c>
      <c r="H177" t="s">
        <v>22</v>
      </c>
      <c r="I177" s="6">
        <v>40140</v>
      </c>
      <c r="J177">
        <v>55.8</v>
      </c>
      <c r="K177">
        <v>19.8</v>
      </c>
      <c r="L177">
        <v>207</v>
      </c>
      <c r="M177">
        <v>4000</v>
      </c>
      <c r="N177" t="s">
        <v>32</v>
      </c>
      <c r="O177">
        <v>9.7046500000000009</v>
      </c>
      <c r="P177">
        <v>-24.534939999999999</v>
      </c>
    </row>
    <row r="178" spans="1:16">
      <c r="A178" t="s">
        <v>99</v>
      </c>
      <c r="B178">
        <v>65</v>
      </c>
      <c r="C178" t="s">
        <v>28</v>
      </c>
      <c r="D178" t="s">
        <v>18</v>
      </c>
      <c r="E178" t="s">
        <v>19</v>
      </c>
      <c r="F178" t="s">
        <v>20</v>
      </c>
      <c r="G178" t="s">
        <v>170</v>
      </c>
      <c r="H178" t="s">
        <v>22</v>
      </c>
      <c r="I178" s="6">
        <v>40702</v>
      </c>
      <c r="J178">
        <v>36.4</v>
      </c>
      <c r="K178">
        <v>17.100000000000001</v>
      </c>
      <c r="L178">
        <v>184</v>
      </c>
      <c r="M178">
        <v>2850</v>
      </c>
      <c r="N178" t="s">
        <v>23</v>
      </c>
      <c r="O178">
        <v>8.6262299999999996</v>
      </c>
      <c r="P178">
        <v>-26.116499999999998</v>
      </c>
    </row>
    <row r="179" spans="1:16">
      <c r="A179" t="s">
        <v>99</v>
      </c>
      <c r="B179">
        <v>65</v>
      </c>
      <c r="C179" t="s">
        <v>17</v>
      </c>
      <c r="D179" t="s">
        <v>18</v>
      </c>
      <c r="E179" t="s">
        <v>19</v>
      </c>
      <c r="F179" t="s">
        <v>20</v>
      </c>
      <c r="G179" t="s">
        <v>171</v>
      </c>
      <c r="H179" t="s">
        <v>22</v>
      </c>
      <c r="I179" s="6">
        <v>40582</v>
      </c>
      <c r="J179">
        <v>45.8</v>
      </c>
      <c r="K179">
        <v>14.2</v>
      </c>
      <c r="L179">
        <v>219</v>
      </c>
      <c r="M179">
        <v>4700</v>
      </c>
      <c r="N179" t="s">
        <v>23</v>
      </c>
      <c r="O179">
        <v>8.6044699999999992</v>
      </c>
      <c r="P179">
        <v>-26.616009999999999</v>
      </c>
    </row>
    <row r="180" spans="1:16">
      <c r="A180" t="s">
        <v>137</v>
      </c>
      <c r="B180">
        <v>65</v>
      </c>
      <c r="C180" t="s">
        <v>24</v>
      </c>
      <c r="D180" t="s">
        <v>18</v>
      </c>
      <c r="E180" t="s">
        <v>25</v>
      </c>
      <c r="F180" t="s">
        <v>20</v>
      </c>
      <c r="G180" t="s">
        <v>172</v>
      </c>
      <c r="H180" t="s">
        <v>27</v>
      </c>
      <c r="I180" s="6">
        <v>40138</v>
      </c>
      <c r="J180">
        <v>43.5</v>
      </c>
      <c r="K180">
        <v>18.100000000000001</v>
      </c>
      <c r="L180">
        <v>202</v>
      </c>
      <c r="M180">
        <v>3400</v>
      </c>
      <c r="N180" t="s">
        <v>23</v>
      </c>
      <c r="O180">
        <v>9.37608</v>
      </c>
      <c r="P180">
        <v>-24.407530000000001</v>
      </c>
    </row>
    <row r="181" spans="1:16">
      <c r="A181" t="s">
        <v>99</v>
      </c>
      <c r="B181">
        <v>66</v>
      </c>
      <c r="C181" t="s">
        <v>28</v>
      </c>
      <c r="D181" t="s">
        <v>18</v>
      </c>
      <c r="E181" t="s">
        <v>19</v>
      </c>
      <c r="F181" t="s">
        <v>20</v>
      </c>
      <c r="G181" t="s">
        <v>173</v>
      </c>
      <c r="H181" t="s">
        <v>22</v>
      </c>
      <c r="I181" s="6">
        <v>40794</v>
      </c>
      <c r="J181">
        <v>41.6</v>
      </c>
      <c r="K181">
        <v>18</v>
      </c>
      <c r="L181">
        <v>192</v>
      </c>
      <c r="M181">
        <v>3950</v>
      </c>
      <c r="N181" t="s">
        <v>32</v>
      </c>
      <c r="O181">
        <v>8.85562</v>
      </c>
      <c r="P181">
        <v>-26.092939999999999</v>
      </c>
    </row>
    <row r="182" spans="1:16">
      <c r="A182" t="s">
        <v>99</v>
      </c>
      <c r="B182">
        <v>66</v>
      </c>
      <c r="C182" t="s">
        <v>17</v>
      </c>
      <c r="D182" t="s">
        <v>18</v>
      </c>
      <c r="E182" t="s">
        <v>19</v>
      </c>
      <c r="F182" t="s">
        <v>20</v>
      </c>
      <c r="G182" t="s">
        <v>174</v>
      </c>
      <c r="H182" t="s">
        <v>22</v>
      </c>
      <c r="I182" s="6">
        <v>40582</v>
      </c>
      <c r="J182">
        <v>49.8</v>
      </c>
      <c r="K182">
        <v>16.8</v>
      </c>
      <c r="L182">
        <v>230</v>
      </c>
      <c r="M182">
        <v>5700</v>
      </c>
      <c r="N182" t="s">
        <v>32</v>
      </c>
      <c r="O182">
        <v>8.4706700000000001</v>
      </c>
      <c r="P182">
        <v>-26.691659999999999</v>
      </c>
    </row>
    <row r="183" spans="1:16">
      <c r="A183" t="s">
        <v>137</v>
      </c>
      <c r="B183">
        <v>66</v>
      </c>
      <c r="C183" t="s">
        <v>24</v>
      </c>
      <c r="D183" t="s">
        <v>18</v>
      </c>
      <c r="E183" t="s">
        <v>25</v>
      </c>
      <c r="F183" t="s">
        <v>20</v>
      </c>
      <c r="G183" t="s">
        <v>175</v>
      </c>
      <c r="H183" t="s">
        <v>27</v>
      </c>
      <c r="I183" s="6">
        <v>40138</v>
      </c>
      <c r="J183">
        <v>49.6</v>
      </c>
      <c r="K183">
        <v>18.2</v>
      </c>
      <c r="L183">
        <v>193</v>
      </c>
      <c r="M183">
        <v>3775</v>
      </c>
      <c r="N183" t="s">
        <v>32</v>
      </c>
      <c r="O183">
        <v>9.4618000000000002</v>
      </c>
      <c r="P183">
        <v>-24.706150000000001</v>
      </c>
    </row>
    <row r="184" spans="1:16">
      <c r="A184" t="s">
        <v>99</v>
      </c>
      <c r="B184">
        <v>67</v>
      </c>
      <c r="C184" t="s">
        <v>28</v>
      </c>
      <c r="D184" t="s">
        <v>18</v>
      </c>
      <c r="E184" t="s">
        <v>19</v>
      </c>
      <c r="F184" t="s">
        <v>20</v>
      </c>
      <c r="G184" t="s">
        <v>145</v>
      </c>
      <c r="H184" t="s">
        <v>22</v>
      </c>
      <c r="I184" s="6">
        <v>40794</v>
      </c>
      <c r="J184">
        <v>35.5</v>
      </c>
      <c r="K184">
        <v>16.2</v>
      </c>
      <c r="L184">
        <v>195</v>
      </c>
      <c r="M184">
        <v>3350</v>
      </c>
      <c r="N184" t="s">
        <v>23</v>
      </c>
      <c r="O184">
        <v>8.5619200000000006</v>
      </c>
      <c r="P184">
        <v>-25.955410000000001</v>
      </c>
    </row>
    <row r="185" spans="1:16">
      <c r="A185" t="s">
        <v>137</v>
      </c>
      <c r="B185">
        <v>67</v>
      </c>
      <c r="C185" t="s">
        <v>24</v>
      </c>
      <c r="D185" t="s">
        <v>18</v>
      </c>
      <c r="E185" t="s">
        <v>25</v>
      </c>
      <c r="F185" t="s">
        <v>20</v>
      </c>
      <c r="G185" t="s">
        <v>176</v>
      </c>
      <c r="H185" t="s">
        <v>22</v>
      </c>
      <c r="I185" s="6">
        <v>40140</v>
      </c>
      <c r="J185">
        <v>50.8</v>
      </c>
      <c r="K185">
        <v>19</v>
      </c>
      <c r="L185">
        <v>210</v>
      </c>
      <c r="M185">
        <v>4100</v>
      </c>
      <c r="N185" t="s">
        <v>32</v>
      </c>
      <c r="O185">
        <v>9.9804399999999998</v>
      </c>
      <c r="P185">
        <v>-24.68741</v>
      </c>
    </row>
    <row r="186" spans="1:16">
      <c r="A186" t="s">
        <v>99</v>
      </c>
      <c r="B186">
        <v>68</v>
      </c>
      <c r="C186" t="s">
        <v>28</v>
      </c>
      <c r="D186" t="s">
        <v>18</v>
      </c>
      <c r="E186" t="s">
        <v>19</v>
      </c>
      <c r="F186" t="s">
        <v>20</v>
      </c>
      <c r="G186" t="s">
        <v>147</v>
      </c>
      <c r="H186" t="s">
        <v>22</v>
      </c>
      <c r="I186" s="6">
        <v>40794</v>
      </c>
      <c r="J186">
        <v>41.1</v>
      </c>
      <c r="K186">
        <v>19.100000000000001</v>
      </c>
      <c r="L186">
        <v>188</v>
      </c>
      <c r="M186">
        <v>4100</v>
      </c>
      <c r="N186" t="s">
        <v>32</v>
      </c>
      <c r="O186">
        <v>8.7107799999999997</v>
      </c>
      <c r="P186">
        <v>-25.810120000000001</v>
      </c>
    </row>
    <row r="187" spans="1:16">
      <c r="A187" t="s">
        <v>99</v>
      </c>
      <c r="B187">
        <v>68</v>
      </c>
      <c r="C187" t="s">
        <v>17</v>
      </c>
      <c r="D187" t="s">
        <v>18</v>
      </c>
      <c r="E187" t="s">
        <v>19</v>
      </c>
      <c r="F187" t="s">
        <v>20</v>
      </c>
      <c r="G187" t="s">
        <v>177</v>
      </c>
      <c r="H187" t="s">
        <v>22</v>
      </c>
      <c r="I187" s="6">
        <v>40641</v>
      </c>
      <c r="J187">
        <v>49.5</v>
      </c>
      <c r="K187">
        <v>16.2</v>
      </c>
      <c r="L187">
        <v>229</v>
      </c>
      <c r="M187">
        <v>5800</v>
      </c>
      <c r="N187" t="s">
        <v>32</v>
      </c>
      <c r="O187">
        <v>8.4985400000000002</v>
      </c>
      <c r="P187">
        <v>-26.748090000000001</v>
      </c>
    </row>
    <row r="188" spans="1:16">
      <c r="A188" t="s">
        <v>137</v>
      </c>
      <c r="B188">
        <v>68</v>
      </c>
      <c r="C188" t="s">
        <v>24</v>
      </c>
      <c r="D188" t="s">
        <v>18</v>
      </c>
      <c r="E188" t="s">
        <v>25</v>
      </c>
      <c r="F188" t="s">
        <v>20</v>
      </c>
      <c r="G188" t="s">
        <v>178</v>
      </c>
      <c r="H188" t="s">
        <v>22</v>
      </c>
      <c r="I188" s="6">
        <v>40140</v>
      </c>
      <c r="J188">
        <v>50.2</v>
      </c>
      <c r="K188">
        <v>18.7</v>
      </c>
      <c r="L188">
        <v>198</v>
      </c>
      <c r="M188">
        <v>3775</v>
      </c>
      <c r="N188" t="s">
        <v>23</v>
      </c>
      <c r="O188">
        <v>9.3930500000000006</v>
      </c>
      <c r="P188">
        <v>-24.252549999999999</v>
      </c>
    </row>
    <row r="189" spans="1:16">
      <c r="A189" t="s">
        <v>99</v>
      </c>
      <c r="B189">
        <v>69</v>
      </c>
      <c r="C189" t="s">
        <v>28</v>
      </c>
      <c r="D189" t="s">
        <v>18</v>
      </c>
      <c r="E189" t="s">
        <v>29</v>
      </c>
      <c r="F189" t="s">
        <v>20</v>
      </c>
      <c r="G189" t="s">
        <v>35</v>
      </c>
      <c r="H189" t="s">
        <v>27</v>
      </c>
      <c r="I189" s="6">
        <v>40794</v>
      </c>
      <c r="J189">
        <v>35.9</v>
      </c>
      <c r="K189">
        <v>16.600000000000001</v>
      </c>
      <c r="L189">
        <v>190</v>
      </c>
      <c r="M189">
        <v>3050</v>
      </c>
      <c r="N189" t="s">
        <v>23</v>
      </c>
      <c r="O189">
        <v>8.4778099999999998</v>
      </c>
      <c r="P189">
        <v>-26.078209999999999</v>
      </c>
    </row>
    <row r="190" spans="1:16">
      <c r="A190" t="s">
        <v>99</v>
      </c>
      <c r="B190">
        <v>69</v>
      </c>
      <c r="C190" t="s">
        <v>17</v>
      </c>
      <c r="D190" t="s">
        <v>18</v>
      </c>
      <c r="E190" t="s">
        <v>19</v>
      </c>
      <c r="F190" t="s">
        <v>20</v>
      </c>
      <c r="G190" t="s">
        <v>179</v>
      </c>
      <c r="H190" t="s">
        <v>22</v>
      </c>
      <c r="I190" s="6">
        <v>40641</v>
      </c>
      <c r="J190">
        <v>43.5</v>
      </c>
      <c r="K190">
        <v>14.2</v>
      </c>
      <c r="L190">
        <v>220</v>
      </c>
      <c r="M190">
        <v>4700</v>
      </c>
      <c r="N190" t="s">
        <v>23</v>
      </c>
      <c r="O190">
        <v>8.6493099999999998</v>
      </c>
      <c r="P190">
        <v>-26.688669999999998</v>
      </c>
    </row>
    <row r="191" spans="1:16">
      <c r="A191" t="s">
        <v>99</v>
      </c>
      <c r="B191">
        <v>70</v>
      </c>
      <c r="C191" t="s">
        <v>17</v>
      </c>
      <c r="D191" t="s">
        <v>18</v>
      </c>
      <c r="E191" t="s">
        <v>19</v>
      </c>
      <c r="F191" t="s">
        <v>20</v>
      </c>
      <c r="G191" t="s">
        <v>180</v>
      </c>
      <c r="H191" t="s">
        <v>22</v>
      </c>
      <c r="I191" s="6">
        <v>40641</v>
      </c>
      <c r="J191">
        <v>50.7</v>
      </c>
      <c r="K191">
        <v>15</v>
      </c>
      <c r="L191">
        <v>223</v>
      </c>
      <c r="M191">
        <v>5550</v>
      </c>
      <c r="N191" t="s">
        <v>32</v>
      </c>
      <c r="O191">
        <v>8.63551</v>
      </c>
      <c r="P191">
        <v>-26.74249</v>
      </c>
    </row>
    <row r="192" spans="1:16">
      <c r="A192" t="s">
        <v>99</v>
      </c>
      <c r="B192">
        <v>70</v>
      </c>
      <c r="C192" t="s">
        <v>28</v>
      </c>
      <c r="D192" t="s">
        <v>18</v>
      </c>
      <c r="E192" t="s">
        <v>29</v>
      </c>
      <c r="F192" t="s">
        <v>20</v>
      </c>
      <c r="G192" t="s">
        <v>37</v>
      </c>
      <c r="H192" t="s">
        <v>27</v>
      </c>
      <c r="I192" s="6">
        <v>39767</v>
      </c>
      <c r="J192">
        <v>41.8</v>
      </c>
      <c r="K192">
        <v>19.399999999999999</v>
      </c>
      <c r="L192">
        <v>198</v>
      </c>
      <c r="M192">
        <v>4450</v>
      </c>
      <c r="N192" t="s">
        <v>32</v>
      </c>
      <c r="O192">
        <v>8.8685299999999998</v>
      </c>
      <c r="P192">
        <v>-26.062090000000001</v>
      </c>
    </row>
    <row r="193" spans="1:16">
      <c r="A193" t="s">
        <v>99</v>
      </c>
      <c r="B193">
        <v>71</v>
      </c>
      <c r="C193" t="s">
        <v>17</v>
      </c>
      <c r="D193" t="s">
        <v>18</v>
      </c>
      <c r="E193" t="s">
        <v>19</v>
      </c>
      <c r="F193" t="s">
        <v>20</v>
      </c>
      <c r="G193" t="s">
        <v>181</v>
      </c>
      <c r="H193" t="s">
        <v>22</v>
      </c>
      <c r="I193" s="6">
        <v>40641</v>
      </c>
      <c r="J193">
        <v>47.7</v>
      </c>
      <c r="K193">
        <v>15</v>
      </c>
      <c r="L193">
        <v>216</v>
      </c>
      <c r="M193">
        <v>4750</v>
      </c>
      <c r="N193" t="s">
        <v>23</v>
      </c>
      <c r="O193">
        <v>8.5301799999999997</v>
      </c>
      <c r="P193">
        <v>-26.727509999999999</v>
      </c>
    </row>
    <row r="194" spans="1:16">
      <c r="A194" t="s">
        <v>99</v>
      </c>
      <c r="B194">
        <v>71</v>
      </c>
      <c r="C194" t="s">
        <v>28</v>
      </c>
      <c r="D194" t="s">
        <v>18</v>
      </c>
      <c r="E194" t="s">
        <v>29</v>
      </c>
      <c r="F194" t="s">
        <v>20</v>
      </c>
      <c r="G194" t="s">
        <v>45</v>
      </c>
      <c r="H194" t="s">
        <v>22</v>
      </c>
      <c r="I194" s="6">
        <v>39767</v>
      </c>
      <c r="J194">
        <v>33.5</v>
      </c>
      <c r="K194">
        <v>19</v>
      </c>
      <c r="L194">
        <v>190</v>
      </c>
      <c r="M194">
        <v>3600</v>
      </c>
      <c r="N194" t="s">
        <v>23</v>
      </c>
      <c r="O194">
        <v>7.88863</v>
      </c>
      <c r="P194">
        <v>-26.630849999999999</v>
      </c>
    </row>
    <row r="195" spans="1:16">
      <c r="A195" t="s">
        <v>99</v>
      </c>
      <c r="B195">
        <v>72</v>
      </c>
      <c r="C195" t="s">
        <v>17</v>
      </c>
      <c r="D195" t="s">
        <v>18</v>
      </c>
      <c r="E195" t="s">
        <v>19</v>
      </c>
      <c r="F195" t="s">
        <v>20</v>
      </c>
      <c r="G195" t="s">
        <v>182</v>
      </c>
      <c r="H195" t="s">
        <v>22</v>
      </c>
      <c r="I195" s="6">
        <v>40641</v>
      </c>
      <c r="J195">
        <v>46.4</v>
      </c>
      <c r="K195">
        <v>15.6</v>
      </c>
      <c r="L195">
        <v>221</v>
      </c>
      <c r="M195">
        <v>5000</v>
      </c>
      <c r="N195" t="s">
        <v>32</v>
      </c>
      <c r="O195">
        <v>8.3507800000000003</v>
      </c>
      <c r="P195">
        <v>-26.707830000000001</v>
      </c>
    </row>
    <row r="196" spans="1:16">
      <c r="A196" t="s">
        <v>99</v>
      </c>
      <c r="B196">
        <v>72</v>
      </c>
      <c r="C196" t="s">
        <v>28</v>
      </c>
      <c r="D196" t="s">
        <v>18</v>
      </c>
      <c r="E196" t="s">
        <v>29</v>
      </c>
      <c r="F196" t="s">
        <v>20</v>
      </c>
      <c r="G196" t="s">
        <v>48</v>
      </c>
      <c r="H196" t="s">
        <v>22</v>
      </c>
      <c r="I196" s="6">
        <v>39767</v>
      </c>
      <c r="J196">
        <v>39.700000000000003</v>
      </c>
      <c r="K196">
        <v>18.399999999999999</v>
      </c>
      <c r="L196">
        <v>190</v>
      </c>
      <c r="M196">
        <v>3900</v>
      </c>
      <c r="N196" t="s">
        <v>32</v>
      </c>
      <c r="O196">
        <v>9.2980800000000006</v>
      </c>
      <c r="P196">
        <v>-25.234529999999999</v>
      </c>
    </row>
    <row r="197" spans="1:16">
      <c r="A197" t="s">
        <v>99</v>
      </c>
      <c r="B197">
        <v>73</v>
      </c>
      <c r="C197" t="s">
        <v>17</v>
      </c>
      <c r="D197" t="s">
        <v>18</v>
      </c>
      <c r="E197" t="s">
        <v>19</v>
      </c>
      <c r="F197" t="s">
        <v>20</v>
      </c>
      <c r="G197" t="s">
        <v>183</v>
      </c>
      <c r="H197" t="s">
        <v>22</v>
      </c>
      <c r="I197" s="6">
        <v>40641</v>
      </c>
      <c r="J197">
        <v>48.2</v>
      </c>
      <c r="K197">
        <v>15.6</v>
      </c>
      <c r="L197">
        <v>221</v>
      </c>
      <c r="M197">
        <v>5100</v>
      </c>
      <c r="N197" t="s">
        <v>32</v>
      </c>
      <c r="O197">
        <v>8.2465100000000007</v>
      </c>
      <c r="P197">
        <v>-26.66958</v>
      </c>
    </row>
    <row r="198" spans="1:16">
      <c r="A198" t="s">
        <v>99</v>
      </c>
      <c r="B198">
        <v>73</v>
      </c>
      <c r="C198" t="s">
        <v>28</v>
      </c>
      <c r="D198" t="s">
        <v>18</v>
      </c>
      <c r="E198" t="s">
        <v>29</v>
      </c>
      <c r="F198" t="s">
        <v>20</v>
      </c>
      <c r="G198" t="s">
        <v>51</v>
      </c>
      <c r="H198" t="s">
        <v>22</v>
      </c>
      <c r="I198" s="6">
        <v>39767</v>
      </c>
      <c r="J198">
        <v>39.6</v>
      </c>
      <c r="K198">
        <v>17.2</v>
      </c>
      <c r="L198">
        <v>196</v>
      </c>
      <c r="M198">
        <v>3550</v>
      </c>
      <c r="N198" t="s">
        <v>23</v>
      </c>
      <c r="O198">
        <v>8.3352400000000006</v>
      </c>
      <c r="P198">
        <v>-26.553509999999999</v>
      </c>
    </row>
    <row r="199" spans="1:16">
      <c r="A199" t="s">
        <v>99</v>
      </c>
      <c r="B199">
        <v>74</v>
      </c>
      <c r="C199" t="s">
        <v>17</v>
      </c>
      <c r="D199" t="s">
        <v>18</v>
      </c>
      <c r="E199" t="s">
        <v>19</v>
      </c>
      <c r="F199" t="s">
        <v>20</v>
      </c>
      <c r="G199" t="s">
        <v>184</v>
      </c>
      <c r="H199" t="s">
        <v>22</v>
      </c>
      <c r="I199" s="6">
        <v>40610</v>
      </c>
      <c r="J199">
        <v>46.5</v>
      </c>
      <c r="K199">
        <v>14.8</v>
      </c>
      <c r="L199">
        <v>217</v>
      </c>
      <c r="M199">
        <v>5200</v>
      </c>
      <c r="N199" t="s">
        <v>23</v>
      </c>
      <c r="O199">
        <v>8.5848700000000004</v>
      </c>
      <c r="P199">
        <v>-26.5929</v>
      </c>
    </row>
    <row r="200" spans="1:16">
      <c r="A200" t="s">
        <v>99</v>
      </c>
      <c r="B200">
        <v>74</v>
      </c>
      <c r="C200" t="s">
        <v>28</v>
      </c>
      <c r="D200" t="s">
        <v>18</v>
      </c>
      <c r="E200" t="s">
        <v>29</v>
      </c>
      <c r="F200" t="s">
        <v>20</v>
      </c>
      <c r="G200" t="s">
        <v>53</v>
      </c>
      <c r="H200" t="s">
        <v>22</v>
      </c>
      <c r="I200" s="6">
        <v>39765</v>
      </c>
      <c r="J200">
        <v>45.8</v>
      </c>
      <c r="K200">
        <v>18.899999999999999</v>
      </c>
      <c r="L200">
        <v>197</v>
      </c>
      <c r="M200">
        <v>4150</v>
      </c>
      <c r="N200" t="s">
        <v>32</v>
      </c>
      <c r="O200">
        <v>8.1865799999999993</v>
      </c>
      <c r="P200">
        <v>-26.459779999999999</v>
      </c>
    </row>
    <row r="201" spans="1:16">
      <c r="A201" t="s">
        <v>99</v>
      </c>
      <c r="B201">
        <v>75</v>
      </c>
      <c r="C201" t="s">
        <v>17</v>
      </c>
      <c r="D201" t="s">
        <v>18</v>
      </c>
      <c r="E201" t="s">
        <v>19</v>
      </c>
      <c r="F201" t="s">
        <v>20</v>
      </c>
      <c r="G201" t="s">
        <v>113</v>
      </c>
      <c r="H201" t="s">
        <v>22</v>
      </c>
      <c r="I201" s="6">
        <v>40610</v>
      </c>
      <c r="J201">
        <v>46.4</v>
      </c>
      <c r="K201">
        <v>15</v>
      </c>
      <c r="L201">
        <v>216</v>
      </c>
      <c r="M201">
        <v>4700</v>
      </c>
      <c r="N201" t="s">
        <v>23</v>
      </c>
      <c r="O201">
        <v>8.4793800000000008</v>
      </c>
      <c r="P201">
        <v>-26.954699999999999</v>
      </c>
    </row>
    <row r="202" spans="1:16">
      <c r="A202" t="s">
        <v>99</v>
      </c>
      <c r="B202">
        <v>75</v>
      </c>
      <c r="C202" t="s">
        <v>28</v>
      </c>
      <c r="D202" t="s">
        <v>18</v>
      </c>
      <c r="E202" t="s">
        <v>29</v>
      </c>
      <c r="F202" t="s">
        <v>20</v>
      </c>
      <c r="G202" t="s">
        <v>55</v>
      </c>
      <c r="H202" t="s">
        <v>22</v>
      </c>
      <c r="I202" s="6">
        <v>39765</v>
      </c>
      <c r="J202">
        <v>35.5</v>
      </c>
      <c r="K202">
        <v>17.5</v>
      </c>
      <c r="L202">
        <v>190</v>
      </c>
      <c r="M202">
        <v>3700</v>
      </c>
      <c r="N202" t="s">
        <v>23</v>
      </c>
      <c r="O202">
        <v>8.7064199999999996</v>
      </c>
      <c r="P202">
        <v>-26.150030000000001</v>
      </c>
    </row>
    <row r="203" spans="1:16">
      <c r="A203" t="s">
        <v>99</v>
      </c>
      <c r="B203">
        <v>76</v>
      </c>
      <c r="C203" t="s">
        <v>17</v>
      </c>
      <c r="D203" t="s">
        <v>18</v>
      </c>
      <c r="E203" t="s">
        <v>19</v>
      </c>
      <c r="F203" t="s">
        <v>20</v>
      </c>
      <c r="G203" t="s">
        <v>116</v>
      </c>
      <c r="H203" t="s">
        <v>22</v>
      </c>
      <c r="I203" s="6">
        <v>40702</v>
      </c>
      <c r="J203">
        <v>48.6</v>
      </c>
      <c r="K203">
        <v>16</v>
      </c>
      <c r="L203">
        <v>230</v>
      </c>
      <c r="M203">
        <v>5800</v>
      </c>
      <c r="N203" t="s">
        <v>32</v>
      </c>
      <c r="O203">
        <v>8.5963999999999992</v>
      </c>
      <c r="P203">
        <v>-26.71199</v>
      </c>
    </row>
    <row r="204" spans="1:16">
      <c r="A204" t="s">
        <v>99</v>
      </c>
      <c r="B204">
        <v>76</v>
      </c>
      <c r="C204" t="s">
        <v>28</v>
      </c>
      <c r="D204" t="s">
        <v>18</v>
      </c>
      <c r="E204" t="s">
        <v>29</v>
      </c>
      <c r="F204" t="s">
        <v>20</v>
      </c>
      <c r="G204" t="s">
        <v>57</v>
      </c>
      <c r="H204" t="s">
        <v>22</v>
      </c>
      <c r="I204" s="6">
        <v>39765</v>
      </c>
      <c r="J204">
        <v>42.8</v>
      </c>
      <c r="K204">
        <v>18.5</v>
      </c>
      <c r="L204">
        <v>195</v>
      </c>
      <c r="M204">
        <v>4250</v>
      </c>
      <c r="N204" t="s">
        <v>32</v>
      </c>
      <c r="O204">
        <v>8.2993000000000006</v>
      </c>
      <c r="P204">
        <v>-26.389859999999999</v>
      </c>
    </row>
    <row r="205" spans="1:16">
      <c r="A205" t="s">
        <v>99</v>
      </c>
      <c r="B205">
        <v>77</v>
      </c>
      <c r="C205" t="s">
        <v>17</v>
      </c>
      <c r="D205" t="s">
        <v>18</v>
      </c>
      <c r="E205" t="s">
        <v>19</v>
      </c>
      <c r="F205" t="s">
        <v>20</v>
      </c>
      <c r="G205" t="s">
        <v>185</v>
      </c>
      <c r="H205" t="s">
        <v>22</v>
      </c>
      <c r="I205" s="6">
        <v>40702</v>
      </c>
      <c r="J205">
        <v>47.5</v>
      </c>
      <c r="K205">
        <v>14.2</v>
      </c>
      <c r="L205">
        <v>209</v>
      </c>
      <c r="M205">
        <v>4600</v>
      </c>
      <c r="N205" t="s">
        <v>23</v>
      </c>
      <c r="O205">
        <v>8.3929899999999993</v>
      </c>
      <c r="P205">
        <v>-26.787330000000001</v>
      </c>
    </row>
    <row r="206" spans="1:16">
      <c r="A206" t="s">
        <v>99</v>
      </c>
      <c r="B206">
        <v>77</v>
      </c>
      <c r="C206" t="s">
        <v>28</v>
      </c>
      <c r="D206" t="s">
        <v>18</v>
      </c>
      <c r="E206" t="s">
        <v>29</v>
      </c>
      <c r="F206" t="s">
        <v>20</v>
      </c>
      <c r="G206" t="s">
        <v>59</v>
      </c>
      <c r="H206" t="s">
        <v>22</v>
      </c>
      <c r="I206" s="6">
        <v>39765</v>
      </c>
      <c r="J206">
        <v>40.9</v>
      </c>
      <c r="K206">
        <v>16.8</v>
      </c>
      <c r="L206">
        <v>191</v>
      </c>
      <c r="M206">
        <v>3700</v>
      </c>
      <c r="N206" t="s">
        <v>23</v>
      </c>
      <c r="O206">
        <v>8.4725699999999993</v>
      </c>
      <c r="P206">
        <v>-26.020019999999999</v>
      </c>
    </row>
    <row r="207" spans="1:16">
      <c r="A207" t="s">
        <v>99</v>
      </c>
      <c r="B207">
        <v>78</v>
      </c>
      <c r="C207" t="s">
        <v>17</v>
      </c>
      <c r="D207" t="s">
        <v>18</v>
      </c>
      <c r="E207" t="s">
        <v>19</v>
      </c>
      <c r="F207" t="s">
        <v>20</v>
      </c>
      <c r="G207" t="s">
        <v>186</v>
      </c>
      <c r="H207" t="s">
        <v>22</v>
      </c>
      <c r="I207" s="6">
        <v>40610</v>
      </c>
      <c r="J207">
        <v>51.1</v>
      </c>
      <c r="K207">
        <v>16.3</v>
      </c>
      <c r="L207">
        <v>220</v>
      </c>
      <c r="M207">
        <v>6000</v>
      </c>
      <c r="N207" t="s">
        <v>32</v>
      </c>
      <c r="O207">
        <v>8.4032699999999991</v>
      </c>
      <c r="P207">
        <v>-26.76821</v>
      </c>
    </row>
    <row r="208" spans="1:16">
      <c r="A208" t="s">
        <v>99</v>
      </c>
      <c r="B208">
        <v>78</v>
      </c>
      <c r="C208" t="s">
        <v>28</v>
      </c>
      <c r="D208" t="s">
        <v>18</v>
      </c>
      <c r="E208" t="s">
        <v>29</v>
      </c>
      <c r="F208" t="s">
        <v>20</v>
      </c>
      <c r="G208" t="s">
        <v>61</v>
      </c>
      <c r="H208" t="s">
        <v>22</v>
      </c>
      <c r="I208" s="6">
        <v>39765</v>
      </c>
      <c r="J208">
        <v>37.200000000000003</v>
      </c>
      <c r="K208">
        <v>19.399999999999999</v>
      </c>
      <c r="L208">
        <v>184</v>
      </c>
      <c r="M208">
        <v>3900</v>
      </c>
      <c r="N208" t="s">
        <v>32</v>
      </c>
      <c r="O208">
        <v>8.3553999999999995</v>
      </c>
      <c r="P208">
        <v>-26.447870000000002</v>
      </c>
    </row>
    <row r="209" spans="1:16">
      <c r="A209" t="s">
        <v>99</v>
      </c>
      <c r="B209">
        <v>79</v>
      </c>
      <c r="C209" t="s">
        <v>17</v>
      </c>
      <c r="D209" t="s">
        <v>18</v>
      </c>
      <c r="E209" t="s">
        <v>19</v>
      </c>
      <c r="F209" t="s">
        <v>20</v>
      </c>
      <c r="G209" t="s">
        <v>187</v>
      </c>
      <c r="H209" t="s">
        <v>22</v>
      </c>
      <c r="I209" s="6">
        <v>40610</v>
      </c>
      <c r="J209">
        <v>45.2</v>
      </c>
      <c r="K209">
        <v>13.8</v>
      </c>
      <c r="L209">
        <v>215</v>
      </c>
      <c r="M209">
        <v>4750</v>
      </c>
      <c r="N209" t="s">
        <v>23</v>
      </c>
      <c r="O209">
        <v>8.2469400000000004</v>
      </c>
      <c r="P209">
        <v>-26.653590000000001</v>
      </c>
    </row>
    <row r="210" spans="1:16">
      <c r="A210" t="s">
        <v>99</v>
      </c>
      <c r="B210">
        <v>79</v>
      </c>
      <c r="C210" t="s">
        <v>28</v>
      </c>
      <c r="D210" t="s">
        <v>18</v>
      </c>
      <c r="E210" t="s">
        <v>29</v>
      </c>
      <c r="F210" t="s">
        <v>20</v>
      </c>
      <c r="G210" t="s">
        <v>63</v>
      </c>
      <c r="H210" t="s">
        <v>22</v>
      </c>
      <c r="I210" s="6">
        <v>39765</v>
      </c>
      <c r="J210">
        <v>36.200000000000003</v>
      </c>
      <c r="K210">
        <v>16.100000000000001</v>
      </c>
      <c r="L210">
        <v>187</v>
      </c>
      <c r="M210">
        <v>3550</v>
      </c>
      <c r="N210" t="s">
        <v>23</v>
      </c>
      <c r="O210">
        <v>7.8238099999999999</v>
      </c>
      <c r="P210">
        <v>-26.513819999999999</v>
      </c>
    </row>
    <row r="211" spans="1:16">
      <c r="A211" t="s">
        <v>99</v>
      </c>
      <c r="B211">
        <v>80</v>
      </c>
      <c r="C211" t="s">
        <v>28</v>
      </c>
      <c r="D211" t="s">
        <v>18</v>
      </c>
      <c r="E211" t="s">
        <v>29</v>
      </c>
      <c r="F211" t="s">
        <v>20</v>
      </c>
      <c r="G211" t="s">
        <v>66</v>
      </c>
      <c r="H211" t="s">
        <v>22</v>
      </c>
      <c r="I211" s="6">
        <v>40702</v>
      </c>
      <c r="J211">
        <v>42.1</v>
      </c>
      <c r="K211">
        <v>19.100000000000001</v>
      </c>
      <c r="L211">
        <v>195</v>
      </c>
      <c r="M211">
        <v>4000</v>
      </c>
      <c r="N211" t="s">
        <v>32</v>
      </c>
      <c r="O211">
        <v>9.0573599999999992</v>
      </c>
      <c r="P211">
        <v>-25.81513</v>
      </c>
    </row>
    <row r="212" spans="1:16">
      <c r="A212" t="s">
        <v>99</v>
      </c>
      <c r="B212">
        <v>80</v>
      </c>
      <c r="C212" t="s">
        <v>17</v>
      </c>
      <c r="D212" t="s">
        <v>18</v>
      </c>
      <c r="E212" t="s">
        <v>19</v>
      </c>
      <c r="F212" t="s">
        <v>20</v>
      </c>
      <c r="G212" t="s">
        <v>188</v>
      </c>
      <c r="H212" t="s">
        <v>22</v>
      </c>
      <c r="I212" s="6">
        <v>39765</v>
      </c>
      <c r="J212">
        <v>45.2</v>
      </c>
      <c r="K212">
        <v>16.399999999999999</v>
      </c>
      <c r="L212">
        <v>223</v>
      </c>
      <c r="M212">
        <v>5950</v>
      </c>
      <c r="N212" t="s">
        <v>32</v>
      </c>
      <c r="O212">
        <v>8.1974900000000002</v>
      </c>
      <c r="P212">
        <v>-26.659310000000001</v>
      </c>
    </row>
    <row r="213" spans="1:16">
      <c r="A213" t="s">
        <v>99</v>
      </c>
      <c r="B213">
        <v>81</v>
      </c>
      <c r="C213" t="s">
        <v>28</v>
      </c>
      <c r="D213" t="s">
        <v>18</v>
      </c>
      <c r="E213" t="s">
        <v>29</v>
      </c>
      <c r="F213" t="s">
        <v>20</v>
      </c>
      <c r="G213" t="s">
        <v>68</v>
      </c>
      <c r="H213" t="s">
        <v>22</v>
      </c>
      <c r="I213" s="6">
        <v>40702</v>
      </c>
      <c r="J213">
        <v>34.6</v>
      </c>
      <c r="K213">
        <v>17.2</v>
      </c>
      <c r="L213">
        <v>189</v>
      </c>
      <c r="M213">
        <v>3200</v>
      </c>
      <c r="N213" t="s">
        <v>23</v>
      </c>
      <c r="O213">
        <v>7.6977799999999998</v>
      </c>
      <c r="P213">
        <v>-26.538699999999999</v>
      </c>
    </row>
    <row r="214" spans="1:16">
      <c r="A214" t="s">
        <v>137</v>
      </c>
      <c r="B214">
        <v>81</v>
      </c>
      <c r="C214" t="s">
        <v>17</v>
      </c>
      <c r="D214" t="s">
        <v>18</v>
      </c>
      <c r="E214" t="s">
        <v>19</v>
      </c>
      <c r="F214" t="s">
        <v>20</v>
      </c>
      <c r="G214" t="s">
        <v>189</v>
      </c>
      <c r="H214" t="s">
        <v>22</v>
      </c>
      <c r="I214" s="6">
        <v>39765</v>
      </c>
      <c r="J214">
        <v>49.1</v>
      </c>
      <c r="K214">
        <v>14.5</v>
      </c>
      <c r="L214">
        <v>212</v>
      </c>
      <c r="M214">
        <v>4625</v>
      </c>
      <c r="N214" t="s">
        <v>23</v>
      </c>
      <c r="O214">
        <v>8.3580199999999998</v>
      </c>
      <c r="P214">
        <v>-26.276599999999998</v>
      </c>
    </row>
    <row r="215" spans="1:16">
      <c r="A215" t="s">
        <v>99</v>
      </c>
      <c r="B215">
        <v>82</v>
      </c>
      <c r="C215" t="s">
        <v>28</v>
      </c>
      <c r="D215" t="s">
        <v>18</v>
      </c>
      <c r="E215" t="s">
        <v>29</v>
      </c>
      <c r="F215" t="s">
        <v>20</v>
      </c>
      <c r="G215" t="s">
        <v>72</v>
      </c>
      <c r="H215" t="s">
        <v>22</v>
      </c>
      <c r="I215" s="6">
        <v>40855</v>
      </c>
      <c r="J215">
        <v>42.9</v>
      </c>
      <c r="K215">
        <v>17.600000000000001</v>
      </c>
      <c r="L215">
        <v>196</v>
      </c>
      <c r="M215">
        <v>4700</v>
      </c>
      <c r="N215" t="s">
        <v>32</v>
      </c>
      <c r="O215">
        <v>8.6325900000000004</v>
      </c>
      <c r="P215">
        <v>-26.230270000000001</v>
      </c>
    </row>
    <row r="216" spans="1:16">
      <c r="A216" t="s">
        <v>137</v>
      </c>
      <c r="B216">
        <v>82</v>
      </c>
      <c r="C216" t="s">
        <v>17</v>
      </c>
      <c r="D216" t="s">
        <v>18</v>
      </c>
      <c r="E216" t="s">
        <v>19</v>
      </c>
      <c r="F216" t="s">
        <v>20</v>
      </c>
      <c r="G216" t="s">
        <v>30</v>
      </c>
      <c r="H216" t="s">
        <v>22</v>
      </c>
      <c r="I216" s="6">
        <v>40641</v>
      </c>
      <c r="J216">
        <v>52.5</v>
      </c>
      <c r="K216">
        <v>15.6</v>
      </c>
      <c r="L216">
        <v>221</v>
      </c>
      <c r="M216">
        <v>5450</v>
      </c>
      <c r="N216" t="s">
        <v>32</v>
      </c>
      <c r="O216">
        <v>8.2860099999999992</v>
      </c>
      <c r="P216">
        <v>-26.275729999999999</v>
      </c>
    </row>
    <row r="217" spans="1:16">
      <c r="A217" t="s">
        <v>99</v>
      </c>
      <c r="B217">
        <v>83</v>
      </c>
      <c r="C217" t="s">
        <v>28</v>
      </c>
      <c r="D217" t="s">
        <v>18</v>
      </c>
      <c r="E217" t="s">
        <v>29</v>
      </c>
      <c r="F217" t="s">
        <v>20</v>
      </c>
      <c r="G217" t="s">
        <v>76</v>
      </c>
      <c r="H217" t="s">
        <v>22</v>
      </c>
      <c r="I217" s="6">
        <v>40855</v>
      </c>
      <c r="J217">
        <v>36.700000000000003</v>
      </c>
      <c r="K217">
        <v>18.8</v>
      </c>
      <c r="L217">
        <v>187</v>
      </c>
      <c r="M217">
        <v>3800</v>
      </c>
      <c r="N217" t="s">
        <v>23</v>
      </c>
      <c r="O217">
        <v>7.8849400000000003</v>
      </c>
      <c r="P217">
        <v>-26.248370000000001</v>
      </c>
    </row>
    <row r="218" spans="1:16">
      <c r="A218" t="s">
        <v>137</v>
      </c>
      <c r="B218">
        <v>83</v>
      </c>
      <c r="C218" t="s">
        <v>17</v>
      </c>
      <c r="D218" t="s">
        <v>18</v>
      </c>
      <c r="E218" t="s">
        <v>19</v>
      </c>
      <c r="F218" t="s">
        <v>20</v>
      </c>
      <c r="G218" t="s">
        <v>127</v>
      </c>
      <c r="H218" t="s">
        <v>22</v>
      </c>
      <c r="I218" s="6">
        <v>40641</v>
      </c>
      <c r="J218">
        <v>47.4</v>
      </c>
      <c r="K218">
        <v>14.6</v>
      </c>
      <c r="L218">
        <v>212</v>
      </c>
      <c r="M218">
        <v>4725</v>
      </c>
      <c r="N218" t="s">
        <v>23</v>
      </c>
      <c r="O218">
        <v>8.1910100000000003</v>
      </c>
      <c r="P218">
        <v>-26.243690000000001</v>
      </c>
    </row>
    <row r="219" spans="1:16">
      <c r="A219" t="s">
        <v>137</v>
      </c>
      <c r="B219">
        <v>84</v>
      </c>
      <c r="C219" t="s">
        <v>17</v>
      </c>
      <c r="D219" t="s">
        <v>18</v>
      </c>
      <c r="E219" t="s">
        <v>19</v>
      </c>
      <c r="F219" t="s">
        <v>20</v>
      </c>
      <c r="G219" t="s">
        <v>129</v>
      </c>
      <c r="H219" t="s">
        <v>22</v>
      </c>
      <c r="I219" s="6">
        <v>40794</v>
      </c>
      <c r="J219">
        <v>50</v>
      </c>
      <c r="K219">
        <v>15.9</v>
      </c>
      <c r="L219">
        <v>224</v>
      </c>
      <c r="M219">
        <v>5350</v>
      </c>
      <c r="N219" t="s">
        <v>32</v>
      </c>
      <c r="O219">
        <v>8.2004199999999994</v>
      </c>
      <c r="P219">
        <v>-26.39677</v>
      </c>
    </row>
    <row r="220" spans="1:16">
      <c r="A220" t="s">
        <v>99</v>
      </c>
      <c r="B220">
        <v>84</v>
      </c>
      <c r="C220" t="s">
        <v>28</v>
      </c>
      <c r="D220" t="s">
        <v>18</v>
      </c>
      <c r="E220" t="s">
        <v>29</v>
      </c>
      <c r="F220" t="s">
        <v>20</v>
      </c>
      <c r="G220" t="s">
        <v>79</v>
      </c>
      <c r="H220" t="s">
        <v>22</v>
      </c>
      <c r="I220" s="6">
        <v>39766</v>
      </c>
      <c r="J220">
        <v>35.1</v>
      </c>
      <c r="K220">
        <v>19.399999999999999</v>
      </c>
      <c r="L220">
        <v>193</v>
      </c>
      <c r="M220">
        <v>4200</v>
      </c>
      <c r="N220" t="s">
        <v>32</v>
      </c>
      <c r="O220">
        <v>8.9000199999999996</v>
      </c>
      <c r="P220">
        <v>-26.462540000000001</v>
      </c>
    </row>
    <row r="221" spans="1:16">
      <c r="A221" t="s">
        <v>137</v>
      </c>
      <c r="B221">
        <v>85</v>
      </c>
      <c r="C221" t="s">
        <v>17</v>
      </c>
      <c r="D221" t="s">
        <v>18</v>
      </c>
      <c r="E221" t="s">
        <v>19</v>
      </c>
      <c r="F221" t="s">
        <v>20</v>
      </c>
      <c r="G221" t="s">
        <v>65</v>
      </c>
      <c r="H221" t="s">
        <v>22</v>
      </c>
      <c r="I221" s="6">
        <v>40794</v>
      </c>
      <c r="J221">
        <v>44.9</v>
      </c>
      <c r="K221">
        <v>13.8</v>
      </c>
      <c r="L221">
        <v>212</v>
      </c>
      <c r="M221">
        <v>4750</v>
      </c>
      <c r="N221" t="s">
        <v>23</v>
      </c>
      <c r="O221">
        <v>8.1123799999999999</v>
      </c>
      <c r="P221">
        <v>-26.203720000000001</v>
      </c>
    </row>
    <row r="222" spans="1:16">
      <c r="A222" t="s">
        <v>99</v>
      </c>
      <c r="B222">
        <v>85</v>
      </c>
      <c r="C222" t="s">
        <v>28</v>
      </c>
      <c r="D222" t="s">
        <v>18</v>
      </c>
      <c r="E222" t="s">
        <v>25</v>
      </c>
      <c r="F222" t="s">
        <v>20</v>
      </c>
      <c r="G222" t="s">
        <v>82</v>
      </c>
      <c r="H222" t="s">
        <v>22</v>
      </c>
      <c r="I222" s="6">
        <v>39766</v>
      </c>
      <c r="J222">
        <v>37.299999999999997</v>
      </c>
      <c r="K222">
        <v>17.8</v>
      </c>
      <c r="L222">
        <v>191</v>
      </c>
      <c r="M222">
        <v>3350</v>
      </c>
      <c r="N222" t="s">
        <v>23</v>
      </c>
      <c r="O222">
        <v>8.3271800000000002</v>
      </c>
      <c r="P222">
        <v>-26.383959999999998</v>
      </c>
    </row>
    <row r="223" spans="1:16">
      <c r="A223" t="s">
        <v>99</v>
      </c>
      <c r="B223">
        <v>86</v>
      </c>
      <c r="C223" t="s">
        <v>28</v>
      </c>
      <c r="D223" t="s">
        <v>18</v>
      </c>
      <c r="E223" t="s">
        <v>25</v>
      </c>
      <c r="F223" t="s">
        <v>20</v>
      </c>
      <c r="G223" t="s">
        <v>83</v>
      </c>
      <c r="H223" t="s">
        <v>22</v>
      </c>
      <c r="I223" s="6">
        <v>40855</v>
      </c>
      <c r="J223">
        <v>41.3</v>
      </c>
      <c r="K223">
        <v>20.3</v>
      </c>
      <c r="L223">
        <v>194</v>
      </c>
      <c r="M223">
        <v>3550</v>
      </c>
      <c r="N223" t="s">
        <v>32</v>
      </c>
      <c r="O223">
        <v>9.1486300000000007</v>
      </c>
      <c r="P223">
        <v>-26.096350000000001</v>
      </c>
    </row>
    <row r="224" spans="1:16">
      <c r="A224" t="s">
        <v>137</v>
      </c>
      <c r="B224">
        <v>86</v>
      </c>
      <c r="C224" t="s">
        <v>17</v>
      </c>
      <c r="D224" t="s">
        <v>18</v>
      </c>
      <c r="E224" t="s">
        <v>19</v>
      </c>
      <c r="F224" t="s">
        <v>20</v>
      </c>
      <c r="G224" t="s">
        <v>140</v>
      </c>
      <c r="H224" t="s">
        <v>22</v>
      </c>
      <c r="I224" s="6">
        <v>39765</v>
      </c>
      <c r="J224">
        <v>50.8</v>
      </c>
      <c r="K224">
        <v>17.3</v>
      </c>
      <c r="L224">
        <v>228</v>
      </c>
      <c r="M224">
        <v>5600</v>
      </c>
      <c r="N224" t="s">
        <v>32</v>
      </c>
      <c r="O224">
        <v>8.2742799999999992</v>
      </c>
      <c r="P224">
        <v>-26.300190000000001</v>
      </c>
    </row>
    <row r="225" spans="1:16">
      <c r="A225" t="s">
        <v>99</v>
      </c>
      <c r="B225">
        <v>87</v>
      </c>
      <c r="C225" t="s">
        <v>28</v>
      </c>
      <c r="D225" t="s">
        <v>18</v>
      </c>
      <c r="E225" t="s">
        <v>25</v>
      </c>
      <c r="F225" t="s">
        <v>20</v>
      </c>
      <c r="G225" t="s">
        <v>86</v>
      </c>
      <c r="H225" t="s">
        <v>22</v>
      </c>
      <c r="I225" s="6">
        <v>40855</v>
      </c>
      <c r="J225">
        <v>36.299999999999997</v>
      </c>
      <c r="K225">
        <v>19.5</v>
      </c>
      <c r="L225">
        <v>190</v>
      </c>
      <c r="M225">
        <v>3800</v>
      </c>
      <c r="N225" t="s">
        <v>32</v>
      </c>
      <c r="O225">
        <v>8.5708699999999993</v>
      </c>
      <c r="P225">
        <v>-26.222270000000002</v>
      </c>
    </row>
    <row r="226" spans="1:16">
      <c r="A226" t="s">
        <v>137</v>
      </c>
      <c r="B226">
        <v>87</v>
      </c>
      <c r="C226" t="s">
        <v>17</v>
      </c>
      <c r="D226" t="s">
        <v>18</v>
      </c>
      <c r="E226" t="s">
        <v>19</v>
      </c>
      <c r="F226" t="s">
        <v>20</v>
      </c>
      <c r="G226" t="s">
        <v>94</v>
      </c>
      <c r="H226" t="s">
        <v>22</v>
      </c>
      <c r="I226" s="6">
        <v>39765</v>
      </c>
      <c r="J226">
        <v>43.4</v>
      </c>
      <c r="K226">
        <v>14.4</v>
      </c>
      <c r="L226">
        <v>218</v>
      </c>
      <c r="M226">
        <v>4600</v>
      </c>
      <c r="N226" t="s">
        <v>23</v>
      </c>
      <c r="O226">
        <v>8.2346800000000009</v>
      </c>
      <c r="P226">
        <v>-26.18599</v>
      </c>
    </row>
    <row r="227" spans="1:16">
      <c r="A227" t="s">
        <v>99</v>
      </c>
      <c r="B227">
        <v>88</v>
      </c>
      <c r="C227" t="s">
        <v>28</v>
      </c>
      <c r="D227" t="s">
        <v>18</v>
      </c>
      <c r="E227" t="s">
        <v>25</v>
      </c>
      <c r="F227" t="s">
        <v>20</v>
      </c>
      <c r="G227" t="s">
        <v>90</v>
      </c>
      <c r="H227" t="s">
        <v>22</v>
      </c>
      <c r="I227" s="6">
        <v>40763</v>
      </c>
      <c r="J227">
        <v>36.9</v>
      </c>
      <c r="K227">
        <v>18.600000000000001</v>
      </c>
      <c r="L227">
        <v>189</v>
      </c>
      <c r="M227">
        <v>3500</v>
      </c>
      <c r="N227" t="s">
        <v>23</v>
      </c>
      <c r="O227">
        <v>8.5914699999999993</v>
      </c>
      <c r="P227">
        <v>-26.08165</v>
      </c>
    </row>
    <row r="228" spans="1:16">
      <c r="A228" t="s">
        <v>137</v>
      </c>
      <c r="B228">
        <v>88</v>
      </c>
      <c r="C228" t="s">
        <v>17</v>
      </c>
      <c r="D228" t="s">
        <v>18</v>
      </c>
      <c r="E228" t="s">
        <v>19</v>
      </c>
      <c r="F228" t="s">
        <v>20</v>
      </c>
      <c r="G228" t="s">
        <v>95</v>
      </c>
      <c r="H228" t="s">
        <v>22</v>
      </c>
      <c r="I228" s="6">
        <v>40610</v>
      </c>
      <c r="J228">
        <v>51.3</v>
      </c>
      <c r="K228">
        <v>14.2</v>
      </c>
      <c r="L228">
        <v>218</v>
      </c>
      <c r="M228">
        <v>5300</v>
      </c>
      <c r="N228" t="s">
        <v>32</v>
      </c>
      <c r="O228">
        <v>8.1542600000000007</v>
      </c>
      <c r="P228">
        <v>-26.343299999999999</v>
      </c>
    </row>
    <row r="229" spans="1:16">
      <c r="A229" t="s">
        <v>99</v>
      </c>
      <c r="B229">
        <v>89</v>
      </c>
      <c r="C229" t="s">
        <v>28</v>
      </c>
      <c r="D229" t="s">
        <v>18</v>
      </c>
      <c r="E229" t="s">
        <v>25</v>
      </c>
      <c r="F229" t="s">
        <v>20</v>
      </c>
      <c r="G229" t="s">
        <v>93</v>
      </c>
      <c r="H229" t="s">
        <v>22</v>
      </c>
      <c r="I229" s="6">
        <v>40763</v>
      </c>
      <c r="J229">
        <v>38.299999999999997</v>
      </c>
      <c r="K229">
        <v>19.2</v>
      </c>
      <c r="L229">
        <v>189</v>
      </c>
      <c r="M229">
        <v>3950</v>
      </c>
      <c r="N229" t="s">
        <v>32</v>
      </c>
      <c r="O229">
        <v>9.0782600000000002</v>
      </c>
      <c r="P229">
        <v>-26.124169999999999</v>
      </c>
    </row>
    <row r="230" spans="1:16">
      <c r="A230" t="s">
        <v>137</v>
      </c>
      <c r="B230">
        <v>89</v>
      </c>
      <c r="C230" t="s">
        <v>17</v>
      </c>
      <c r="D230" t="s">
        <v>18</v>
      </c>
      <c r="E230" t="s">
        <v>19</v>
      </c>
      <c r="F230" t="s">
        <v>20</v>
      </c>
      <c r="G230" t="s">
        <v>150</v>
      </c>
      <c r="H230" t="s">
        <v>22</v>
      </c>
      <c r="I230" s="6">
        <v>40610</v>
      </c>
      <c r="J230">
        <v>47.5</v>
      </c>
      <c r="K230">
        <v>14</v>
      </c>
      <c r="L230">
        <v>212</v>
      </c>
      <c r="M230">
        <v>4875</v>
      </c>
      <c r="N230" t="s">
        <v>23</v>
      </c>
      <c r="O230">
        <v>8.1269100000000005</v>
      </c>
      <c r="P230">
        <v>-26.236129999999999</v>
      </c>
    </row>
    <row r="231" spans="1:16">
      <c r="A231" t="s">
        <v>137</v>
      </c>
      <c r="B231">
        <v>90</v>
      </c>
      <c r="C231" t="s">
        <v>17</v>
      </c>
      <c r="D231" t="s">
        <v>18</v>
      </c>
      <c r="E231" t="s">
        <v>19</v>
      </c>
      <c r="F231" t="s">
        <v>20</v>
      </c>
      <c r="G231" t="s">
        <v>152</v>
      </c>
      <c r="H231" t="s">
        <v>22</v>
      </c>
      <c r="I231" s="6">
        <v>40794</v>
      </c>
      <c r="J231">
        <v>52.1</v>
      </c>
      <c r="K231">
        <v>17</v>
      </c>
      <c r="L231">
        <v>230</v>
      </c>
      <c r="M231">
        <v>5550</v>
      </c>
      <c r="N231" t="s">
        <v>32</v>
      </c>
      <c r="O231">
        <v>8.2759499999999999</v>
      </c>
      <c r="P231">
        <v>-26.116569999999999</v>
      </c>
    </row>
    <row r="232" spans="1:16">
      <c r="A232" t="s">
        <v>99</v>
      </c>
      <c r="B232">
        <v>90</v>
      </c>
      <c r="C232" t="s">
        <v>28</v>
      </c>
      <c r="D232" t="s">
        <v>18</v>
      </c>
      <c r="E232" t="s">
        <v>25</v>
      </c>
      <c r="F232" t="s">
        <v>20</v>
      </c>
      <c r="G232" t="s">
        <v>96</v>
      </c>
      <c r="H232" t="s">
        <v>22</v>
      </c>
      <c r="I232" s="6">
        <v>40702</v>
      </c>
      <c r="J232">
        <v>38.9</v>
      </c>
      <c r="K232">
        <v>18.8</v>
      </c>
      <c r="L232">
        <v>190</v>
      </c>
      <c r="M232">
        <v>3600</v>
      </c>
      <c r="N232" t="s">
        <v>23</v>
      </c>
      <c r="O232">
        <v>8.3693600000000004</v>
      </c>
      <c r="P232">
        <v>-26.111989999999999</v>
      </c>
    </row>
    <row r="233" spans="1:16">
      <c r="A233" t="s">
        <v>137</v>
      </c>
      <c r="B233">
        <v>91</v>
      </c>
      <c r="C233" t="s">
        <v>17</v>
      </c>
      <c r="D233" t="s">
        <v>18</v>
      </c>
      <c r="E233" t="s">
        <v>19</v>
      </c>
      <c r="F233" t="s">
        <v>20</v>
      </c>
      <c r="G233" t="s">
        <v>154</v>
      </c>
      <c r="H233" t="s">
        <v>22</v>
      </c>
      <c r="I233" s="6">
        <v>40794</v>
      </c>
      <c r="J233">
        <v>47.5</v>
      </c>
      <c r="K233">
        <v>15</v>
      </c>
      <c r="L233">
        <v>218</v>
      </c>
      <c r="M233">
        <v>4950</v>
      </c>
      <c r="N233" t="s">
        <v>23</v>
      </c>
      <c r="O233">
        <v>8.2967099999999991</v>
      </c>
      <c r="P233">
        <v>-26.085470000000001</v>
      </c>
    </row>
    <row r="234" spans="1:16">
      <c r="A234" t="s">
        <v>99</v>
      </c>
      <c r="B234">
        <v>91</v>
      </c>
      <c r="C234" t="s">
        <v>28</v>
      </c>
      <c r="D234" t="s">
        <v>18</v>
      </c>
      <c r="E234" t="s">
        <v>25</v>
      </c>
      <c r="F234" t="s">
        <v>20</v>
      </c>
      <c r="G234" t="s">
        <v>190</v>
      </c>
      <c r="H234" t="s">
        <v>22</v>
      </c>
      <c r="I234" s="6">
        <v>40702</v>
      </c>
      <c r="J234">
        <v>35.700000000000003</v>
      </c>
      <c r="K234">
        <v>18</v>
      </c>
      <c r="L234">
        <v>202</v>
      </c>
      <c r="M234">
        <v>3550</v>
      </c>
      <c r="N234" t="s">
        <v>23</v>
      </c>
      <c r="O234">
        <v>8.4653100000000006</v>
      </c>
      <c r="P234">
        <v>-26.05621</v>
      </c>
    </row>
    <row r="235" spans="1:16">
      <c r="A235" t="s">
        <v>99</v>
      </c>
      <c r="B235">
        <v>92</v>
      </c>
      <c r="C235" t="s">
        <v>28</v>
      </c>
      <c r="D235" t="s">
        <v>18</v>
      </c>
      <c r="E235" t="s">
        <v>25</v>
      </c>
      <c r="F235" t="s">
        <v>20</v>
      </c>
      <c r="G235" t="s">
        <v>191</v>
      </c>
      <c r="H235" t="s">
        <v>22</v>
      </c>
      <c r="I235" s="6">
        <v>40794</v>
      </c>
      <c r="J235">
        <v>41.1</v>
      </c>
      <c r="K235">
        <v>18.100000000000001</v>
      </c>
      <c r="L235">
        <v>205</v>
      </c>
      <c r="M235">
        <v>4300</v>
      </c>
      <c r="N235" t="s">
        <v>32</v>
      </c>
      <c r="O235">
        <v>8.7701799999999999</v>
      </c>
      <c r="P235">
        <v>-25.83352</v>
      </c>
    </row>
    <row r="236" spans="1:16">
      <c r="A236" t="s">
        <v>137</v>
      </c>
      <c r="B236">
        <v>92</v>
      </c>
      <c r="C236" t="s">
        <v>17</v>
      </c>
      <c r="D236" t="s">
        <v>18</v>
      </c>
      <c r="E236" t="s">
        <v>19</v>
      </c>
      <c r="F236" t="s">
        <v>20</v>
      </c>
      <c r="G236" t="s">
        <v>156</v>
      </c>
      <c r="H236" t="s">
        <v>22</v>
      </c>
      <c r="I236" s="6">
        <v>40702</v>
      </c>
      <c r="J236">
        <v>52.2</v>
      </c>
      <c r="K236">
        <v>17.100000000000001</v>
      </c>
      <c r="L236">
        <v>228</v>
      </c>
      <c r="M236">
        <v>5400</v>
      </c>
      <c r="N236" t="s">
        <v>32</v>
      </c>
      <c r="O236">
        <v>8.3670100000000005</v>
      </c>
      <c r="P236">
        <v>-25.898340000000001</v>
      </c>
    </row>
    <row r="237" spans="1:16">
      <c r="A237" t="s">
        <v>99</v>
      </c>
      <c r="B237">
        <v>93</v>
      </c>
      <c r="C237" t="s">
        <v>28</v>
      </c>
      <c r="D237" t="s">
        <v>18</v>
      </c>
      <c r="E237" t="s">
        <v>25</v>
      </c>
      <c r="F237" t="s">
        <v>20</v>
      </c>
      <c r="G237" t="s">
        <v>192</v>
      </c>
      <c r="H237" t="s">
        <v>22</v>
      </c>
      <c r="I237" s="6">
        <v>40794</v>
      </c>
      <c r="J237">
        <v>34</v>
      </c>
      <c r="K237">
        <v>17.100000000000001</v>
      </c>
      <c r="L237">
        <v>185</v>
      </c>
      <c r="M237">
        <v>3400</v>
      </c>
      <c r="N237" t="s">
        <v>23</v>
      </c>
      <c r="O237">
        <v>8.0148499999999991</v>
      </c>
      <c r="P237">
        <v>-26.695430000000002</v>
      </c>
    </row>
    <row r="238" spans="1:16">
      <c r="A238" t="s">
        <v>137</v>
      </c>
      <c r="B238">
        <v>93</v>
      </c>
      <c r="C238" t="s">
        <v>17</v>
      </c>
      <c r="D238" t="s">
        <v>18</v>
      </c>
      <c r="E238" t="s">
        <v>19</v>
      </c>
      <c r="F238" t="s">
        <v>20</v>
      </c>
      <c r="G238" t="s">
        <v>103</v>
      </c>
      <c r="H238" t="s">
        <v>22</v>
      </c>
      <c r="I238" s="6">
        <v>40702</v>
      </c>
      <c r="J238">
        <v>45.5</v>
      </c>
      <c r="K238">
        <v>14.5</v>
      </c>
      <c r="L238">
        <v>212</v>
      </c>
      <c r="M238">
        <v>4750</v>
      </c>
      <c r="N238" t="s">
        <v>23</v>
      </c>
      <c r="O238">
        <v>8.1556599999999992</v>
      </c>
      <c r="P238">
        <v>-26.228480000000001</v>
      </c>
    </row>
    <row r="239" spans="1:16">
      <c r="A239" t="s">
        <v>137</v>
      </c>
      <c r="B239">
        <v>94</v>
      </c>
      <c r="C239" t="s">
        <v>17</v>
      </c>
      <c r="D239" t="s">
        <v>18</v>
      </c>
      <c r="E239" t="s">
        <v>19</v>
      </c>
      <c r="F239" t="s">
        <v>20</v>
      </c>
      <c r="G239" t="s">
        <v>105</v>
      </c>
      <c r="H239" t="s">
        <v>22</v>
      </c>
      <c r="I239" s="6">
        <v>40702</v>
      </c>
      <c r="J239">
        <v>49.5</v>
      </c>
      <c r="K239">
        <v>16.100000000000001</v>
      </c>
      <c r="L239">
        <v>224</v>
      </c>
      <c r="M239">
        <v>5650</v>
      </c>
      <c r="N239" t="s">
        <v>32</v>
      </c>
      <c r="O239">
        <v>8.83352</v>
      </c>
      <c r="P239">
        <v>-25.691949999999999</v>
      </c>
    </row>
    <row r="240" spans="1:16">
      <c r="A240" t="s">
        <v>99</v>
      </c>
      <c r="B240">
        <v>94</v>
      </c>
      <c r="C240" t="s">
        <v>28</v>
      </c>
      <c r="D240" t="s">
        <v>18</v>
      </c>
      <c r="E240" t="s">
        <v>25</v>
      </c>
      <c r="F240" t="s">
        <v>20</v>
      </c>
      <c r="G240" t="s">
        <v>100</v>
      </c>
      <c r="H240" t="s">
        <v>22</v>
      </c>
      <c r="I240" s="6">
        <v>40582</v>
      </c>
      <c r="J240">
        <v>39.6</v>
      </c>
      <c r="K240">
        <v>18.100000000000001</v>
      </c>
      <c r="L240">
        <v>186</v>
      </c>
      <c r="M240">
        <v>4450</v>
      </c>
      <c r="N240" t="s">
        <v>32</v>
      </c>
      <c r="O240">
        <v>8.4991500000000002</v>
      </c>
      <c r="P240">
        <v>-26.424060000000001</v>
      </c>
    </row>
    <row r="241" spans="1:16">
      <c r="A241" t="s">
        <v>137</v>
      </c>
      <c r="B241">
        <v>95</v>
      </c>
      <c r="C241" t="s">
        <v>17</v>
      </c>
      <c r="D241" t="s">
        <v>18</v>
      </c>
      <c r="E241" t="s">
        <v>19</v>
      </c>
      <c r="F241" t="s">
        <v>20</v>
      </c>
      <c r="G241" t="s">
        <v>166</v>
      </c>
      <c r="H241" t="s">
        <v>22</v>
      </c>
      <c r="I241" s="6">
        <v>40702</v>
      </c>
      <c r="J241">
        <v>44.5</v>
      </c>
      <c r="K241">
        <v>14.7</v>
      </c>
      <c r="L241">
        <v>214</v>
      </c>
      <c r="M241">
        <v>4850</v>
      </c>
      <c r="N241" t="s">
        <v>23</v>
      </c>
      <c r="O241">
        <v>8.20106</v>
      </c>
      <c r="P241">
        <v>-26.165240000000001</v>
      </c>
    </row>
    <row r="242" spans="1:16">
      <c r="A242" t="s">
        <v>99</v>
      </c>
      <c r="B242">
        <v>95</v>
      </c>
      <c r="C242" t="s">
        <v>28</v>
      </c>
      <c r="D242" t="s">
        <v>18</v>
      </c>
      <c r="E242" t="s">
        <v>25</v>
      </c>
      <c r="F242" t="s">
        <v>20</v>
      </c>
      <c r="G242" t="s">
        <v>193</v>
      </c>
      <c r="H242" t="s">
        <v>22</v>
      </c>
      <c r="I242" s="6">
        <v>40582</v>
      </c>
      <c r="J242">
        <v>36.200000000000003</v>
      </c>
      <c r="K242">
        <v>17.3</v>
      </c>
      <c r="L242">
        <v>187</v>
      </c>
      <c r="M242">
        <v>3300</v>
      </c>
      <c r="N242" t="s">
        <v>23</v>
      </c>
      <c r="O242">
        <v>8.9072300000000002</v>
      </c>
      <c r="P242">
        <v>-26.300370000000001</v>
      </c>
    </row>
    <row r="243" spans="1:16">
      <c r="A243" t="s">
        <v>137</v>
      </c>
      <c r="B243">
        <v>96</v>
      </c>
      <c r="C243" t="s">
        <v>17</v>
      </c>
      <c r="D243" t="s">
        <v>18</v>
      </c>
      <c r="E243" t="s">
        <v>19</v>
      </c>
      <c r="F243" t="s">
        <v>20</v>
      </c>
      <c r="G243" t="s">
        <v>168</v>
      </c>
      <c r="H243" t="s">
        <v>22</v>
      </c>
      <c r="I243" s="6">
        <v>40794</v>
      </c>
      <c r="J243">
        <v>50.8</v>
      </c>
      <c r="K243">
        <v>15.7</v>
      </c>
      <c r="L243">
        <v>226</v>
      </c>
      <c r="M243">
        <v>5200</v>
      </c>
      <c r="N243" t="s">
        <v>32</v>
      </c>
      <c r="O243">
        <v>8.27102</v>
      </c>
      <c r="P243">
        <v>-26.112439999999999</v>
      </c>
    </row>
    <row r="244" spans="1:16">
      <c r="A244" t="s">
        <v>99</v>
      </c>
      <c r="B244">
        <v>96</v>
      </c>
      <c r="C244" t="s">
        <v>28</v>
      </c>
      <c r="D244" t="s">
        <v>18</v>
      </c>
      <c r="E244" t="s">
        <v>25</v>
      </c>
      <c r="F244" t="s">
        <v>20</v>
      </c>
      <c r="G244" t="s">
        <v>194</v>
      </c>
      <c r="H244" t="s">
        <v>22</v>
      </c>
      <c r="I244" s="6">
        <v>40732</v>
      </c>
      <c r="J244">
        <v>40.799999999999997</v>
      </c>
      <c r="K244">
        <v>18.899999999999999</v>
      </c>
      <c r="L244">
        <v>208</v>
      </c>
      <c r="M244">
        <v>4300</v>
      </c>
      <c r="N244" t="s">
        <v>32</v>
      </c>
      <c r="O244">
        <v>8.4820399999999996</v>
      </c>
      <c r="P244">
        <v>-26.579409999999999</v>
      </c>
    </row>
    <row r="245" spans="1:16">
      <c r="A245" t="s">
        <v>137</v>
      </c>
      <c r="B245">
        <v>97</v>
      </c>
      <c r="C245" t="s">
        <v>17</v>
      </c>
      <c r="D245" t="s">
        <v>18</v>
      </c>
      <c r="E245" t="s">
        <v>19</v>
      </c>
      <c r="F245" t="s">
        <v>20</v>
      </c>
      <c r="G245" t="s">
        <v>171</v>
      </c>
      <c r="H245" t="s">
        <v>22</v>
      </c>
      <c r="I245" s="6">
        <v>40794</v>
      </c>
      <c r="J245">
        <v>49.4</v>
      </c>
      <c r="K245">
        <v>15.8</v>
      </c>
      <c r="L245">
        <v>216</v>
      </c>
      <c r="M245">
        <v>4925</v>
      </c>
      <c r="N245" t="s">
        <v>32</v>
      </c>
      <c r="O245">
        <v>8.0362399999999994</v>
      </c>
      <c r="P245">
        <v>-26.065940000000001</v>
      </c>
    </row>
    <row r="246" spans="1:16">
      <c r="A246" t="s">
        <v>99</v>
      </c>
      <c r="B246">
        <v>97</v>
      </c>
      <c r="C246" t="s">
        <v>28</v>
      </c>
      <c r="D246" t="s">
        <v>18</v>
      </c>
      <c r="E246" t="s">
        <v>25</v>
      </c>
      <c r="F246" t="s">
        <v>20</v>
      </c>
      <c r="G246" t="s">
        <v>195</v>
      </c>
      <c r="H246" t="s">
        <v>22</v>
      </c>
      <c r="I246" s="6">
        <v>40732</v>
      </c>
      <c r="J246">
        <v>38.1</v>
      </c>
      <c r="K246">
        <v>18.600000000000001</v>
      </c>
      <c r="L246">
        <v>190</v>
      </c>
      <c r="M246">
        <v>3700</v>
      </c>
      <c r="N246" t="s">
        <v>23</v>
      </c>
      <c r="O246">
        <v>8.1027699999999996</v>
      </c>
      <c r="P246">
        <v>-26.500859999999999</v>
      </c>
    </row>
    <row r="247" spans="1:16">
      <c r="A247" t="s">
        <v>137</v>
      </c>
      <c r="B247">
        <v>98</v>
      </c>
      <c r="C247" t="s">
        <v>17</v>
      </c>
      <c r="D247" t="s">
        <v>18</v>
      </c>
      <c r="E247" t="s">
        <v>19</v>
      </c>
      <c r="F247" t="s">
        <v>20</v>
      </c>
      <c r="G247" t="s">
        <v>174</v>
      </c>
      <c r="H247" t="s">
        <v>22</v>
      </c>
      <c r="I247" s="6">
        <v>40135</v>
      </c>
      <c r="J247">
        <v>46.9</v>
      </c>
      <c r="K247">
        <v>14.6</v>
      </c>
      <c r="L247">
        <v>222</v>
      </c>
      <c r="M247">
        <v>4875</v>
      </c>
      <c r="N247" t="s">
        <v>23</v>
      </c>
      <c r="O247">
        <v>7.8880999999999997</v>
      </c>
      <c r="P247">
        <v>-26.047260000000001</v>
      </c>
    </row>
    <row r="248" spans="1:16">
      <c r="A248" t="s">
        <v>99</v>
      </c>
      <c r="B248">
        <v>98</v>
      </c>
      <c r="C248" t="s">
        <v>28</v>
      </c>
      <c r="D248" t="s">
        <v>18</v>
      </c>
      <c r="E248" t="s">
        <v>25</v>
      </c>
      <c r="F248" t="s">
        <v>20</v>
      </c>
      <c r="G248" t="s">
        <v>196</v>
      </c>
      <c r="H248" t="s">
        <v>22</v>
      </c>
      <c r="I248" s="6">
        <v>39769</v>
      </c>
      <c r="J248">
        <v>40.299999999999997</v>
      </c>
      <c r="K248">
        <v>18.5</v>
      </c>
      <c r="L248">
        <v>196</v>
      </c>
      <c r="M248">
        <v>4350</v>
      </c>
      <c r="N248" t="s">
        <v>32</v>
      </c>
      <c r="O248">
        <v>8.3945900000000009</v>
      </c>
      <c r="P248">
        <v>-26.011520000000001</v>
      </c>
    </row>
    <row r="249" spans="1:16">
      <c r="A249" t="s">
        <v>137</v>
      </c>
      <c r="B249">
        <v>99</v>
      </c>
      <c r="C249" t="s">
        <v>17</v>
      </c>
      <c r="D249" t="s">
        <v>18</v>
      </c>
      <c r="E249" t="s">
        <v>19</v>
      </c>
      <c r="F249" t="s">
        <v>20</v>
      </c>
      <c r="G249" t="s">
        <v>106</v>
      </c>
      <c r="H249" t="s">
        <v>22</v>
      </c>
      <c r="I249" s="6">
        <v>40135</v>
      </c>
      <c r="J249">
        <v>48.4</v>
      </c>
      <c r="K249">
        <v>14.4</v>
      </c>
      <c r="L249">
        <v>203</v>
      </c>
      <c r="M249">
        <v>4625</v>
      </c>
      <c r="N249" t="s">
        <v>23</v>
      </c>
      <c r="O249">
        <v>8.1658200000000001</v>
      </c>
      <c r="P249">
        <v>-26.139710000000001</v>
      </c>
    </row>
    <row r="250" spans="1:16">
      <c r="A250" t="s">
        <v>99</v>
      </c>
      <c r="B250">
        <v>99</v>
      </c>
      <c r="C250" t="s">
        <v>28</v>
      </c>
      <c r="D250" t="s">
        <v>18</v>
      </c>
      <c r="E250" t="s">
        <v>25</v>
      </c>
      <c r="F250" t="s">
        <v>20</v>
      </c>
      <c r="G250" t="s">
        <v>197</v>
      </c>
      <c r="H250" t="s">
        <v>22</v>
      </c>
      <c r="I250" s="6">
        <v>39769</v>
      </c>
      <c r="J250">
        <v>33.1</v>
      </c>
      <c r="K250">
        <v>16.100000000000001</v>
      </c>
      <c r="L250">
        <v>178</v>
      </c>
      <c r="M250">
        <v>2900</v>
      </c>
      <c r="N250" t="s">
        <v>23</v>
      </c>
      <c r="O250">
        <v>9.0421800000000001</v>
      </c>
      <c r="P250">
        <v>-26.15775</v>
      </c>
    </row>
    <row r="251" spans="1:16">
      <c r="A251" t="s">
        <v>99</v>
      </c>
      <c r="B251">
        <v>100</v>
      </c>
      <c r="C251" t="s">
        <v>28</v>
      </c>
      <c r="D251" t="s">
        <v>18</v>
      </c>
      <c r="E251" t="s">
        <v>25</v>
      </c>
      <c r="F251" t="s">
        <v>20</v>
      </c>
      <c r="G251" t="s">
        <v>108</v>
      </c>
      <c r="H251" t="s">
        <v>22</v>
      </c>
      <c r="I251" s="6">
        <v>40763</v>
      </c>
      <c r="J251">
        <v>43.2</v>
      </c>
      <c r="K251">
        <v>18.5</v>
      </c>
      <c r="L251">
        <v>192</v>
      </c>
      <c r="M251">
        <v>4100</v>
      </c>
      <c r="N251" t="s">
        <v>32</v>
      </c>
      <c r="O251">
        <v>8.9702500000000001</v>
      </c>
      <c r="P251">
        <v>-26.03679</v>
      </c>
    </row>
    <row r="252" spans="1:16">
      <c r="A252" t="s">
        <v>137</v>
      </c>
      <c r="B252">
        <v>100</v>
      </c>
      <c r="C252" t="s">
        <v>17</v>
      </c>
      <c r="D252" t="s">
        <v>18</v>
      </c>
      <c r="E252" t="s">
        <v>19</v>
      </c>
      <c r="F252" t="s">
        <v>20</v>
      </c>
      <c r="G252" t="s">
        <v>109</v>
      </c>
      <c r="H252" t="s">
        <v>22</v>
      </c>
      <c r="I252" s="6">
        <v>40132</v>
      </c>
      <c r="J252">
        <v>51.1</v>
      </c>
      <c r="K252">
        <v>16.5</v>
      </c>
      <c r="L252">
        <v>225</v>
      </c>
      <c r="M252">
        <v>5250</v>
      </c>
      <c r="N252" t="s">
        <v>32</v>
      </c>
      <c r="O252">
        <v>8.2065999999999999</v>
      </c>
      <c r="P252">
        <v>-26.36863</v>
      </c>
    </row>
    <row r="253" spans="1:16">
      <c r="A253" t="s">
        <v>137</v>
      </c>
      <c r="B253">
        <v>101</v>
      </c>
      <c r="C253" t="s">
        <v>28</v>
      </c>
      <c r="D253" t="s">
        <v>18</v>
      </c>
      <c r="E253" t="s">
        <v>19</v>
      </c>
      <c r="F253" t="s">
        <v>20</v>
      </c>
      <c r="G253" t="s">
        <v>102</v>
      </c>
      <c r="H253" t="s">
        <v>22</v>
      </c>
      <c r="I253" s="6">
        <v>40763</v>
      </c>
      <c r="J253">
        <v>35</v>
      </c>
      <c r="K253">
        <v>17.899999999999999</v>
      </c>
      <c r="L253">
        <v>192</v>
      </c>
      <c r="M253">
        <v>3725</v>
      </c>
      <c r="N253" t="s">
        <v>23</v>
      </c>
      <c r="O253">
        <v>8.8445099999999996</v>
      </c>
      <c r="P253">
        <v>-26.280550000000002</v>
      </c>
    </row>
    <row r="254" spans="1:16">
      <c r="A254" t="s">
        <v>137</v>
      </c>
      <c r="B254">
        <v>101</v>
      </c>
      <c r="C254" t="s">
        <v>17</v>
      </c>
      <c r="D254" t="s">
        <v>18</v>
      </c>
      <c r="E254" t="s">
        <v>19</v>
      </c>
      <c r="F254" t="s">
        <v>20</v>
      </c>
      <c r="G254" t="s">
        <v>111</v>
      </c>
      <c r="H254" t="s">
        <v>22</v>
      </c>
      <c r="I254" s="6">
        <v>40132</v>
      </c>
      <c r="J254">
        <v>48.5</v>
      </c>
      <c r="K254">
        <v>15</v>
      </c>
      <c r="L254">
        <v>219</v>
      </c>
      <c r="M254">
        <v>4850</v>
      </c>
      <c r="N254" t="s">
        <v>23</v>
      </c>
      <c r="O254">
        <v>8.1023099999999992</v>
      </c>
      <c r="P254">
        <v>-26.187629999999999</v>
      </c>
    </row>
    <row r="255" spans="1:16">
      <c r="A255" t="s">
        <v>137</v>
      </c>
      <c r="B255">
        <v>102</v>
      </c>
      <c r="C255" t="s">
        <v>28</v>
      </c>
      <c r="D255" t="s">
        <v>18</v>
      </c>
      <c r="E255" t="s">
        <v>19</v>
      </c>
      <c r="F255" t="s">
        <v>20</v>
      </c>
      <c r="G255" t="s">
        <v>104</v>
      </c>
      <c r="H255" t="s">
        <v>22</v>
      </c>
      <c r="I255" s="6">
        <v>40763</v>
      </c>
      <c r="J255">
        <v>41</v>
      </c>
      <c r="K255">
        <v>20</v>
      </c>
      <c r="L255">
        <v>203</v>
      </c>
      <c r="M255">
        <v>4725</v>
      </c>
      <c r="N255" t="s">
        <v>32</v>
      </c>
      <c r="O255">
        <v>9.0107900000000001</v>
      </c>
      <c r="P255">
        <v>-26.380849999999999</v>
      </c>
    </row>
    <row r="256" spans="1:16">
      <c r="A256" t="s">
        <v>137</v>
      </c>
      <c r="B256">
        <v>102</v>
      </c>
      <c r="C256" t="s">
        <v>17</v>
      </c>
      <c r="D256" t="s">
        <v>18</v>
      </c>
      <c r="E256" t="s">
        <v>19</v>
      </c>
      <c r="F256" t="s">
        <v>20</v>
      </c>
      <c r="G256" t="s">
        <v>115</v>
      </c>
      <c r="H256" t="s">
        <v>22</v>
      </c>
      <c r="I256" s="6">
        <v>40139</v>
      </c>
      <c r="J256">
        <v>55.9</v>
      </c>
      <c r="K256">
        <v>17</v>
      </c>
      <c r="L256">
        <v>228</v>
      </c>
      <c r="M256">
        <v>5600</v>
      </c>
      <c r="N256" t="s">
        <v>32</v>
      </c>
      <c r="O256">
        <v>8.3117999999999999</v>
      </c>
      <c r="P256">
        <v>-26.35425</v>
      </c>
    </row>
    <row r="257" spans="1:16">
      <c r="A257" t="s">
        <v>137</v>
      </c>
      <c r="B257">
        <v>103</v>
      </c>
      <c r="C257" t="s">
        <v>28</v>
      </c>
      <c r="D257" t="s">
        <v>18</v>
      </c>
      <c r="E257" t="s">
        <v>19</v>
      </c>
      <c r="F257" t="s">
        <v>20</v>
      </c>
      <c r="G257" t="s">
        <v>195</v>
      </c>
      <c r="H257" t="s">
        <v>22</v>
      </c>
      <c r="I257" s="6">
        <v>40763</v>
      </c>
      <c r="J257">
        <v>37.700000000000003</v>
      </c>
      <c r="K257">
        <v>16</v>
      </c>
      <c r="L257">
        <v>183</v>
      </c>
      <c r="M257">
        <v>3075</v>
      </c>
      <c r="N257" t="s">
        <v>23</v>
      </c>
      <c r="O257">
        <v>9.2150999999999996</v>
      </c>
      <c r="P257">
        <v>-26.225300000000001</v>
      </c>
    </row>
    <row r="258" spans="1:16">
      <c r="A258" t="s">
        <v>137</v>
      </c>
      <c r="B258">
        <v>103</v>
      </c>
      <c r="C258" t="s">
        <v>17</v>
      </c>
      <c r="D258" t="s">
        <v>18</v>
      </c>
      <c r="E258" t="s">
        <v>19</v>
      </c>
      <c r="F258" t="s">
        <v>20</v>
      </c>
      <c r="G258" t="s">
        <v>117</v>
      </c>
      <c r="H258" t="s">
        <v>22</v>
      </c>
      <c r="I258" s="6">
        <v>40139</v>
      </c>
      <c r="J258">
        <v>47.2</v>
      </c>
      <c r="K258">
        <v>15.5</v>
      </c>
      <c r="L258">
        <v>215</v>
      </c>
      <c r="M258">
        <v>4975</v>
      </c>
      <c r="N258" t="s">
        <v>23</v>
      </c>
      <c r="O258">
        <v>8.3081700000000005</v>
      </c>
      <c r="P258">
        <v>-26.21651</v>
      </c>
    </row>
    <row r="259" spans="1:16">
      <c r="A259" t="s">
        <v>137</v>
      </c>
      <c r="B259">
        <v>104</v>
      </c>
      <c r="C259" t="s">
        <v>17</v>
      </c>
      <c r="D259" t="s">
        <v>18</v>
      </c>
      <c r="E259" t="s">
        <v>19</v>
      </c>
      <c r="F259" t="s">
        <v>20</v>
      </c>
      <c r="G259" t="s">
        <v>118</v>
      </c>
      <c r="H259" t="s">
        <v>22</v>
      </c>
      <c r="I259" s="6">
        <v>40137</v>
      </c>
      <c r="J259">
        <v>49.1</v>
      </c>
      <c r="K259">
        <v>15</v>
      </c>
      <c r="L259">
        <v>228</v>
      </c>
      <c r="M259">
        <v>5500</v>
      </c>
      <c r="N259" t="s">
        <v>32</v>
      </c>
      <c r="O259">
        <v>8.6591400000000007</v>
      </c>
      <c r="P259">
        <v>-25.79203</v>
      </c>
    </row>
    <row r="260" spans="1:16">
      <c r="A260" t="s">
        <v>137</v>
      </c>
      <c r="B260">
        <v>104</v>
      </c>
      <c r="C260" t="s">
        <v>28</v>
      </c>
      <c r="D260" t="s">
        <v>18</v>
      </c>
      <c r="E260" t="s">
        <v>19</v>
      </c>
      <c r="F260" t="s">
        <v>20</v>
      </c>
      <c r="G260" t="s">
        <v>196</v>
      </c>
      <c r="H260" t="s">
        <v>22</v>
      </c>
      <c r="I260" s="6">
        <v>39766</v>
      </c>
      <c r="J260">
        <v>37.799999999999997</v>
      </c>
      <c r="K260">
        <v>20</v>
      </c>
      <c r="L260">
        <v>190</v>
      </c>
      <c r="M260">
        <v>4250</v>
      </c>
      <c r="N260" t="s">
        <v>32</v>
      </c>
      <c r="O260">
        <v>9.5192899999999998</v>
      </c>
      <c r="P260">
        <v>-25.691990000000001</v>
      </c>
    </row>
    <row r="261" spans="1:16">
      <c r="A261" t="s">
        <v>137</v>
      </c>
      <c r="B261">
        <v>105</v>
      </c>
      <c r="C261" t="s">
        <v>28</v>
      </c>
      <c r="D261" t="s">
        <v>18</v>
      </c>
      <c r="E261" t="s">
        <v>19</v>
      </c>
      <c r="F261" t="s">
        <v>20</v>
      </c>
      <c r="G261" t="s">
        <v>198</v>
      </c>
      <c r="H261" t="s">
        <v>22</v>
      </c>
      <c r="I261" s="6">
        <v>39766</v>
      </c>
      <c r="J261">
        <v>37.9</v>
      </c>
      <c r="K261">
        <v>18.600000000000001</v>
      </c>
      <c r="L261">
        <v>193</v>
      </c>
      <c r="M261">
        <v>2925</v>
      </c>
      <c r="N261" t="s">
        <v>23</v>
      </c>
      <c r="O261">
        <v>9.0264199999999999</v>
      </c>
      <c r="P261">
        <v>-25.864820000000002</v>
      </c>
    </row>
    <row r="262" spans="1:16">
      <c r="A262" t="s">
        <v>137</v>
      </c>
      <c r="B262">
        <v>106</v>
      </c>
      <c r="C262" t="s">
        <v>28</v>
      </c>
      <c r="D262" t="s">
        <v>18</v>
      </c>
      <c r="E262" t="s">
        <v>19</v>
      </c>
      <c r="F262" t="s">
        <v>20</v>
      </c>
      <c r="G262" t="s">
        <v>177</v>
      </c>
      <c r="H262" t="s">
        <v>22</v>
      </c>
      <c r="I262" s="6">
        <v>40671</v>
      </c>
      <c r="J262">
        <v>39.700000000000003</v>
      </c>
      <c r="K262">
        <v>18.899999999999999</v>
      </c>
      <c r="L262">
        <v>184</v>
      </c>
      <c r="M262">
        <v>3550</v>
      </c>
      <c r="N262" t="s">
        <v>32</v>
      </c>
      <c r="O262">
        <v>8.8569899999999997</v>
      </c>
      <c r="P262">
        <v>-25.80208</v>
      </c>
    </row>
    <row r="263" spans="1:16">
      <c r="A263" t="s">
        <v>137</v>
      </c>
      <c r="B263">
        <v>106</v>
      </c>
      <c r="C263" t="s">
        <v>17</v>
      </c>
      <c r="D263" t="s">
        <v>18</v>
      </c>
      <c r="E263" t="s">
        <v>19</v>
      </c>
      <c r="F263" t="s">
        <v>20</v>
      </c>
      <c r="G263" t="s">
        <v>121</v>
      </c>
      <c r="H263" t="s">
        <v>22</v>
      </c>
      <c r="I263" s="6">
        <v>40137</v>
      </c>
      <c r="J263">
        <v>46.8</v>
      </c>
      <c r="K263">
        <v>16.100000000000001</v>
      </c>
      <c r="L263">
        <v>215</v>
      </c>
      <c r="M263">
        <v>5500</v>
      </c>
      <c r="N263" t="s">
        <v>32</v>
      </c>
      <c r="O263">
        <v>8.3235899999999994</v>
      </c>
      <c r="P263">
        <v>-26.057559999999999</v>
      </c>
    </row>
    <row r="264" spans="1:16">
      <c r="A264" t="s">
        <v>137</v>
      </c>
      <c r="B264">
        <v>107</v>
      </c>
      <c r="C264" t="s">
        <v>28</v>
      </c>
      <c r="D264" t="s">
        <v>18</v>
      </c>
      <c r="E264" t="s">
        <v>19</v>
      </c>
      <c r="F264" t="s">
        <v>20</v>
      </c>
      <c r="G264" t="s">
        <v>179</v>
      </c>
      <c r="H264" t="s">
        <v>22</v>
      </c>
      <c r="I264" s="6">
        <v>40671</v>
      </c>
      <c r="J264">
        <v>38.6</v>
      </c>
      <c r="K264">
        <v>17.2</v>
      </c>
      <c r="L264">
        <v>199</v>
      </c>
      <c r="M264">
        <v>3750</v>
      </c>
      <c r="N264" t="s">
        <v>23</v>
      </c>
      <c r="O264">
        <v>8.7732200000000002</v>
      </c>
      <c r="P264">
        <v>-26.489730000000002</v>
      </c>
    </row>
    <row r="265" spans="1:16">
      <c r="A265" t="s">
        <v>137</v>
      </c>
      <c r="B265">
        <v>107</v>
      </c>
      <c r="C265" t="s">
        <v>17</v>
      </c>
      <c r="D265" t="s">
        <v>18</v>
      </c>
      <c r="E265" t="s">
        <v>19</v>
      </c>
      <c r="F265" t="s">
        <v>20</v>
      </c>
      <c r="G265" t="s">
        <v>136</v>
      </c>
      <c r="H265" t="s">
        <v>22</v>
      </c>
      <c r="I265" s="6">
        <v>40142</v>
      </c>
      <c r="J265">
        <v>41.7</v>
      </c>
      <c r="K265">
        <v>14.7</v>
      </c>
      <c r="L265">
        <v>210</v>
      </c>
      <c r="M265">
        <v>4700</v>
      </c>
      <c r="N265" t="s">
        <v>23</v>
      </c>
      <c r="O265">
        <v>8.1231100000000005</v>
      </c>
      <c r="P265">
        <v>-26.448149999999998</v>
      </c>
    </row>
    <row r="266" spans="1:16">
      <c r="A266" t="s">
        <v>137</v>
      </c>
      <c r="B266">
        <v>108</v>
      </c>
      <c r="C266" t="s">
        <v>17</v>
      </c>
      <c r="D266" t="s">
        <v>18</v>
      </c>
      <c r="E266" t="s">
        <v>19</v>
      </c>
      <c r="F266" t="s">
        <v>20</v>
      </c>
      <c r="G266" t="s">
        <v>141</v>
      </c>
      <c r="H266" t="s">
        <v>22</v>
      </c>
      <c r="I266" s="6">
        <v>40142</v>
      </c>
      <c r="J266">
        <v>53.4</v>
      </c>
      <c r="K266">
        <v>15.8</v>
      </c>
      <c r="L266">
        <v>219</v>
      </c>
      <c r="M266">
        <v>5500</v>
      </c>
      <c r="N266" t="s">
        <v>32</v>
      </c>
      <c r="O266">
        <v>8.4101700000000008</v>
      </c>
      <c r="P266">
        <v>-26.33867</v>
      </c>
    </row>
    <row r="267" spans="1:16">
      <c r="A267" t="s">
        <v>137</v>
      </c>
      <c r="B267">
        <v>108</v>
      </c>
      <c r="C267" t="s">
        <v>28</v>
      </c>
      <c r="D267" t="s">
        <v>18</v>
      </c>
      <c r="E267" t="s">
        <v>19</v>
      </c>
      <c r="F267" t="s">
        <v>20</v>
      </c>
      <c r="G267" t="s">
        <v>180</v>
      </c>
      <c r="H267" t="s">
        <v>22</v>
      </c>
      <c r="I267" s="6">
        <v>39769</v>
      </c>
      <c r="J267">
        <v>38.200000000000003</v>
      </c>
      <c r="K267">
        <v>20</v>
      </c>
      <c r="L267">
        <v>190</v>
      </c>
      <c r="M267">
        <v>3900</v>
      </c>
      <c r="N267" t="s">
        <v>32</v>
      </c>
      <c r="O267">
        <v>9.5924499999999995</v>
      </c>
      <c r="P267">
        <v>-25.70711</v>
      </c>
    </row>
    <row r="268" spans="1:16">
      <c r="A268" t="s">
        <v>137</v>
      </c>
      <c r="B268">
        <v>109</v>
      </c>
      <c r="C268" t="s">
        <v>17</v>
      </c>
      <c r="D268" t="s">
        <v>18</v>
      </c>
      <c r="E268" t="s">
        <v>19</v>
      </c>
      <c r="F268" t="s">
        <v>20</v>
      </c>
      <c r="G268" t="s">
        <v>170</v>
      </c>
      <c r="H268" t="s">
        <v>22</v>
      </c>
      <c r="I268" s="6">
        <v>40142</v>
      </c>
      <c r="J268">
        <v>43.3</v>
      </c>
      <c r="K268">
        <v>14</v>
      </c>
      <c r="L268">
        <v>208</v>
      </c>
      <c r="M268">
        <v>4575</v>
      </c>
      <c r="N268" t="s">
        <v>23</v>
      </c>
      <c r="O268">
        <v>8.4207000000000001</v>
      </c>
      <c r="P268">
        <v>-26.38092</v>
      </c>
    </row>
    <row r="269" spans="1:16">
      <c r="A269" t="s">
        <v>137</v>
      </c>
      <c r="B269">
        <v>109</v>
      </c>
      <c r="C269" t="s">
        <v>28</v>
      </c>
      <c r="D269" t="s">
        <v>18</v>
      </c>
      <c r="E269" t="s">
        <v>19</v>
      </c>
      <c r="F269" t="s">
        <v>20</v>
      </c>
      <c r="G269" t="s">
        <v>183</v>
      </c>
      <c r="H269" t="s">
        <v>22</v>
      </c>
      <c r="I269" s="6">
        <v>39769</v>
      </c>
      <c r="J269">
        <v>38.1</v>
      </c>
      <c r="K269">
        <v>17</v>
      </c>
      <c r="L269">
        <v>181</v>
      </c>
      <c r="M269">
        <v>3175</v>
      </c>
      <c r="N269" t="s">
        <v>23</v>
      </c>
      <c r="O269">
        <v>9.7953200000000002</v>
      </c>
      <c r="P269">
        <v>-25.273849999999999</v>
      </c>
    </row>
    <row r="270" spans="1:16">
      <c r="A270" t="s">
        <v>137</v>
      </c>
      <c r="B270">
        <v>110</v>
      </c>
      <c r="C270" t="s">
        <v>28</v>
      </c>
      <c r="D270" t="s">
        <v>18</v>
      </c>
      <c r="E270" t="s">
        <v>19</v>
      </c>
      <c r="F270" t="s">
        <v>20</v>
      </c>
      <c r="G270" t="s">
        <v>184</v>
      </c>
      <c r="H270" t="s">
        <v>22</v>
      </c>
      <c r="I270" s="6">
        <v>40763</v>
      </c>
      <c r="J270">
        <v>43.2</v>
      </c>
      <c r="K270">
        <v>19</v>
      </c>
      <c r="L270">
        <v>197</v>
      </c>
      <c r="M270">
        <v>4775</v>
      </c>
      <c r="N270" t="s">
        <v>32</v>
      </c>
      <c r="O270">
        <v>9.3173499999999994</v>
      </c>
      <c r="P270">
        <v>-25.451709999999999</v>
      </c>
    </row>
    <row r="271" spans="1:16">
      <c r="A271" t="s">
        <v>137</v>
      </c>
      <c r="B271">
        <v>110</v>
      </c>
      <c r="C271" t="s">
        <v>17</v>
      </c>
      <c r="D271" t="s">
        <v>18</v>
      </c>
      <c r="E271" t="s">
        <v>19</v>
      </c>
      <c r="F271" t="s">
        <v>20</v>
      </c>
      <c r="G271" t="s">
        <v>173</v>
      </c>
      <c r="H271" t="s">
        <v>22</v>
      </c>
      <c r="I271" s="6">
        <v>40142</v>
      </c>
      <c r="J271">
        <v>48.1</v>
      </c>
      <c r="K271">
        <v>15.1</v>
      </c>
      <c r="L271">
        <v>209</v>
      </c>
      <c r="M271">
        <v>5500</v>
      </c>
      <c r="N271" t="s">
        <v>32</v>
      </c>
      <c r="O271">
        <v>8.4573800000000006</v>
      </c>
      <c r="P271">
        <v>-26.22664</v>
      </c>
    </row>
    <row r="272" spans="1:16">
      <c r="A272" t="s">
        <v>137</v>
      </c>
      <c r="B272">
        <v>111</v>
      </c>
      <c r="C272" t="s">
        <v>17</v>
      </c>
      <c r="D272" t="s">
        <v>18</v>
      </c>
      <c r="E272" t="s">
        <v>19</v>
      </c>
      <c r="F272" t="s">
        <v>20</v>
      </c>
      <c r="G272" t="s">
        <v>35</v>
      </c>
      <c r="H272" t="s">
        <v>22</v>
      </c>
      <c r="I272" s="6">
        <v>40917</v>
      </c>
      <c r="J272">
        <v>50.5</v>
      </c>
      <c r="K272">
        <v>15.2</v>
      </c>
      <c r="L272">
        <v>216</v>
      </c>
      <c r="M272">
        <v>5000</v>
      </c>
      <c r="N272" t="s">
        <v>23</v>
      </c>
      <c r="O272">
        <v>8.2469099999999997</v>
      </c>
      <c r="P272">
        <v>-26.184660000000001</v>
      </c>
    </row>
    <row r="273" spans="1:16">
      <c r="A273" t="s">
        <v>137</v>
      </c>
      <c r="B273">
        <v>111</v>
      </c>
      <c r="C273" t="s">
        <v>28</v>
      </c>
      <c r="D273" t="s">
        <v>18</v>
      </c>
      <c r="E273" t="s">
        <v>19</v>
      </c>
      <c r="F273" t="s">
        <v>20</v>
      </c>
      <c r="G273" t="s">
        <v>185</v>
      </c>
      <c r="H273" t="s">
        <v>22</v>
      </c>
      <c r="I273" s="6">
        <v>40763</v>
      </c>
      <c r="J273">
        <v>38.1</v>
      </c>
      <c r="K273">
        <v>16.5</v>
      </c>
      <c r="L273">
        <v>198</v>
      </c>
      <c r="M273">
        <v>3825</v>
      </c>
      <c r="N273" t="s">
        <v>23</v>
      </c>
      <c r="O273">
        <v>8.4395100000000003</v>
      </c>
      <c r="P273">
        <v>-26.57563</v>
      </c>
    </row>
    <row r="274" spans="1:16">
      <c r="A274" t="s">
        <v>137</v>
      </c>
      <c r="B274">
        <v>112</v>
      </c>
      <c r="C274" t="s">
        <v>17</v>
      </c>
      <c r="D274" t="s">
        <v>18</v>
      </c>
      <c r="E274" t="s">
        <v>19</v>
      </c>
      <c r="F274" t="s">
        <v>20</v>
      </c>
      <c r="G274" t="s">
        <v>37</v>
      </c>
      <c r="H274" t="s">
        <v>22</v>
      </c>
      <c r="I274" s="6">
        <v>40917</v>
      </c>
      <c r="J274">
        <v>49.8</v>
      </c>
      <c r="K274">
        <v>15.9</v>
      </c>
      <c r="L274">
        <v>229</v>
      </c>
      <c r="M274">
        <v>5950</v>
      </c>
      <c r="N274" t="s">
        <v>32</v>
      </c>
      <c r="O274">
        <v>8.2922600000000006</v>
      </c>
      <c r="P274">
        <v>-26.210190000000001</v>
      </c>
    </row>
    <row r="275" spans="1:16">
      <c r="A275" t="s">
        <v>137</v>
      </c>
      <c r="B275">
        <v>112</v>
      </c>
      <c r="C275" t="s">
        <v>28</v>
      </c>
      <c r="D275" t="s">
        <v>18</v>
      </c>
      <c r="E275" t="s">
        <v>19</v>
      </c>
      <c r="F275" t="s">
        <v>20</v>
      </c>
      <c r="G275" t="s">
        <v>186</v>
      </c>
      <c r="H275" t="s">
        <v>22</v>
      </c>
      <c r="I275" s="6">
        <v>40824</v>
      </c>
      <c r="J275">
        <v>45.6</v>
      </c>
      <c r="K275">
        <v>20.3</v>
      </c>
      <c r="L275">
        <v>191</v>
      </c>
      <c r="M275">
        <v>4600</v>
      </c>
      <c r="N275" t="s">
        <v>32</v>
      </c>
      <c r="O275">
        <v>8.6546599999999998</v>
      </c>
      <c r="P275">
        <v>-26.329090000000001</v>
      </c>
    </row>
    <row r="276" spans="1:16">
      <c r="A276" t="s">
        <v>137</v>
      </c>
      <c r="B276">
        <v>113</v>
      </c>
      <c r="C276" t="s">
        <v>28</v>
      </c>
      <c r="D276" t="s">
        <v>18</v>
      </c>
      <c r="E276" t="s">
        <v>19</v>
      </c>
      <c r="F276" t="s">
        <v>20</v>
      </c>
      <c r="G276" t="s">
        <v>187</v>
      </c>
      <c r="H276" t="s">
        <v>22</v>
      </c>
      <c r="I276" s="6">
        <v>40824</v>
      </c>
      <c r="J276">
        <v>39.700000000000003</v>
      </c>
      <c r="K276">
        <v>17.7</v>
      </c>
      <c r="L276">
        <v>193</v>
      </c>
      <c r="M276">
        <v>3200</v>
      </c>
      <c r="N276" t="s">
        <v>23</v>
      </c>
      <c r="O276">
        <v>9.0265699999999995</v>
      </c>
      <c r="P276">
        <v>-26.06203</v>
      </c>
    </row>
    <row r="277" spans="1:16">
      <c r="A277" t="s">
        <v>137</v>
      </c>
      <c r="B277">
        <v>113</v>
      </c>
      <c r="C277" t="s">
        <v>17</v>
      </c>
      <c r="D277" t="s">
        <v>18</v>
      </c>
      <c r="E277" t="s">
        <v>19</v>
      </c>
      <c r="F277" t="s">
        <v>20</v>
      </c>
      <c r="G277" t="s">
        <v>45</v>
      </c>
      <c r="H277" t="s">
        <v>22</v>
      </c>
      <c r="I277" s="6">
        <v>40144</v>
      </c>
      <c r="J277">
        <v>43.5</v>
      </c>
      <c r="K277">
        <v>15.2</v>
      </c>
      <c r="L277">
        <v>213</v>
      </c>
      <c r="M277">
        <v>4650</v>
      </c>
      <c r="N277" t="s">
        <v>23</v>
      </c>
      <c r="O277">
        <v>8.2163400000000006</v>
      </c>
      <c r="P277">
        <v>-26.11046</v>
      </c>
    </row>
    <row r="278" spans="1:16">
      <c r="A278" t="s">
        <v>137</v>
      </c>
      <c r="B278">
        <v>114</v>
      </c>
      <c r="C278" t="s">
        <v>28</v>
      </c>
      <c r="D278" t="s">
        <v>18</v>
      </c>
      <c r="E278" t="s">
        <v>19</v>
      </c>
      <c r="F278" t="s">
        <v>20</v>
      </c>
      <c r="G278" t="s">
        <v>188</v>
      </c>
      <c r="H278" t="s">
        <v>22</v>
      </c>
      <c r="I278" s="6">
        <v>40795</v>
      </c>
      <c r="J278">
        <v>42.2</v>
      </c>
      <c r="K278">
        <v>19.5</v>
      </c>
      <c r="L278">
        <v>197</v>
      </c>
      <c r="M278">
        <v>4275</v>
      </c>
      <c r="N278" t="s">
        <v>32</v>
      </c>
      <c r="O278">
        <v>8.8018599999999996</v>
      </c>
      <c r="P278">
        <v>-26.412179999999999</v>
      </c>
    </row>
    <row r="279" spans="1:16">
      <c r="A279" t="s">
        <v>137</v>
      </c>
      <c r="B279">
        <v>114</v>
      </c>
      <c r="C279" t="s">
        <v>17</v>
      </c>
      <c r="D279" t="s">
        <v>18</v>
      </c>
      <c r="E279" t="s">
        <v>19</v>
      </c>
      <c r="F279" t="s">
        <v>20</v>
      </c>
      <c r="G279" t="s">
        <v>48</v>
      </c>
      <c r="H279" t="s">
        <v>22</v>
      </c>
      <c r="I279" s="6">
        <v>40144</v>
      </c>
      <c r="J279">
        <v>51.5</v>
      </c>
      <c r="K279">
        <v>16.3</v>
      </c>
      <c r="L279">
        <v>230</v>
      </c>
      <c r="M279">
        <v>5500</v>
      </c>
      <c r="N279" t="s">
        <v>32</v>
      </c>
      <c r="O279">
        <v>8.7855699999999999</v>
      </c>
      <c r="P279">
        <v>-25.761469999999999</v>
      </c>
    </row>
    <row r="280" spans="1:16">
      <c r="A280" t="s">
        <v>137</v>
      </c>
      <c r="B280">
        <v>115</v>
      </c>
      <c r="C280" t="s">
        <v>28</v>
      </c>
      <c r="D280" t="s">
        <v>18</v>
      </c>
      <c r="E280" t="s">
        <v>19</v>
      </c>
      <c r="F280" t="s">
        <v>20</v>
      </c>
      <c r="G280" t="s">
        <v>26</v>
      </c>
      <c r="H280" t="s">
        <v>22</v>
      </c>
      <c r="I280" s="6">
        <v>40795</v>
      </c>
      <c r="J280">
        <v>39.6</v>
      </c>
      <c r="K280">
        <v>20.7</v>
      </c>
      <c r="L280">
        <v>191</v>
      </c>
      <c r="M280">
        <v>3900</v>
      </c>
      <c r="N280" t="s">
        <v>23</v>
      </c>
      <c r="O280">
        <v>8.8096700000000006</v>
      </c>
      <c r="P280">
        <v>-26.789580000000001</v>
      </c>
    </row>
    <row r="281" spans="1:16">
      <c r="A281" t="s">
        <v>137</v>
      </c>
      <c r="B281">
        <v>115</v>
      </c>
      <c r="C281" t="s">
        <v>17</v>
      </c>
      <c r="D281" t="s">
        <v>18</v>
      </c>
      <c r="E281" t="s">
        <v>19</v>
      </c>
      <c r="F281" t="s">
        <v>20</v>
      </c>
      <c r="G281" t="s">
        <v>51</v>
      </c>
      <c r="H281" t="s">
        <v>22</v>
      </c>
      <c r="I281" s="6">
        <v>40135</v>
      </c>
      <c r="J281">
        <v>46.2</v>
      </c>
      <c r="K281">
        <v>14.1</v>
      </c>
      <c r="L281">
        <v>217</v>
      </c>
      <c r="M281">
        <v>4375</v>
      </c>
      <c r="N281" t="s">
        <v>23</v>
      </c>
      <c r="O281">
        <v>8.3023100000000003</v>
      </c>
      <c r="P281">
        <v>-25.960129999999999</v>
      </c>
    </row>
    <row r="282" spans="1:16">
      <c r="A282" t="s">
        <v>137</v>
      </c>
      <c r="B282">
        <v>116</v>
      </c>
      <c r="C282" t="s">
        <v>17</v>
      </c>
      <c r="D282" t="s">
        <v>18</v>
      </c>
      <c r="E282" t="s">
        <v>19</v>
      </c>
      <c r="F282" t="s">
        <v>20</v>
      </c>
      <c r="G282" t="s">
        <v>53</v>
      </c>
      <c r="H282" t="s">
        <v>22</v>
      </c>
      <c r="I282" s="6">
        <v>40135</v>
      </c>
      <c r="J282">
        <v>55.1</v>
      </c>
      <c r="K282">
        <v>16</v>
      </c>
      <c r="L282">
        <v>230</v>
      </c>
      <c r="M282">
        <v>5850</v>
      </c>
      <c r="N282" t="s">
        <v>32</v>
      </c>
      <c r="O282">
        <v>8.0835399999999993</v>
      </c>
      <c r="P282">
        <v>-26.181609999999999</v>
      </c>
    </row>
    <row r="283" spans="1:16">
      <c r="A283" t="s">
        <v>137</v>
      </c>
      <c r="B283">
        <v>116</v>
      </c>
      <c r="C283" t="s">
        <v>28</v>
      </c>
      <c r="D283" t="s">
        <v>18</v>
      </c>
      <c r="E283" t="s">
        <v>19</v>
      </c>
      <c r="F283" t="s">
        <v>20</v>
      </c>
      <c r="G283" t="s">
        <v>33</v>
      </c>
      <c r="H283" t="s">
        <v>22</v>
      </c>
      <c r="I283" s="6">
        <v>40132</v>
      </c>
      <c r="J283">
        <v>42.7</v>
      </c>
      <c r="K283">
        <v>18.3</v>
      </c>
      <c r="L283">
        <v>196</v>
      </c>
      <c r="M283">
        <v>4075</v>
      </c>
      <c r="N283" t="s">
        <v>32</v>
      </c>
      <c r="O283">
        <v>8.9143399999999993</v>
      </c>
      <c r="P283">
        <v>-26.420179999999998</v>
      </c>
    </row>
    <row r="284" spans="1:16">
      <c r="A284" t="s">
        <v>137</v>
      </c>
      <c r="B284">
        <v>117</v>
      </c>
      <c r="C284" t="s">
        <v>28</v>
      </c>
      <c r="D284" t="s">
        <v>18</v>
      </c>
      <c r="E284" t="s">
        <v>29</v>
      </c>
      <c r="F284" t="s">
        <v>20</v>
      </c>
      <c r="G284" t="s">
        <v>107</v>
      </c>
      <c r="H284" t="s">
        <v>22</v>
      </c>
      <c r="I284" s="6">
        <v>40132</v>
      </c>
      <c r="J284">
        <v>38.6</v>
      </c>
      <c r="K284">
        <v>17</v>
      </c>
      <c r="L284">
        <v>188</v>
      </c>
      <c r="M284">
        <v>2900</v>
      </c>
      <c r="N284" t="s">
        <v>23</v>
      </c>
      <c r="O284">
        <v>9.1802100000000006</v>
      </c>
      <c r="P284">
        <v>-25.772639999999999</v>
      </c>
    </row>
    <row r="285" spans="1:16">
      <c r="A285" t="s">
        <v>137</v>
      </c>
      <c r="B285">
        <v>118</v>
      </c>
      <c r="C285" t="s">
        <v>17</v>
      </c>
      <c r="D285" t="s">
        <v>18</v>
      </c>
      <c r="E285" t="s">
        <v>19</v>
      </c>
      <c r="F285" t="s">
        <v>20</v>
      </c>
      <c r="G285" t="s">
        <v>57</v>
      </c>
      <c r="H285" t="s">
        <v>22</v>
      </c>
      <c r="I285" s="6">
        <v>40135</v>
      </c>
      <c r="J285">
        <v>48.8</v>
      </c>
      <c r="K285">
        <v>16.2</v>
      </c>
      <c r="L285">
        <v>222</v>
      </c>
      <c r="M285">
        <v>6000</v>
      </c>
      <c r="N285" t="s">
        <v>32</v>
      </c>
      <c r="O285">
        <v>8.3382500000000004</v>
      </c>
      <c r="P285">
        <v>-25.885470000000002</v>
      </c>
    </row>
    <row r="286" spans="1:16">
      <c r="A286" t="s">
        <v>137</v>
      </c>
      <c r="B286">
        <v>118</v>
      </c>
      <c r="C286" t="s">
        <v>28</v>
      </c>
      <c r="D286" t="s">
        <v>18</v>
      </c>
      <c r="E286" t="s">
        <v>29</v>
      </c>
      <c r="F286" t="s">
        <v>20</v>
      </c>
      <c r="G286" t="s">
        <v>110</v>
      </c>
      <c r="H286" t="s">
        <v>22</v>
      </c>
      <c r="I286" s="6">
        <v>40132</v>
      </c>
      <c r="J286">
        <v>37.299999999999997</v>
      </c>
      <c r="K286">
        <v>20.5</v>
      </c>
      <c r="L286">
        <v>199</v>
      </c>
      <c r="M286">
        <v>3775</v>
      </c>
      <c r="N286" t="s">
        <v>32</v>
      </c>
      <c r="O286">
        <v>9.4964499999999994</v>
      </c>
      <c r="P286">
        <v>-26.366779999999999</v>
      </c>
    </row>
    <row r="287" spans="1:16">
      <c r="A287" t="s">
        <v>137</v>
      </c>
      <c r="B287">
        <v>119</v>
      </c>
      <c r="C287" t="s">
        <v>17</v>
      </c>
      <c r="D287" t="s">
        <v>18</v>
      </c>
      <c r="E287" t="s">
        <v>19</v>
      </c>
      <c r="F287" t="s">
        <v>20</v>
      </c>
      <c r="G287" t="s">
        <v>63</v>
      </c>
      <c r="H287" t="s">
        <v>27</v>
      </c>
      <c r="I287" s="6">
        <v>40135</v>
      </c>
      <c r="J287">
        <v>47.2</v>
      </c>
      <c r="K287">
        <v>13.7</v>
      </c>
      <c r="L287">
        <v>214</v>
      </c>
      <c r="M287">
        <v>4925</v>
      </c>
      <c r="N287" t="s">
        <v>23</v>
      </c>
      <c r="O287">
        <v>7.9918399999999998</v>
      </c>
      <c r="P287">
        <v>-26.205380000000002</v>
      </c>
    </row>
    <row r="288" spans="1:16">
      <c r="A288" t="s">
        <v>137</v>
      </c>
      <c r="B288">
        <v>119</v>
      </c>
      <c r="C288" t="s">
        <v>28</v>
      </c>
      <c r="D288" t="s">
        <v>18</v>
      </c>
      <c r="E288" t="s">
        <v>29</v>
      </c>
      <c r="F288" t="s">
        <v>20</v>
      </c>
      <c r="G288" t="s">
        <v>40</v>
      </c>
      <c r="H288" t="s">
        <v>22</v>
      </c>
      <c r="I288" s="6">
        <v>40132</v>
      </c>
      <c r="J288">
        <v>35.700000000000003</v>
      </c>
      <c r="K288">
        <v>17</v>
      </c>
      <c r="L288">
        <v>189</v>
      </c>
      <c r="M288">
        <v>3350</v>
      </c>
      <c r="N288" t="s">
        <v>23</v>
      </c>
      <c r="O288">
        <v>8.9643599999999992</v>
      </c>
      <c r="P288">
        <v>-23.903089999999999</v>
      </c>
    </row>
    <row r="289" spans="1:16">
      <c r="A289" t="s">
        <v>137</v>
      </c>
      <c r="B289">
        <v>120</v>
      </c>
      <c r="C289" t="s">
        <v>28</v>
      </c>
      <c r="D289" t="s">
        <v>18</v>
      </c>
      <c r="E289" t="s">
        <v>29</v>
      </c>
      <c r="F289" t="s">
        <v>20</v>
      </c>
      <c r="G289" t="s">
        <v>43</v>
      </c>
      <c r="H289" t="s">
        <v>22</v>
      </c>
      <c r="I289" s="6">
        <v>40132</v>
      </c>
      <c r="J289">
        <v>41.1</v>
      </c>
      <c r="K289">
        <v>18.600000000000001</v>
      </c>
      <c r="L289">
        <v>189</v>
      </c>
      <c r="M289">
        <v>3325</v>
      </c>
      <c r="N289" t="s">
        <v>32</v>
      </c>
      <c r="O289">
        <v>9.3227700000000002</v>
      </c>
      <c r="P289">
        <v>-26.099889999999998</v>
      </c>
    </row>
    <row r="290" spans="1:16">
      <c r="A290" t="s">
        <v>137</v>
      </c>
      <c r="B290">
        <v>121</v>
      </c>
      <c r="C290" t="s">
        <v>17</v>
      </c>
      <c r="D290" t="s">
        <v>18</v>
      </c>
      <c r="E290" t="s">
        <v>19</v>
      </c>
      <c r="F290" t="s">
        <v>20</v>
      </c>
      <c r="G290" t="s">
        <v>68</v>
      </c>
      <c r="H290" t="s">
        <v>22</v>
      </c>
      <c r="I290" s="6">
        <v>40139</v>
      </c>
      <c r="J290">
        <v>46.8</v>
      </c>
      <c r="K290">
        <v>14.3</v>
      </c>
      <c r="L290">
        <v>215</v>
      </c>
      <c r="M290">
        <v>4850</v>
      </c>
      <c r="N290" t="s">
        <v>23</v>
      </c>
      <c r="O290">
        <v>8.4115099999999998</v>
      </c>
      <c r="P290">
        <v>-26.13832</v>
      </c>
    </row>
    <row r="291" spans="1:16">
      <c r="A291" t="s">
        <v>137</v>
      </c>
      <c r="B291">
        <v>121</v>
      </c>
      <c r="C291" t="s">
        <v>28</v>
      </c>
      <c r="D291" t="s">
        <v>18</v>
      </c>
      <c r="E291" t="s">
        <v>29</v>
      </c>
      <c r="F291" t="s">
        <v>20</v>
      </c>
      <c r="G291" t="s">
        <v>46</v>
      </c>
      <c r="H291" t="s">
        <v>27</v>
      </c>
      <c r="I291" s="6">
        <v>40132</v>
      </c>
      <c r="J291">
        <v>36.200000000000003</v>
      </c>
      <c r="K291">
        <v>17.2</v>
      </c>
      <c r="L291">
        <v>187</v>
      </c>
      <c r="M291">
        <v>3150</v>
      </c>
      <c r="N291" t="s">
        <v>23</v>
      </c>
      <c r="O291">
        <v>9.0429600000000008</v>
      </c>
      <c r="P291">
        <v>-26.19444</v>
      </c>
    </row>
    <row r="292" spans="1:16">
      <c r="A292" t="s">
        <v>137</v>
      </c>
      <c r="B292">
        <v>122</v>
      </c>
      <c r="C292" t="s">
        <v>17</v>
      </c>
      <c r="D292" t="s">
        <v>18</v>
      </c>
      <c r="E292" t="s">
        <v>19</v>
      </c>
      <c r="F292" t="s">
        <v>20</v>
      </c>
      <c r="G292" t="s">
        <v>72</v>
      </c>
      <c r="H292" t="s">
        <v>22</v>
      </c>
      <c r="I292" s="6">
        <v>40139</v>
      </c>
      <c r="J292">
        <v>50.4</v>
      </c>
      <c r="K292">
        <v>15.7</v>
      </c>
      <c r="L292">
        <v>222</v>
      </c>
      <c r="M292">
        <v>5750</v>
      </c>
      <c r="N292" t="s">
        <v>32</v>
      </c>
      <c r="O292">
        <v>8.30166</v>
      </c>
      <c r="P292">
        <v>-26.041170000000001</v>
      </c>
    </row>
    <row r="293" spans="1:16">
      <c r="A293" t="s">
        <v>137</v>
      </c>
      <c r="B293">
        <v>122</v>
      </c>
      <c r="C293" t="s">
        <v>28</v>
      </c>
      <c r="D293" t="s">
        <v>18</v>
      </c>
      <c r="E293" t="s">
        <v>29</v>
      </c>
      <c r="F293" t="s">
        <v>20</v>
      </c>
      <c r="G293" t="s">
        <v>49</v>
      </c>
      <c r="H293" t="s">
        <v>27</v>
      </c>
      <c r="I293" s="6">
        <v>40137</v>
      </c>
      <c r="J293">
        <v>37.700000000000003</v>
      </c>
      <c r="K293">
        <v>19.8</v>
      </c>
      <c r="L293">
        <v>198</v>
      </c>
      <c r="M293">
        <v>3500</v>
      </c>
      <c r="N293" t="s">
        <v>32</v>
      </c>
      <c r="O293">
        <v>9.1106599999999993</v>
      </c>
      <c r="P293">
        <v>-26.425630000000002</v>
      </c>
    </row>
    <row r="294" spans="1:16">
      <c r="A294" t="s">
        <v>137</v>
      </c>
      <c r="B294">
        <v>123</v>
      </c>
      <c r="C294" t="s">
        <v>28</v>
      </c>
      <c r="D294" t="s">
        <v>18</v>
      </c>
      <c r="E294" t="s">
        <v>29</v>
      </c>
      <c r="F294" t="s">
        <v>20</v>
      </c>
      <c r="G294" t="s">
        <v>52</v>
      </c>
      <c r="H294" t="s">
        <v>22</v>
      </c>
      <c r="I294" s="6">
        <v>40137</v>
      </c>
      <c r="J294">
        <v>40.200000000000003</v>
      </c>
      <c r="K294">
        <v>17</v>
      </c>
      <c r="L294">
        <v>176</v>
      </c>
      <c r="M294">
        <v>3450</v>
      </c>
      <c r="N294" t="s">
        <v>23</v>
      </c>
      <c r="O294">
        <v>9.3072199999999992</v>
      </c>
      <c r="P294">
        <v>-25.610389999999999</v>
      </c>
    </row>
    <row r="295" spans="1:16">
      <c r="A295" t="s">
        <v>137</v>
      </c>
      <c r="B295">
        <v>123</v>
      </c>
      <c r="C295" t="s">
        <v>17</v>
      </c>
      <c r="D295" t="s">
        <v>18</v>
      </c>
      <c r="E295" t="s">
        <v>19</v>
      </c>
      <c r="F295" t="s">
        <v>20</v>
      </c>
      <c r="G295" t="s">
        <v>199</v>
      </c>
      <c r="H295" t="s">
        <v>22</v>
      </c>
      <c r="I295" s="6">
        <v>40135</v>
      </c>
      <c r="J295">
        <v>45.2</v>
      </c>
      <c r="K295">
        <v>14.8</v>
      </c>
      <c r="L295">
        <v>212</v>
      </c>
      <c r="M295">
        <v>5200</v>
      </c>
      <c r="N295" t="s">
        <v>23</v>
      </c>
      <c r="O295">
        <v>8.2424599999999995</v>
      </c>
      <c r="P295">
        <v>-26.119689999999999</v>
      </c>
    </row>
    <row r="296" spans="1:16">
      <c r="A296" t="s">
        <v>137</v>
      </c>
      <c r="B296">
        <v>124</v>
      </c>
      <c r="C296" t="s">
        <v>28</v>
      </c>
      <c r="D296" t="s">
        <v>18</v>
      </c>
      <c r="E296" t="s">
        <v>29</v>
      </c>
      <c r="F296" t="s">
        <v>20</v>
      </c>
      <c r="G296" t="s">
        <v>54</v>
      </c>
      <c r="H296" t="s">
        <v>22</v>
      </c>
      <c r="I296" s="6">
        <v>40886</v>
      </c>
      <c r="J296">
        <v>41.4</v>
      </c>
      <c r="K296">
        <v>18.5</v>
      </c>
      <c r="L296">
        <v>202</v>
      </c>
      <c r="M296">
        <v>3875</v>
      </c>
      <c r="N296" t="s">
        <v>32</v>
      </c>
      <c r="O296">
        <v>9.5946200000000008</v>
      </c>
      <c r="P296">
        <v>-25.426210000000001</v>
      </c>
    </row>
    <row r="297" spans="1:16">
      <c r="A297" t="s">
        <v>137</v>
      </c>
      <c r="B297">
        <v>124</v>
      </c>
      <c r="C297" t="s">
        <v>17</v>
      </c>
      <c r="D297" t="s">
        <v>18</v>
      </c>
      <c r="E297" t="s">
        <v>19</v>
      </c>
      <c r="F297" t="s">
        <v>20</v>
      </c>
      <c r="G297" t="s">
        <v>200</v>
      </c>
      <c r="H297" t="s">
        <v>22</v>
      </c>
      <c r="I297" s="6">
        <v>40135</v>
      </c>
      <c r="J297">
        <v>49.9</v>
      </c>
      <c r="K297">
        <v>16.100000000000001</v>
      </c>
      <c r="L297">
        <v>213</v>
      </c>
      <c r="M297">
        <v>5400</v>
      </c>
      <c r="N297" t="s">
        <v>32</v>
      </c>
      <c r="O297">
        <v>8.3638999999999992</v>
      </c>
      <c r="P297">
        <v>-26.15531</v>
      </c>
    </row>
    <row r="298" spans="1:16">
      <c r="A298" t="s">
        <v>137</v>
      </c>
      <c r="B298">
        <v>125</v>
      </c>
      <c r="C298" t="s">
        <v>28</v>
      </c>
      <c r="D298" t="s">
        <v>18</v>
      </c>
      <c r="E298" t="s">
        <v>29</v>
      </c>
      <c r="F298" t="s">
        <v>20</v>
      </c>
      <c r="G298" t="s">
        <v>60</v>
      </c>
      <c r="H298" t="s">
        <v>22</v>
      </c>
      <c r="I298" s="6">
        <v>40886</v>
      </c>
      <c r="J298">
        <v>35.200000000000003</v>
      </c>
      <c r="K298">
        <v>15.9</v>
      </c>
      <c r="L298">
        <v>186</v>
      </c>
      <c r="M298">
        <v>3050</v>
      </c>
      <c r="N298" t="s">
        <v>23</v>
      </c>
      <c r="O298">
        <v>8.8166799999999999</v>
      </c>
      <c r="P298">
        <v>-25.953990000000001</v>
      </c>
    </row>
    <row r="299" spans="1:16">
      <c r="A299" t="s">
        <v>137</v>
      </c>
      <c r="B299">
        <v>126</v>
      </c>
      <c r="C299" t="s">
        <v>28</v>
      </c>
      <c r="D299" t="s">
        <v>18</v>
      </c>
      <c r="E299" t="s">
        <v>29</v>
      </c>
      <c r="F299" t="s">
        <v>20</v>
      </c>
      <c r="G299" t="s">
        <v>62</v>
      </c>
      <c r="H299" t="s">
        <v>22</v>
      </c>
      <c r="I299" s="6">
        <v>40132</v>
      </c>
      <c r="J299">
        <v>40.6</v>
      </c>
      <c r="K299">
        <v>19</v>
      </c>
      <c r="L299">
        <v>199</v>
      </c>
      <c r="M299">
        <v>4000</v>
      </c>
      <c r="N299" t="s">
        <v>32</v>
      </c>
      <c r="O299">
        <v>9.2253699999999998</v>
      </c>
      <c r="P299">
        <v>-25.608260000000001</v>
      </c>
    </row>
    <row r="300" spans="1:16">
      <c r="A300" t="s">
        <v>137</v>
      </c>
      <c r="B300">
        <v>127</v>
      </c>
      <c r="C300" t="s">
        <v>28</v>
      </c>
      <c r="D300" t="s">
        <v>18</v>
      </c>
      <c r="E300" t="s">
        <v>29</v>
      </c>
      <c r="F300" t="s">
        <v>20</v>
      </c>
      <c r="G300" t="s">
        <v>69</v>
      </c>
      <c r="H300" t="s">
        <v>22</v>
      </c>
      <c r="I300" s="6">
        <v>40132</v>
      </c>
      <c r="J300">
        <v>38.799999999999997</v>
      </c>
      <c r="K300">
        <v>17.600000000000001</v>
      </c>
      <c r="L300">
        <v>191</v>
      </c>
      <c r="M300">
        <v>3275</v>
      </c>
      <c r="N300" t="s">
        <v>23</v>
      </c>
      <c r="O300">
        <v>8.8809799999999992</v>
      </c>
      <c r="P300">
        <v>-25.897410000000001</v>
      </c>
    </row>
    <row r="301" spans="1:16">
      <c r="A301" t="s">
        <v>137</v>
      </c>
      <c r="B301">
        <v>128</v>
      </c>
      <c r="C301" t="s">
        <v>28</v>
      </c>
      <c r="D301" t="s">
        <v>18</v>
      </c>
      <c r="E301" t="s">
        <v>29</v>
      </c>
      <c r="F301" t="s">
        <v>20</v>
      </c>
      <c r="G301" t="s">
        <v>73</v>
      </c>
      <c r="H301" t="s">
        <v>22</v>
      </c>
      <c r="I301" s="6">
        <v>40134</v>
      </c>
      <c r="J301">
        <v>41.5</v>
      </c>
      <c r="K301">
        <v>18.3</v>
      </c>
      <c r="L301">
        <v>195</v>
      </c>
      <c r="M301">
        <v>4300</v>
      </c>
      <c r="N301" t="s">
        <v>32</v>
      </c>
      <c r="O301">
        <v>8.5256600000000002</v>
      </c>
      <c r="P301">
        <v>-26.0245</v>
      </c>
    </row>
    <row r="302" spans="1:16">
      <c r="A302" t="s">
        <v>137</v>
      </c>
      <c r="B302">
        <v>129</v>
      </c>
      <c r="C302" t="s">
        <v>28</v>
      </c>
      <c r="D302" t="s">
        <v>18</v>
      </c>
      <c r="E302" t="s">
        <v>29</v>
      </c>
      <c r="F302" t="s">
        <v>20</v>
      </c>
      <c r="G302" t="s">
        <v>75</v>
      </c>
      <c r="H302" t="s">
        <v>22</v>
      </c>
      <c r="I302" s="6">
        <v>40134</v>
      </c>
      <c r="J302">
        <v>39</v>
      </c>
      <c r="K302">
        <v>17.100000000000001</v>
      </c>
      <c r="L302">
        <v>191</v>
      </c>
      <c r="M302">
        <v>3050</v>
      </c>
      <c r="N302" t="s">
        <v>23</v>
      </c>
      <c r="O302">
        <v>9.1903100000000002</v>
      </c>
      <c r="P302">
        <v>-25.737220000000001</v>
      </c>
    </row>
    <row r="303" spans="1:16">
      <c r="A303" t="s">
        <v>137</v>
      </c>
      <c r="B303">
        <v>130</v>
      </c>
      <c r="C303" t="s">
        <v>28</v>
      </c>
      <c r="D303" t="s">
        <v>18</v>
      </c>
      <c r="E303" t="s">
        <v>29</v>
      </c>
      <c r="F303" t="s">
        <v>20</v>
      </c>
      <c r="G303" t="s">
        <v>78</v>
      </c>
      <c r="H303" t="s">
        <v>22</v>
      </c>
      <c r="I303" s="6">
        <v>40135</v>
      </c>
      <c r="J303">
        <v>44.1</v>
      </c>
      <c r="K303">
        <v>18</v>
      </c>
      <c r="L303">
        <v>210</v>
      </c>
      <c r="M303">
        <v>4000</v>
      </c>
      <c r="N303" t="s">
        <v>32</v>
      </c>
      <c r="O303">
        <v>9.1070200000000003</v>
      </c>
      <c r="P303">
        <v>-26.013629999999999</v>
      </c>
    </row>
    <row r="304" spans="1:16">
      <c r="A304" t="s">
        <v>137</v>
      </c>
      <c r="B304">
        <v>131</v>
      </c>
      <c r="C304" t="s">
        <v>28</v>
      </c>
      <c r="D304" t="s">
        <v>18</v>
      </c>
      <c r="E304" t="s">
        <v>29</v>
      </c>
      <c r="F304" t="s">
        <v>20</v>
      </c>
      <c r="G304" t="s">
        <v>81</v>
      </c>
      <c r="H304" t="s">
        <v>27</v>
      </c>
      <c r="I304" s="6">
        <v>40135</v>
      </c>
      <c r="J304">
        <v>38.5</v>
      </c>
      <c r="K304">
        <v>17.899999999999999</v>
      </c>
      <c r="L304">
        <v>190</v>
      </c>
      <c r="M304">
        <v>3325</v>
      </c>
      <c r="N304" t="s">
        <v>23</v>
      </c>
      <c r="O304">
        <v>8.9846000000000004</v>
      </c>
      <c r="P304">
        <v>-25.579560000000001</v>
      </c>
    </row>
    <row r="305" spans="1:16">
      <c r="A305" t="s">
        <v>137</v>
      </c>
      <c r="B305">
        <v>132</v>
      </c>
      <c r="C305" t="s">
        <v>28</v>
      </c>
      <c r="D305" t="s">
        <v>18</v>
      </c>
      <c r="E305" t="s">
        <v>29</v>
      </c>
      <c r="F305" t="s">
        <v>20</v>
      </c>
      <c r="G305" t="s">
        <v>84</v>
      </c>
      <c r="H305" t="s">
        <v>27</v>
      </c>
      <c r="I305" s="6">
        <v>40139</v>
      </c>
      <c r="J305">
        <v>43.1</v>
      </c>
      <c r="K305">
        <v>19.2</v>
      </c>
      <c r="L305">
        <v>197</v>
      </c>
      <c r="M305">
        <v>3500</v>
      </c>
      <c r="N305" t="s">
        <v>32</v>
      </c>
      <c r="O305">
        <v>8.8649500000000003</v>
      </c>
      <c r="P305">
        <v>-26.139600000000002</v>
      </c>
    </row>
    <row r="306" spans="1:16">
      <c r="A306" t="s">
        <v>137</v>
      </c>
      <c r="B306">
        <v>133</v>
      </c>
      <c r="C306" t="s">
        <v>28</v>
      </c>
      <c r="D306" t="s">
        <v>18</v>
      </c>
      <c r="E306" t="s">
        <v>25</v>
      </c>
      <c r="F306" t="s">
        <v>20</v>
      </c>
      <c r="G306" t="s">
        <v>201</v>
      </c>
      <c r="H306" t="s">
        <v>22</v>
      </c>
      <c r="I306" s="6">
        <v>40139</v>
      </c>
      <c r="J306">
        <v>36.799999999999997</v>
      </c>
      <c r="K306">
        <v>18.5</v>
      </c>
      <c r="L306">
        <v>193</v>
      </c>
      <c r="M306">
        <v>3500</v>
      </c>
      <c r="N306" t="s">
        <v>23</v>
      </c>
      <c r="O306">
        <v>8.98705</v>
      </c>
      <c r="P306">
        <v>-25.57647</v>
      </c>
    </row>
    <row r="307" spans="1:16">
      <c r="A307" t="s">
        <v>137</v>
      </c>
      <c r="B307">
        <v>134</v>
      </c>
      <c r="C307" t="s">
        <v>28</v>
      </c>
      <c r="D307" t="s">
        <v>18</v>
      </c>
      <c r="E307" t="s">
        <v>25</v>
      </c>
      <c r="F307" t="s">
        <v>20</v>
      </c>
      <c r="G307" t="s">
        <v>202</v>
      </c>
      <c r="H307" t="s">
        <v>22</v>
      </c>
      <c r="I307" s="6">
        <v>40134</v>
      </c>
      <c r="J307">
        <v>37.5</v>
      </c>
      <c r="K307">
        <v>18.5</v>
      </c>
      <c r="L307">
        <v>199</v>
      </c>
      <c r="M307">
        <v>4475</v>
      </c>
      <c r="N307" t="s">
        <v>32</v>
      </c>
      <c r="O307">
        <v>8.5670800000000007</v>
      </c>
      <c r="P307">
        <v>-26.49288</v>
      </c>
    </row>
    <row r="308" spans="1:16">
      <c r="A308" t="s">
        <v>137</v>
      </c>
      <c r="B308">
        <v>135</v>
      </c>
      <c r="C308" t="s">
        <v>28</v>
      </c>
      <c r="D308" t="s">
        <v>18</v>
      </c>
      <c r="E308" t="s">
        <v>25</v>
      </c>
      <c r="F308" t="s">
        <v>20</v>
      </c>
      <c r="G308" t="s">
        <v>203</v>
      </c>
      <c r="H308" t="s">
        <v>22</v>
      </c>
      <c r="I308" s="6">
        <v>40134</v>
      </c>
      <c r="J308">
        <v>38.1</v>
      </c>
      <c r="K308">
        <v>17.600000000000001</v>
      </c>
      <c r="L308">
        <v>187</v>
      </c>
      <c r="M308">
        <v>3425</v>
      </c>
      <c r="N308" t="s">
        <v>23</v>
      </c>
      <c r="O308">
        <v>8.7170000000000005</v>
      </c>
      <c r="P308">
        <v>-25.779509999999998</v>
      </c>
    </row>
    <row r="309" spans="1:16">
      <c r="A309" t="s">
        <v>137</v>
      </c>
      <c r="B309">
        <v>136</v>
      </c>
      <c r="C309" t="s">
        <v>28</v>
      </c>
      <c r="D309" t="s">
        <v>18</v>
      </c>
      <c r="E309" t="s">
        <v>25</v>
      </c>
      <c r="F309" t="s">
        <v>20</v>
      </c>
      <c r="G309" t="s">
        <v>204</v>
      </c>
      <c r="H309" t="s">
        <v>22</v>
      </c>
      <c r="I309" s="6">
        <v>40133</v>
      </c>
      <c r="J309">
        <v>41.1</v>
      </c>
      <c r="K309">
        <v>17.5</v>
      </c>
      <c r="L309">
        <v>190</v>
      </c>
      <c r="M309">
        <v>3900</v>
      </c>
      <c r="N309" t="s">
        <v>32</v>
      </c>
      <c r="O309">
        <v>8.9436499999999999</v>
      </c>
      <c r="P309">
        <v>-26.069430000000001</v>
      </c>
    </row>
    <row r="310" spans="1:16">
      <c r="A310" t="s">
        <v>137</v>
      </c>
      <c r="B310">
        <v>137</v>
      </c>
      <c r="C310" t="s">
        <v>28</v>
      </c>
      <c r="D310" t="s">
        <v>18</v>
      </c>
      <c r="E310" t="s">
        <v>25</v>
      </c>
      <c r="F310" t="s">
        <v>20</v>
      </c>
      <c r="G310" t="s">
        <v>205</v>
      </c>
      <c r="H310" t="s">
        <v>22</v>
      </c>
      <c r="I310" s="6">
        <v>40133</v>
      </c>
      <c r="J310">
        <v>35.6</v>
      </c>
      <c r="K310">
        <v>17.5</v>
      </c>
      <c r="L310">
        <v>191</v>
      </c>
      <c r="M310">
        <v>3175</v>
      </c>
      <c r="N310" t="s">
        <v>23</v>
      </c>
      <c r="O310">
        <v>8.7598400000000005</v>
      </c>
      <c r="P310">
        <v>-25.976959999999998</v>
      </c>
    </row>
    <row r="311" spans="1:16">
      <c r="A311" t="s">
        <v>137</v>
      </c>
      <c r="B311">
        <v>138</v>
      </c>
      <c r="C311" t="s">
        <v>28</v>
      </c>
      <c r="D311" t="s">
        <v>18</v>
      </c>
      <c r="E311" t="s">
        <v>25</v>
      </c>
      <c r="F311" t="s">
        <v>20</v>
      </c>
      <c r="G311" t="s">
        <v>206</v>
      </c>
      <c r="H311" t="s">
        <v>22</v>
      </c>
      <c r="I311" s="6">
        <v>40135</v>
      </c>
      <c r="J311">
        <v>40.200000000000003</v>
      </c>
      <c r="K311">
        <v>20.100000000000001</v>
      </c>
      <c r="L311">
        <v>200</v>
      </c>
      <c r="M311">
        <v>3975</v>
      </c>
      <c r="N311" t="s">
        <v>32</v>
      </c>
      <c r="O311">
        <v>8.9599799999999998</v>
      </c>
      <c r="P311">
        <v>-26.32601</v>
      </c>
    </row>
    <row r="312" spans="1:16">
      <c r="A312" t="s">
        <v>137</v>
      </c>
      <c r="B312">
        <v>139</v>
      </c>
      <c r="C312" t="s">
        <v>28</v>
      </c>
      <c r="D312" t="s">
        <v>18</v>
      </c>
      <c r="E312" t="s">
        <v>25</v>
      </c>
      <c r="F312" t="s">
        <v>20</v>
      </c>
      <c r="G312" t="s">
        <v>207</v>
      </c>
      <c r="H312" t="s">
        <v>27</v>
      </c>
      <c r="I312" s="6">
        <v>40135</v>
      </c>
      <c r="J312">
        <v>37</v>
      </c>
      <c r="K312">
        <v>16.5</v>
      </c>
      <c r="L312">
        <v>185</v>
      </c>
      <c r="M312">
        <v>3400</v>
      </c>
      <c r="N312" t="s">
        <v>23</v>
      </c>
      <c r="O312">
        <v>8.6165099999999999</v>
      </c>
      <c r="P312">
        <v>-26.070209999999999</v>
      </c>
    </row>
    <row r="313" spans="1:16">
      <c r="A313" t="s">
        <v>137</v>
      </c>
      <c r="B313">
        <v>140</v>
      </c>
      <c r="C313" t="s">
        <v>28</v>
      </c>
      <c r="D313" t="s">
        <v>18</v>
      </c>
      <c r="E313" t="s">
        <v>25</v>
      </c>
      <c r="F313" t="s">
        <v>20</v>
      </c>
      <c r="G313" t="s">
        <v>208</v>
      </c>
      <c r="H313" t="s">
        <v>27</v>
      </c>
      <c r="I313" s="6">
        <v>40138</v>
      </c>
      <c r="J313">
        <v>39.700000000000003</v>
      </c>
      <c r="K313">
        <v>17.899999999999999</v>
      </c>
      <c r="L313">
        <v>193</v>
      </c>
      <c r="M313">
        <v>4250</v>
      </c>
      <c r="N313" t="s">
        <v>32</v>
      </c>
      <c r="O313">
        <v>9.2576900000000002</v>
      </c>
      <c r="P313">
        <v>-25.887979999999999</v>
      </c>
    </row>
    <row r="314" spans="1:16">
      <c r="A314" t="s">
        <v>137</v>
      </c>
      <c r="B314">
        <v>141</v>
      </c>
      <c r="C314" t="s">
        <v>28</v>
      </c>
      <c r="D314" t="s">
        <v>18</v>
      </c>
      <c r="E314" t="s">
        <v>25</v>
      </c>
      <c r="F314" t="s">
        <v>20</v>
      </c>
      <c r="G314" t="s">
        <v>209</v>
      </c>
      <c r="H314" t="s">
        <v>22</v>
      </c>
      <c r="I314" s="6">
        <v>40138</v>
      </c>
      <c r="J314">
        <v>40.200000000000003</v>
      </c>
      <c r="K314">
        <v>17.100000000000001</v>
      </c>
      <c r="L314">
        <v>193</v>
      </c>
      <c r="M314">
        <v>3400</v>
      </c>
      <c r="N314" t="s">
        <v>23</v>
      </c>
      <c r="O314">
        <v>9.2881</v>
      </c>
      <c r="P314">
        <v>-25.549759999999999</v>
      </c>
    </row>
    <row r="315" spans="1:16">
      <c r="A315" t="s">
        <v>137</v>
      </c>
      <c r="B315">
        <v>142</v>
      </c>
      <c r="C315" t="s">
        <v>28</v>
      </c>
      <c r="D315" t="s">
        <v>18</v>
      </c>
      <c r="E315" t="s">
        <v>25</v>
      </c>
      <c r="F315" t="s">
        <v>20</v>
      </c>
      <c r="G315" t="s">
        <v>210</v>
      </c>
      <c r="H315" t="s">
        <v>22</v>
      </c>
      <c r="I315" s="6">
        <v>40135</v>
      </c>
      <c r="J315">
        <v>40.6</v>
      </c>
      <c r="K315">
        <v>17.2</v>
      </c>
      <c r="L315">
        <v>187</v>
      </c>
      <c r="M315">
        <v>3475</v>
      </c>
      <c r="N315" t="s">
        <v>32</v>
      </c>
      <c r="O315">
        <v>9.2340800000000005</v>
      </c>
      <c r="P315">
        <v>-26.01549</v>
      </c>
    </row>
    <row r="316" spans="1:16">
      <c r="A316" t="s">
        <v>137</v>
      </c>
      <c r="B316">
        <v>143</v>
      </c>
      <c r="C316" t="s">
        <v>28</v>
      </c>
      <c r="D316" t="s">
        <v>18</v>
      </c>
      <c r="E316" t="s">
        <v>25</v>
      </c>
      <c r="F316" t="s">
        <v>20</v>
      </c>
      <c r="G316" t="s">
        <v>211</v>
      </c>
      <c r="H316" t="s">
        <v>22</v>
      </c>
      <c r="I316" s="6">
        <v>40135</v>
      </c>
      <c r="J316">
        <v>32.1</v>
      </c>
      <c r="K316">
        <v>15.5</v>
      </c>
      <c r="L316">
        <v>188</v>
      </c>
      <c r="M316">
        <v>3050</v>
      </c>
      <c r="N316" t="s">
        <v>23</v>
      </c>
      <c r="O316">
        <v>8.7978699999999996</v>
      </c>
      <c r="P316">
        <v>-26.610749999999999</v>
      </c>
    </row>
    <row r="317" spans="1:16">
      <c r="A317" t="s">
        <v>137</v>
      </c>
      <c r="B317">
        <v>144</v>
      </c>
      <c r="C317" t="s">
        <v>28</v>
      </c>
      <c r="D317" t="s">
        <v>18</v>
      </c>
      <c r="E317" t="s">
        <v>25</v>
      </c>
      <c r="F317" t="s">
        <v>20</v>
      </c>
      <c r="G317" t="s">
        <v>212</v>
      </c>
      <c r="H317" t="s">
        <v>22</v>
      </c>
      <c r="I317" s="6">
        <v>40140</v>
      </c>
      <c r="J317">
        <v>40.700000000000003</v>
      </c>
      <c r="K317">
        <v>17</v>
      </c>
      <c r="L317">
        <v>190</v>
      </c>
      <c r="M317">
        <v>3725</v>
      </c>
      <c r="N317" t="s">
        <v>32</v>
      </c>
      <c r="O317">
        <v>9.0567399999999996</v>
      </c>
      <c r="P317">
        <v>-25.795290000000001</v>
      </c>
    </row>
    <row r="318" spans="1:16">
      <c r="A318" t="s">
        <v>137</v>
      </c>
      <c r="B318">
        <v>145</v>
      </c>
      <c r="C318" t="s">
        <v>28</v>
      </c>
      <c r="D318" t="s">
        <v>18</v>
      </c>
      <c r="E318" t="s">
        <v>25</v>
      </c>
      <c r="F318" t="s">
        <v>20</v>
      </c>
      <c r="G318" t="s">
        <v>213</v>
      </c>
      <c r="H318" t="s">
        <v>22</v>
      </c>
      <c r="I318" s="6">
        <v>40140</v>
      </c>
      <c r="J318">
        <v>37.299999999999997</v>
      </c>
      <c r="K318">
        <v>16.8</v>
      </c>
      <c r="L318">
        <v>192</v>
      </c>
      <c r="M318">
        <v>3000</v>
      </c>
      <c r="N318" t="s">
        <v>23</v>
      </c>
      <c r="O318">
        <v>9.0682899999999993</v>
      </c>
      <c r="P318">
        <v>-25.852029999999999</v>
      </c>
    </row>
    <row r="319" spans="1:16">
      <c r="A319" t="s">
        <v>137</v>
      </c>
      <c r="B319">
        <v>146</v>
      </c>
      <c r="C319" t="s">
        <v>28</v>
      </c>
      <c r="D319" t="s">
        <v>18</v>
      </c>
      <c r="E319" t="s">
        <v>25</v>
      </c>
      <c r="F319" t="s">
        <v>20</v>
      </c>
      <c r="G319" t="s">
        <v>214</v>
      </c>
      <c r="H319" t="s">
        <v>22</v>
      </c>
      <c r="I319" s="6">
        <v>40825</v>
      </c>
      <c r="J319">
        <v>39</v>
      </c>
      <c r="K319">
        <v>18.7</v>
      </c>
      <c r="L319">
        <v>185</v>
      </c>
      <c r="M319">
        <v>3650</v>
      </c>
      <c r="N319" t="s">
        <v>32</v>
      </c>
      <c r="O319">
        <v>9.2203300000000006</v>
      </c>
      <c r="P319">
        <v>-26.034420000000001</v>
      </c>
    </row>
    <row r="320" spans="1:16">
      <c r="A320" t="s">
        <v>137</v>
      </c>
      <c r="B320">
        <v>147</v>
      </c>
      <c r="C320" t="s">
        <v>28</v>
      </c>
      <c r="D320" t="s">
        <v>18</v>
      </c>
      <c r="E320" t="s">
        <v>25</v>
      </c>
      <c r="F320" t="s">
        <v>20</v>
      </c>
      <c r="G320" t="s">
        <v>215</v>
      </c>
      <c r="H320" t="s">
        <v>22</v>
      </c>
      <c r="I320" s="6">
        <v>40825</v>
      </c>
      <c r="J320">
        <v>39.200000000000003</v>
      </c>
      <c r="K320">
        <v>18.600000000000001</v>
      </c>
      <c r="L320">
        <v>190</v>
      </c>
      <c r="M320">
        <v>4250</v>
      </c>
      <c r="N320" t="s">
        <v>32</v>
      </c>
      <c r="O320">
        <v>9.1100600000000007</v>
      </c>
      <c r="P320">
        <v>-25.795490000000001</v>
      </c>
    </row>
    <row r="321" spans="1:16">
      <c r="A321" t="s">
        <v>137</v>
      </c>
      <c r="B321">
        <v>148</v>
      </c>
      <c r="C321" t="s">
        <v>28</v>
      </c>
      <c r="D321" t="s">
        <v>18</v>
      </c>
      <c r="E321" t="s">
        <v>25</v>
      </c>
      <c r="F321" t="s">
        <v>20</v>
      </c>
      <c r="G321" t="s">
        <v>216</v>
      </c>
      <c r="H321" t="s">
        <v>22</v>
      </c>
      <c r="I321" s="6">
        <v>40130</v>
      </c>
      <c r="J321">
        <v>36.6</v>
      </c>
      <c r="K321">
        <v>18.399999999999999</v>
      </c>
      <c r="L321">
        <v>184</v>
      </c>
      <c r="M321">
        <v>3475</v>
      </c>
      <c r="N321" t="s">
        <v>23</v>
      </c>
      <c r="O321">
        <v>8.6874400000000005</v>
      </c>
      <c r="P321">
        <v>-25.8306</v>
      </c>
    </row>
    <row r="322" spans="1:16">
      <c r="A322" t="s">
        <v>137</v>
      </c>
      <c r="B322">
        <v>149</v>
      </c>
      <c r="C322" t="s">
        <v>28</v>
      </c>
      <c r="D322" t="s">
        <v>18</v>
      </c>
      <c r="E322" t="s">
        <v>25</v>
      </c>
      <c r="F322" t="s">
        <v>20</v>
      </c>
      <c r="G322" t="s">
        <v>217</v>
      </c>
      <c r="H322" t="s">
        <v>22</v>
      </c>
      <c r="I322" s="6">
        <v>40130</v>
      </c>
      <c r="J322">
        <v>36</v>
      </c>
      <c r="K322">
        <v>17.8</v>
      </c>
      <c r="L322">
        <v>195</v>
      </c>
      <c r="M322">
        <v>3450</v>
      </c>
      <c r="N322" t="s">
        <v>23</v>
      </c>
      <c r="O322">
        <v>8.9433199999999999</v>
      </c>
      <c r="P322">
        <v>-25.791889999999999</v>
      </c>
    </row>
    <row r="323" spans="1:16">
      <c r="A323" t="s">
        <v>137</v>
      </c>
      <c r="B323">
        <v>150</v>
      </c>
      <c r="C323" t="s">
        <v>28</v>
      </c>
      <c r="D323" t="s">
        <v>18</v>
      </c>
      <c r="E323" t="s">
        <v>25</v>
      </c>
      <c r="F323" t="s">
        <v>20</v>
      </c>
      <c r="G323" t="s">
        <v>218</v>
      </c>
      <c r="H323" t="s">
        <v>22</v>
      </c>
      <c r="I323" s="6">
        <v>40133</v>
      </c>
      <c r="J323">
        <v>37.799999999999997</v>
      </c>
      <c r="K323">
        <v>18.100000000000001</v>
      </c>
      <c r="L323">
        <v>193</v>
      </c>
      <c r="M323">
        <v>3750</v>
      </c>
      <c r="N323" t="s">
        <v>32</v>
      </c>
      <c r="O323">
        <v>8.9753299999999996</v>
      </c>
      <c r="P323">
        <v>-26.034949999999998</v>
      </c>
    </row>
    <row r="324" spans="1:16">
      <c r="A324" t="s">
        <v>137</v>
      </c>
      <c r="B324">
        <v>151</v>
      </c>
      <c r="C324" t="s">
        <v>28</v>
      </c>
      <c r="D324" t="s">
        <v>18</v>
      </c>
      <c r="E324" t="s">
        <v>25</v>
      </c>
      <c r="F324" t="s">
        <v>20</v>
      </c>
      <c r="G324" t="s">
        <v>87</v>
      </c>
      <c r="H324" t="s">
        <v>22</v>
      </c>
      <c r="I324" s="6">
        <v>40133</v>
      </c>
      <c r="J324">
        <v>36</v>
      </c>
      <c r="K324">
        <v>17.100000000000001</v>
      </c>
      <c r="L324">
        <v>187</v>
      </c>
      <c r="M324">
        <v>3700</v>
      </c>
      <c r="N324" t="s">
        <v>23</v>
      </c>
      <c r="O324">
        <v>8.9346499999999995</v>
      </c>
      <c r="P324">
        <v>-26.070810000000002</v>
      </c>
    </row>
    <row r="325" spans="1:16">
      <c r="A325" t="s">
        <v>137</v>
      </c>
      <c r="B325">
        <v>152</v>
      </c>
      <c r="C325" t="s">
        <v>28</v>
      </c>
      <c r="D325" t="s">
        <v>18</v>
      </c>
      <c r="E325" t="s">
        <v>25</v>
      </c>
      <c r="F325" t="s">
        <v>20</v>
      </c>
      <c r="G325" t="s">
        <v>89</v>
      </c>
      <c r="H325" t="s">
        <v>22</v>
      </c>
      <c r="I325" s="6">
        <v>40133</v>
      </c>
      <c r="J325">
        <v>41.5</v>
      </c>
      <c r="K325">
        <v>18.5</v>
      </c>
      <c r="L325">
        <v>201</v>
      </c>
      <c r="M325">
        <v>4000</v>
      </c>
      <c r="N325" t="s">
        <v>32</v>
      </c>
      <c r="O325">
        <v>8.8963999999999999</v>
      </c>
      <c r="P325">
        <v>-26.069669999999999</v>
      </c>
    </row>
  </sheetData>
  <autoFilter ref="A1:P325" xr:uid="{1CEE41F5-9621-1B45-9D70-6A47D0589CF2}">
    <sortState xmlns:xlrd2="http://schemas.microsoft.com/office/spreadsheetml/2017/richdata2" ref="A2:P325">
      <sortCondition ref="B1:B325"/>
    </sortState>
  </autoFilter>
  <phoneticPr fontId="18" type="noConversion"/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DF9AF-1778-424C-B14E-76794B78E0C1}">
  <dimension ref="A3:J19"/>
  <sheetViews>
    <sheetView workbookViewId="0">
      <selection activeCell="C30" sqref="C30"/>
    </sheetView>
  </sheetViews>
  <sheetFormatPr baseColWidth="10" defaultColWidth="11.5703125" defaultRowHeight="18"/>
  <cols>
    <col min="1" max="1" width="11.28515625" bestFit="1" customWidth="1"/>
    <col min="2" max="2" width="32.5703125" bestFit="1" customWidth="1"/>
    <col min="3" max="3" width="38.42578125" bestFit="1" customWidth="1"/>
    <col min="4" max="4" width="32.85546875" bestFit="1" customWidth="1"/>
    <col min="5" max="5" width="6.85546875" bestFit="1" customWidth="1"/>
  </cols>
  <sheetData>
    <row r="3" spans="1:10">
      <c r="A3" s="1" t="s">
        <v>219</v>
      </c>
      <c r="B3" s="1" t="s">
        <v>220</v>
      </c>
    </row>
    <row r="4" spans="1:10">
      <c r="A4" s="1" t="s">
        <v>221</v>
      </c>
      <c r="B4" t="s">
        <v>23</v>
      </c>
      <c r="C4" t="s">
        <v>32</v>
      </c>
      <c r="D4" t="s">
        <v>222</v>
      </c>
    </row>
    <row r="5" spans="1:10">
      <c r="A5" s="2" t="s">
        <v>28</v>
      </c>
      <c r="B5" s="3">
        <v>3366.5492957746478</v>
      </c>
      <c r="C5" s="3">
        <v>4053.6764705882351</v>
      </c>
      <c r="D5" s="3">
        <v>3702.6978417266187</v>
      </c>
    </row>
    <row r="6" spans="1:10">
      <c r="A6" s="2" t="s">
        <v>24</v>
      </c>
      <c r="B6" s="3">
        <v>3527.205882352941</v>
      </c>
      <c r="C6" s="3">
        <v>3938.6363636363635</v>
      </c>
      <c r="D6" s="3">
        <v>3729.8507462686566</v>
      </c>
    </row>
    <row r="7" spans="1:10">
      <c r="A7" s="2" t="s">
        <v>17</v>
      </c>
      <c r="B7" s="3">
        <v>4679.7413793103451</v>
      </c>
      <c r="C7" s="3">
        <v>5488.75</v>
      </c>
      <c r="D7" s="3">
        <v>5091.1016949152545</v>
      </c>
    </row>
    <row r="8" spans="1:10">
      <c r="A8" s="2" t="s">
        <v>222</v>
      </c>
      <c r="B8" s="3">
        <v>3867.3312883435583</v>
      </c>
      <c r="C8" s="3">
        <v>4564.9068322981366</v>
      </c>
      <c r="D8" s="3">
        <v>4213.9660493827159</v>
      </c>
    </row>
    <row r="10" spans="1:10">
      <c r="A10" s="5" t="s">
        <v>223</v>
      </c>
    </row>
    <row r="12" spans="1:10">
      <c r="A12" s="1" t="s">
        <v>224</v>
      </c>
      <c r="B12" s="1" t="s">
        <v>220</v>
      </c>
    </row>
    <row r="13" spans="1:10">
      <c r="A13" s="1" t="s">
        <v>221</v>
      </c>
      <c r="B13" t="s">
        <v>225</v>
      </c>
      <c r="C13" t="s">
        <v>226</v>
      </c>
      <c r="D13" t="s">
        <v>227</v>
      </c>
      <c r="E13" t="s">
        <v>228</v>
      </c>
      <c r="F13" t="s">
        <v>229</v>
      </c>
      <c r="G13" t="s">
        <v>230</v>
      </c>
      <c r="H13" t="s">
        <v>231</v>
      </c>
      <c r="I13" t="s">
        <v>232</v>
      </c>
      <c r="J13" t="s">
        <v>222</v>
      </c>
    </row>
    <row r="14" spans="1:10">
      <c r="A14" s="2" t="s">
        <v>28</v>
      </c>
      <c r="B14">
        <v>20</v>
      </c>
      <c r="C14">
        <v>49</v>
      </c>
      <c r="D14">
        <v>45</v>
      </c>
      <c r="E14">
        <v>22</v>
      </c>
      <c r="F14">
        <v>3</v>
      </c>
      <c r="J14">
        <v>139</v>
      </c>
    </row>
    <row r="15" spans="1:10">
      <c r="A15" s="2" t="s">
        <v>24</v>
      </c>
      <c r="B15">
        <v>2</v>
      </c>
      <c r="C15">
        <v>30</v>
      </c>
      <c r="D15">
        <v>28</v>
      </c>
      <c r="E15">
        <v>6</v>
      </c>
      <c r="F15">
        <v>1</v>
      </c>
      <c r="J15">
        <v>67</v>
      </c>
    </row>
    <row r="16" spans="1:10">
      <c r="A16" s="2" t="s">
        <v>17</v>
      </c>
      <c r="D16">
        <v>2</v>
      </c>
      <c r="E16">
        <v>24</v>
      </c>
      <c r="F16">
        <v>40</v>
      </c>
      <c r="G16">
        <v>35</v>
      </c>
      <c r="H16">
        <v>16</v>
      </c>
      <c r="I16">
        <v>1</v>
      </c>
      <c r="J16">
        <v>118</v>
      </c>
    </row>
    <row r="17" spans="1:10">
      <c r="A17" s="2" t="s">
        <v>222</v>
      </c>
      <c r="B17">
        <v>22</v>
      </c>
      <c r="C17">
        <v>79</v>
      </c>
      <c r="D17">
        <v>75</v>
      </c>
      <c r="E17">
        <v>52</v>
      </c>
      <c r="F17">
        <v>44</v>
      </c>
      <c r="G17">
        <v>35</v>
      </c>
      <c r="H17">
        <v>16</v>
      </c>
      <c r="I17">
        <v>1</v>
      </c>
      <c r="J17">
        <v>324</v>
      </c>
    </row>
    <row r="19" spans="1:10">
      <c r="A19" s="4" t="s">
        <v>233</v>
      </c>
    </row>
  </sheetData>
  <phoneticPr fontId="18" type="noConversion"/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9BB25-12A7-EE46-8647-2CEDC1882E3E}">
  <dimension ref="A1:P268"/>
  <sheetViews>
    <sheetView tabSelected="1" workbookViewId="0">
      <selection activeCell="F276" sqref="F276"/>
    </sheetView>
  </sheetViews>
  <sheetFormatPr baseColWidth="10" defaultColWidth="10.7109375" defaultRowHeight="18"/>
  <cols>
    <col min="1" max="1" width="10.28515625" bestFit="1" customWidth="1"/>
    <col min="2" max="3" width="9.85546875" customWidth="1"/>
    <col min="4" max="4" width="13.28515625" customWidth="1"/>
    <col min="5" max="5" width="19.85546875" bestFit="1" customWidth="1"/>
    <col min="6" max="6" width="15.140625" bestFit="1" customWidth="1"/>
    <col min="7" max="7" width="9.85546875" customWidth="1"/>
    <col min="8" max="9" width="11.5703125" customWidth="1"/>
    <col min="10" max="10" width="13.28515625" customWidth="1"/>
    <col min="11" max="12" width="11.5703125" customWidth="1"/>
    <col min="13" max="13" width="6.7109375" bestFit="1" customWidth="1"/>
    <col min="14" max="14" width="16.7109375" customWidth="1"/>
    <col min="15" max="15" width="12" bestFit="1" customWidth="1"/>
    <col min="16" max="16" width="15" customWidth="1"/>
  </cols>
  <sheetData>
    <row r="1" spans="1:16">
      <c r="A1" s="8" t="s">
        <v>234</v>
      </c>
      <c r="B1" s="8" t="s">
        <v>235</v>
      </c>
      <c r="C1" s="8" t="s">
        <v>236</v>
      </c>
      <c r="D1" s="8" t="s">
        <v>237</v>
      </c>
      <c r="E1" s="8" t="s">
        <v>238</v>
      </c>
      <c r="F1" s="8" t="s">
        <v>239</v>
      </c>
      <c r="G1" s="8" t="s">
        <v>240</v>
      </c>
      <c r="H1" s="8" t="s">
        <v>241</v>
      </c>
      <c r="I1" s="8" t="s">
        <v>242</v>
      </c>
      <c r="J1" s="8" t="s">
        <v>243</v>
      </c>
      <c r="K1" s="8" t="s">
        <v>244</v>
      </c>
      <c r="L1" s="8" t="s">
        <v>245</v>
      </c>
      <c r="M1" s="8" t="s">
        <v>246</v>
      </c>
      <c r="N1" s="8" t="s">
        <v>247</v>
      </c>
      <c r="O1" s="8" t="s">
        <v>248</v>
      </c>
      <c r="P1" s="8" t="s">
        <v>249</v>
      </c>
    </row>
    <row r="2" spans="1:16">
      <c r="A2" s="8" t="s">
        <v>250</v>
      </c>
      <c r="B2" s="9" t="s">
        <v>251</v>
      </c>
      <c r="C2" s="9">
        <v>2025</v>
      </c>
      <c r="D2" s="9" t="s">
        <v>252</v>
      </c>
      <c r="E2" s="9" t="s">
        <v>253</v>
      </c>
      <c r="F2" s="9" t="s">
        <v>254</v>
      </c>
      <c r="G2" s="9">
        <v>95.2</v>
      </c>
      <c r="H2" s="9">
        <v>36.200000000000003</v>
      </c>
      <c r="I2" s="9">
        <v>632.1</v>
      </c>
      <c r="J2" s="9">
        <v>4.5</v>
      </c>
      <c r="K2" s="9">
        <v>1.5</v>
      </c>
      <c r="L2" s="9">
        <v>2.9000000000000001E-2</v>
      </c>
      <c r="M2" s="9">
        <v>125.7</v>
      </c>
      <c r="N2" s="9">
        <v>28.4</v>
      </c>
      <c r="O2" s="9" t="s">
        <v>255</v>
      </c>
      <c r="P2" s="10">
        <v>46072</v>
      </c>
    </row>
    <row r="3" spans="1:16">
      <c r="A3" s="8" t="s">
        <v>250</v>
      </c>
      <c r="B3" s="9" t="s">
        <v>251</v>
      </c>
      <c r="C3" s="9">
        <v>2025</v>
      </c>
      <c r="D3" s="9" t="s">
        <v>252</v>
      </c>
      <c r="E3" s="9" t="s">
        <v>256</v>
      </c>
      <c r="F3" s="9" t="s">
        <v>254</v>
      </c>
      <c r="G3" s="9">
        <v>84.1</v>
      </c>
      <c r="H3" s="9">
        <v>25.3</v>
      </c>
      <c r="I3" s="9">
        <v>607.1</v>
      </c>
      <c r="J3" s="9">
        <v>4.5999999999999996</v>
      </c>
      <c r="K3" s="9">
        <v>1.4</v>
      </c>
      <c r="L3" s="9">
        <v>2.7E-2</v>
      </c>
      <c r="M3" s="9">
        <v>100.9</v>
      </c>
      <c r="N3" s="9">
        <v>23.3</v>
      </c>
      <c r="O3" s="9" t="s">
        <v>255</v>
      </c>
      <c r="P3" s="10">
        <v>46072</v>
      </c>
    </row>
    <row r="4" spans="1:16">
      <c r="A4" s="8" t="s">
        <v>250</v>
      </c>
      <c r="B4" s="9" t="s">
        <v>257</v>
      </c>
      <c r="C4" s="9">
        <v>2025</v>
      </c>
      <c r="D4" s="9" t="s">
        <v>252</v>
      </c>
      <c r="E4" s="9" t="s">
        <v>258</v>
      </c>
      <c r="F4" s="9" t="s">
        <v>254</v>
      </c>
      <c r="G4" s="9">
        <v>85.1</v>
      </c>
      <c r="H4" s="9">
        <v>38.5</v>
      </c>
      <c r="I4" s="9">
        <v>549.6</v>
      </c>
      <c r="J4" s="9">
        <v>7.2</v>
      </c>
      <c r="K4" s="9">
        <v>1.3</v>
      </c>
      <c r="L4" s="9">
        <v>4.2000000000000003E-2</v>
      </c>
      <c r="M4" s="9">
        <v>70.5</v>
      </c>
      <c r="N4" s="9">
        <v>24.6</v>
      </c>
      <c r="O4" s="9" t="s">
        <v>255</v>
      </c>
      <c r="P4" s="10">
        <v>46072</v>
      </c>
    </row>
    <row r="5" spans="1:16">
      <c r="A5" s="8" t="s">
        <v>250</v>
      </c>
      <c r="B5" s="9" t="s">
        <v>257</v>
      </c>
      <c r="C5" s="9">
        <v>2025</v>
      </c>
      <c r="D5" s="9" t="s">
        <v>252</v>
      </c>
      <c r="E5" s="9" t="s">
        <v>259</v>
      </c>
      <c r="F5" s="9" t="s">
        <v>254</v>
      </c>
      <c r="G5" s="9">
        <v>98.1</v>
      </c>
      <c r="H5" s="9">
        <v>33.1</v>
      </c>
      <c r="I5" s="9">
        <v>614.70000000000005</v>
      </c>
      <c r="J5" s="9">
        <v>3.7</v>
      </c>
      <c r="K5" s="9">
        <v>1.4</v>
      </c>
      <c r="L5" s="9">
        <v>3.4000000000000002E-2</v>
      </c>
      <c r="M5" s="9">
        <v>82.8</v>
      </c>
      <c r="N5" s="9">
        <v>27.2</v>
      </c>
      <c r="O5" s="9" t="s">
        <v>255</v>
      </c>
      <c r="P5" s="10">
        <v>46072</v>
      </c>
    </row>
    <row r="6" spans="1:16">
      <c r="A6" s="8" t="s">
        <v>250</v>
      </c>
      <c r="B6" s="9" t="s">
        <v>257</v>
      </c>
      <c r="C6" s="9">
        <v>2025</v>
      </c>
      <c r="D6" s="9" t="s">
        <v>252</v>
      </c>
      <c r="E6" s="9" t="s">
        <v>260</v>
      </c>
      <c r="F6" s="9" t="s">
        <v>254</v>
      </c>
      <c r="G6" s="9">
        <v>69.2</v>
      </c>
      <c r="H6" s="9">
        <v>18.600000000000001</v>
      </c>
      <c r="I6" s="9">
        <v>536.9</v>
      </c>
      <c r="J6" s="9">
        <v>2.7</v>
      </c>
      <c r="K6" s="9">
        <v>1.3</v>
      </c>
      <c r="L6" s="9">
        <v>2.5000000000000001E-2</v>
      </c>
      <c r="M6" s="9">
        <v>50.3</v>
      </c>
      <c r="N6" s="9">
        <v>20.399999999999999</v>
      </c>
      <c r="O6" s="9" t="s">
        <v>255</v>
      </c>
      <c r="P6" s="10">
        <v>46072</v>
      </c>
    </row>
    <row r="7" spans="1:16">
      <c r="A7" s="8" t="s">
        <v>250</v>
      </c>
      <c r="B7" s="9" t="s">
        <v>257</v>
      </c>
      <c r="C7" s="9">
        <v>2025</v>
      </c>
      <c r="D7" s="9" t="s">
        <v>252</v>
      </c>
      <c r="E7" s="9" t="s">
        <v>261</v>
      </c>
      <c r="F7" s="9" t="s">
        <v>254</v>
      </c>
      <c r="G7" s="9">
        <v>92.1</v>
      </c>
      <c r="H7" s="9">
        <v>23.1</v>
      </c>
      <c r="I7" s="9">
        <v>675.7</v>
      </c>
      <c r="J7" s="9">
        <v>3.6</v>
      </c>
      <c r="K7" s="9">
        <v>1.2</v>
      </c>
      <c r="L7" s="9">
        <v>1.7999999999999999E-2</v>
      </c>
      <c r="M7" s="9">
        <v>54.9</v>
      </c>
      <c r="N7" s="9">
        <v>10.8</v>
      </c>
      <c r="O7" s="9" t="s">
        <v>255</v>
      </c>
      <c r="P7" s="10">
        <v>46072</v>
      </c>
    </row>
    <row r="8" spans="1:16">
      <c r="A8" s="8" t="s">
        <v>250</v>
      </c>
      <c r="B8" s="9" t="s">
        <v>257</v>
      </c>
      <c r="C8" s="9">
        <v>2025</v>
      </c>
      <c r="D8" s="9" t="s">
        <v>252</v>
      </c>
      <c r="E8" s="9" t="s">
        <v>262</v>
      </c>
      <c r="F8" s="9" t="s">
        <v>254</v>
      </c>
      <c r="G8" s="9">
        <v>78.900000000000006</v>
      </c>
      <c r="H8" s="9">
        <v>12.2</v>
      </c>
      <c r="I8" s="9">
        <v>616.9</v>
      </c>
      <c r="J8" s="9">
        <v>2.7</v>
      </c>
      <c r="K8" s="9">
        <v>1.4</v>
      </c>
      <c r="L8" s="9">
        <v>2.9000000000000001E-2</v>
      </c>
      <c r="M8" s="9">
        <v>63.9</v>
      </c>
      <c r="N8" s="9">
        <v>26.9</v>
      </c>
      <c r="O8" s="9" t="s">
        <v>255</v>
      </c>
      <c r="P8" s="10">
        <v>46072</v>
      </c>
    </row>
    <row r="9" spans="1:16">
      <c r="A9" s="8" t="s">
        <v>250</v>
      </c>
      <c r="B9" s="9" t="s">
        <v>263</v>
      </c>
      <c r="C9" s="9">
        <v>2025</v>
      </c>
      <c r="D9" s="9" t="s">
        <v>252</v>
      </c>
      <c r="E9" s="9" t="s">
        <v>264</v>
      </c>
      <c r="F9" s="9" t="s">
        <v>254</v>
      </c>
      <c r="G9" s="9">
        <v>82.3</v>
      </c>
      <c r="H9" s="9">
        <v>34.700000000000003</v>
      </c>
      <c r="I9" s="9">
        <v>597.4</v>
      </c>
      <c r="J9" s="9">
        <v>3</v>
      </c>
      <c r="K9" s="9">
        <v>1.2</v>
      </c>
      <c r="L9" s="9">
        <v>0.02</v>
      </c>
      <c r="M9" s="9">
        <v>44.9</v>
      </c>
      <c r="N9" s="9">
        <v>28.6</v>
      </c>
      <c r="O9" s="9" t="s">
        <v>255</v>
      </c>
      <c r="P9" s="10">
        <v>46072</v>
      </c>
    </row>
    <row r="10" spans="1:16">
      <c r="A10" s="8" t="s">
        <v>250</v>
      </c>
      <c r="B10" s="9" t="s">
        <v>263</v>
      </c>
      <c r="C10" s="9">
        <v>2025</v>
      </c>
      <c r="D10" s="9" t="s">
        <v>252</v>
      </c>
      <c r="E10" s="9" t="s">
        <v>265</v>
      </c>
      <c r="F10" s="9" t="s">
        <v>254</v>
      </c>
      <c r="G10" s="9">
        <v>76.099999999999994</v>
      </c>
      <c r="H10" s="9">
        <v>19.2</v>
      </c>
      <c r="I10" s="9">
        <v>514.5</v>
      </c>
      <c r="J10" s="9">
        <v>2</v>
      </c>
      <c r="K10" s="9">
        <v>1.1000000000000001</v>
      </c>
      <c r="L10" s="9">
        <v>2.5000000000000001E-2</v>
      </c>
      <c r="M10" s="9">
        <v>33.6</v>
      </c>
      <c r="N10" s="9">
        <v>14.4</v>
      </c>
      <c r="O10" s="9" t="s">
        <v>255</v>
      </c>
      <c r="P10" s="10">
        <v>46072</v>
      </c>
    </row>
    <row r="11" spans="1:16">
      <c r="A11" s="8" t="s">
        <v>250</v>
      </c>
      <c r="B11" s="9" t="s">
        <v>263</v>
      </c>
      <c r="C11" s="9">
        <v>2025</v>
      </c>
      <c r="D11" s="9" t="s">
        <v>252</v>
      </c>
      <c r="E11" s="9" t="s">
        <v>266</v>
      </c>
      <c r="F11" s="9" t="s">
        <v>254</v>
      </c>
      <c r="G11" s="9">
        <v>36.700000000000003</v>
      </c>
      <c r="H11" s="9">
        <v>11.4</v>
      </c>
      <c r="I11" s="9">
        <v>500.2</v>
      </c>
      <c r="J11" s="9">
        <v>2.7</v>
      </c>
      <c r="K11" s="9">
        <v>1.1000000000000001</v>
      </c>
      <c r="L11" s="9">
        <v>2.4E-2</v>
      </c>
      <c r="M11" s="9">
        <v>42.2</v>
      </c>
      <c r="N11" s="9">
        <v>19.8</v>
      </c>
      <c r="O11" s="9" t="s">
        <v>255</v>
      </c>
      <c r="P11" s="10">
        <v>46072</v>
      </c>
    </row>
    <row r="12" spans="1:16">
      <c r="A12" s="8" t="s">
        <v>250</v>
      </c>
      <c r="B12" s="9" t="s">
        <v>251</v>
      </c>
      <c r="C12" s="9">
        <v>2025</v>
      </c>
      <c r="D12" s="9" t="s">
        <v>267</v>
      </c>
      <c r="E12" s="9" t="s">
        <v>268</v>
      </c>
      <c r="F12" s="9" t="s">
        <v>254</v>
      </c>
      <c r="G12" s="9">
        <v>97.1</v>
      </c>
      <c r="H12" s="9">
        <v>39.5</v>
      </c>
      <c r="I12" s="9">
        <v>703.7</v>
      </c>
      <c r="J12" s="9">
        <v>4</v>
      </c>
      <c r="K12" s="9">
        <v>1.7</v>
      </c>
      <c r="L12" s="9">
        <v>2.4E-2</v>
      </c>
      <c r="M12" s="9">
        <v>82.5</v>
      </c>
      <c r="N12" s="9">
        <v>38.6</v>
      </c>
      <c r="O12" s="9" t="s">
        <v>255</v>
      </c>
      <c r="P12" s="10">
        <v>46072</v>
      </c>
    </row>
    <row r="13" spans="1:16">
      <c r="A13" s="8" t="s">
        <v>250</v>
      </c>
      <c r="B13" s="9" t="s">
        <v>251</v>
      </c>
      <c r="C13" s="9">
        <v>2025</v>
      </c>
      <c r="D13" s="9" t="s">
        <v>267</v>
      </c>
      <c r="E13" s="9" t="s">
        <v>269</v>
      </c>
      <c r="F13" s="9" t="s">
        <v>254</v>
      </c>
      <c r="G13" s="9">
        <v>76</v>
      </c>
      <c r="H13" s="9">
        <v>38</v>
      </c>
      <c r="I13" s="9">
        <v>635.79999999999995</v>
      </c>
      <c r="J13" s="9">
        <v>5.2</v>
      </c>
      <c r="K13" s="9">
        <v>1.9</v>
      </c>
      <c r="L13" s="9">
        <v>4.5999999999999999E-2</v>
      </c>
      <c r="M13" s="9">
        <v>280.89999999999998</v>
      </c>
      <c r="N13" s="9">
        <v>25.8</v>
      </c>
      <c r="O13" s="9" t="s">
        <v>255</v>
      </c>
      <c r="P13" s="10">
        <v>46072</v>
      </c>
    </row>
    <row r="14" spans="1:16">
      <c r="A14" s="8" t="s">
        <v>250</v>
      </c>
      <c r="B14" s="9" t="s">
        <v>251</v>
      </c>
      <c r="C14" s="9">
        <v>2025</v>
      </c>
      <c r="D14" s="9" t="s">
        <v>267</v>
      </c>
      <c r="E14" s="9" t="s">
        <v>270</v>
      </c>
      <c r="F14" s="9" t="s">
        <v>254</v>
      </c>
      <c r="G14" s="9">
        <v>89.7</v>
      </c>
      <c r="H14" s="9">
        <v>26.5</v>
      </c>
      <c r="I14" s="9">
        <v>806.4</v>
      </c>
      <c r="J14" s="9">
        <v>5.7</v>
      </c>
      <c r="K14" s="9">
        <v>2</v>
      </c>
      <c r="L14" s="9">
        <v>5.3999999999999999E-2</v>
      </c>
      <c r="M14" s="9">
        <v>160.4</v>
      </c>
      <c r="N14" s="9">
        <v>29.7</v>
      </c>
      <c r="O14" s="9" t="s">
        <v>255</v>
      </c>
      <c r="P14" s="10">
        <v>46072</v>
      </c>
    </row>
    <row r="15" spans="1:16">
      <c r="A15" s="8" t="s">
        <v>250</v>
      </c>
      <c r="B15" s="9" t="s">
        <v>251</v>
      </c>
      <c r="C15" s="9">
        <v>2025</v>
      </c>
      <c r="D15" s="9" t="s">
        <v>267</v>
      </c>
      <c r="E15" s="9" t="s">
        <v>271</v>
      </c>
      <c r="F15" s="9" t="s">
        <v>254</v>
      </c>
      <c r="G15" s="9">
        <v>52.8</v>
      </c>
      <c r="H15" s="9">
        <v>22.9</v>
      </c>
      <c r="I15" s="9">
        <v>501.3</v>
      </c>
      <c r="J15" s="9">
        <v>3.5</v>
      </c>
      <c r="K15" s="9">
        <v>1.7</v>
      </c>
      <c r="L15" s="9">
        <v>3.5000000000000003E-2</v>
      </c>
      <c r="M15" s="9">
        <v>248.8</v>
      </c>
      <c r="N15" s="9">
        <v>16.600000000000001</v>
      </c>
      <c r="O15" s="9" t="s">
        <v>255</v>
      </c>
      <c r="P15" s="10">
        <v>46072</v>
      </c>
    </row>
    <row r="16" spans="1:16">
      <c r="A16" s="8" t="s">
        <v>250</v>
      </c>
      <c r="B16" s="9" t="s">
        <v>251</v>
      </c>
      <c r="C16" s="9">
        <v>2025</v>
      </c>
      <c r="D16" s="9" t="s">
        <v>267</v>
      </c>
      <c r="E16" s="9" t="s">
        <v>272</v>
      </c>
      <c r="F16" s="9" t="s">
        <v>254</v>
      </c>
      <c r="G16" s="9">
        <v>69.7</v>
      </c>
      <c r="H16" s="9">
        <v>19</v>
      </c>
      <c r="I16" s="9">
        <v>526.4</v>
      </c>
      <c r="J16" s="9">
        <v>3.6</v>
      </c>
      <c r="K16" s="9">
        <v>1.9</v>
      </c>
      <c r="L16" s="9">
        <v>4.3999999999999997E-2</v>
      </c>
      <c r="M16" s="9">
        <v>77</v>
      </c>
      <c r="N16" s="9">
        <v>19.3</v>
      </c>
      <c r="O16" s="9" t="s">
        <v>255</v>
      </c>
      <c r="P16" s="10">
        <v>46072</v>
      </c>
    </row>
    <row r="17" spans="1:16">
      <c r="A17" s="8" t="s">
        <v>250</v>
      </c>
      <c r="B17" s="9" t="s">
        <v>251</v>
      </c>
      <c r="C17" s="9">
        <v>2025</v>
      </c>
      <c r="D17" s="9" t="s">
        <v>267</v>
      </c>
      <c r="E17" s="9" t="s">
        <v>273</v>
      </c>
      <c r="F17" s="9" t="s">
        <v>254</v>
      </c>
      <c r="G17" s="9">
        <v>55</v>
      </c>
      <c r="H17" s="9">
        <v>15.8</v>
      </c>
      <c r="I17" s="9">
        <v>524.79999999999995</v>
      </c>
      <c r="J17" s="9">
        <v>3.2</v>
      </c>
      <c r="K17" s="9">
        <v>1.8</v>
      </c>
      <c r="L17" s="9">
        <v>4.1000000000000002E-2</v>
      </c>
      <c r="M17" s="9">
        <v>68.5</v>
      </c>
      <c r="N17" s="9">
        <v>21.6</v>
      </c>
      <c r="O17" s="9" t="s">
        <v>255</v>
      </c>
      <c r="P17" s="10">
        <v>46072</v>
      </c>
    </row>
    <row r="18" spans="1:16">
      <c r="A18" s="8" t="s">
        <v>250</v>
      </c>
      <c r="B18" s="9" t="s">
        <v>274</v>
      </c>
      <c r="C18" s="9">
        <v>2025</v>
      </c>
      <c r="D18" s="9" t="s">
        <v>267</v>
      </c>
      <c r="E18" s="9" t="s">
        <v>275</v>
      </c>
      <c r="F18" s="9" t="s">
        <v>254</v>
      </c>
      <c r="G18" s="9">
        <v>78.400000000000006</v>
      </c>
      <c r="H18" s="9">
        <v>18.3</v>
      </c>
      <c r="I18" s="9">
        <v>505.8</v>
      </c>
      <c r="J18" s="9">
        <v>2.5</v>
      </c>
      <c r="K18" s="9">
        <v>1.8</v>
      </c>
      <c r="L18" s="9">
        <v>2.9000000000000001E-2</v>
      </c>
      <c r="M18" s="9">
        <v>41.3</v>
      </c>
      <c r="N18" s="9">
        <v>17.7</v>
      </c>
      <c r="O18" s="9" t="s">
        <v>255</v>
      </c>
      <c r="P18" s="10">
        <v>46072</v>
      </c>
    </row>
    <row r="19" spans="1:16">
      <c r="A19" s="8" t="s">
        <v>250</v>
      </c>
      <c r="B19" s="9" t="s">
        <v>274</v>
      </c>
      <c r="C19" s="9">
        <v>2025</v>
      </c>
      <c r="D19" s="9" t="s">
        <v>267</v>
      </c>
      <c r="E19" s="9" t="s">
        <v>276</v>
      </c>
      <c r="F19" s="9" t="s">
        <v>254</v>
      </c>
      <c r="G19" s="9">
        <v>52.2</v>
      </c>
      <c r="H19" s="9">
        <v>26</v>
      </c>
      <c r="I19" s="9">
        <v>545.9</v>
      </c>
      <c r="J19" s="9">
        <v>4.5</v>
      </c>
      <c r="K19" s="9">
        <v>1.7</v>
      </c>
      <c r="L19" s="9">
        <v>2.1999999999999999E-2</v>
      </c>
      <c r="M19" s="9">
        <v>73.400000000000006</v>
      </c>
      <c r="N19" s="9">
        <v>11.6</v>
      </c>
      <c r="O19" s="9" t="s">
        <v>255</v>
      </c>
      <c r="P19" s="10">
        <v>46072</v>
      </c>
    </row>
    <row r="20" spans="1:16">
      <c r="A20" s="8" t="s">
        <v>250</v>
      </c>
      <c r="B20" s="9" t="s">
        <v>277</v>
      </c>
      <c r="C20" s="9">
        <v>2025</v>
      </c>
      <c r="D20" s="9" t="s">
        <v>267</v>
      </c>
      <c r="E20" s="9" t="s">
        <v>278</v>
      </c>
      <c r="F20" s="9" t="s">
        <v>254</v>
      </c>
      <c r="G20" s="9">
        <v>46.6</v>
      </c>
      <c r="H20" s="9">
        <v>24.9</v>
      </c>
      <c r="I20" s="9">
        <v>543.6</v>
      </c>
      <c r="J20" s="9">
        <v>3.2</v>
      </c>
      <c r="K20" s="9">
        <v>1.1000000000000001</v>
      </c>
      <c r="L20" s="9">
        <v>1.9E-2</v>
      </c>
      <c r="M20" s="9">
        <v>55.2</v>
      </c>
      <c r="N20" s="9">
        <v>20</v>
      </c>
      <c r="O20" s="9" t="s">
        <v>255</v>
      </c>
      <c r="P20" s="10">
        <v>46072</v>
      </c>
    </row>
    <row r="21" spans="1:16">
      <c r="A21" s="8" t="s">
        <v>250</v>
      </c>
      <c r="B21" s="9" t="s">
        <v>277</v>
      </c>
      <c r="C21" s="9">
        <v>2025</v>
      </c>
      <c r="D21" s="9" t="s">
        <v>267</v>
      </c>
      <c r="E21" s="9" t="s">
        <v>279</v>
      </c>
      <c r="F21" s="9" t="s">
        <v>254</v>
      </c>
      <c r="G21" s="9">
        <v>53</v>
      </c>
      <c r="H21" s="9">
        <v>22.7</v>
      </c>
      <c r="I21" s="9">
        <v>503.5</v>
      </c>
      <c r="J21" s="9">
        <v>2.6</v>
      </c>
      <c r="K21" s="9">
        <v>1.1000000000000001</v>
      </c>
      <c r="L21" s="9">
        <v>1.2999999999999999E-2</v>
      </c>
      <c r="M21" s="9">
        <v>50.1</v>
      </c>
      <c r="N21" s="9">
        <v>17.2</v>
      </c>
      <c r="O21" s="9" t="s">
        <v>255</v>
      </c>
      <c r="P21" s="10">
        <v>46072</v>
      </c>
    </row>
    <row r="22" spans="1:16">
      <c r="A22" s="8" t="s">
        <v>250</v>
      </c>
      <c r="B22" s="9" t="s">
        <v>277</v>
      </c>
      <c r="C22" s="9">
        <v>2025</v>
      </c>
      <c r="D22" s="9" t="s">
        <v>267</v>
      </c>
      <c r="E22" s="9" t="s">
        <v>280</v>
      </c>
      <c r="F22" s="9" t="s">
        <v>254</v>
      </c>
      <c r="G22" s="9">
        <v>51.8</v>
      </c>
      <c r="H22" s="9">
        <v>19.5</v>
      </c>
      <c r="I22" s="9">
        <v>492.4</v>
      </c>
      <c r="J22" s="9">
        <v>5.4</v>
      </c>
      <c r="K22" s="9">
        <v>1.3</v>
      </c>
      <c r="L22" s="9">
        <v>1.7000000000000001E-2</v>
      </c>
      <c r="M22" s="9">
        <v>43.8</v>
      </c>
      <c r="N22" s="9">
        <v>18.899999999999999</v>
      </c>
      <c r="O22" s="9" t="s">
        <v>255</v>
      </c>
      <c r="P22" s="10">
        <v>46072</v>
      </c>
    </row>
    <row r="23" spans="1:16">
      <c r="A23" s="8" t="s">
        <v>250</v>
      </c>
      <c r="B23" s="9" t="s">
        <v>281</v>
      </c>
      <c r="C23" s="9">
        <v>2025</v>
      </c>
      <c r="D23" s="9" t="s">
        <v>267</v>
      </c>
      <c r="E23" s="9" t="s">
        <v>282</v>
      </c>
      <c r="F23" s="9" t="s">
        <v>254</v>
      </c>
      <c r="G23" s="9">
        <v>73.2</v>
      </c>
      <c r="H23" s="9">
        <v>38.5</v>
      </c>
      <c r="I23" s="9">
        <v>625.70000000000005</v>
      </c>
      <c r="J23" s="9">
        <v>5.7</v>
      </c>
      <c r="K23" s="9">
        <v>1.5</v>
      </c>
      <c r="L23" s="9">
        <v>2.7E-2</v>
      </c>
      <c r="M23" s="9">
        <v>54.6</v>
      </c>
      <c r="N23" s="9">
        <v>17.5</v>
      </c>
      <c r="O23" s="9" t="s">
        <v>255</v>
      </c>
      <c r="P23" s="10">
        <v>46072</v>
      </c>
    </row>
    <row r="24" spans="1:16">
      <c r="A24" s="8" t="s">
        <v>250</v>
      </c>
      <c r="B24" s="9" t="s">
        <v>281</v>
      </c>
      <c r="C24" s="9">
        <v>2025</v>
      </c>
      <c r="D24" s="9" t="s">
        <v>267</v>
      </c>
      <c r="E24" s="9" t="s">
        <v>283</v>
      </c>
      <c r="F24" s="9" t="s">
        <v>254</v>
      </c>
      <c r="G24" s="9">
        <v>73.400000000000006</v>
      </c>
      <c r="H24" s="9">
        <v>21.4</v>
      </c>
      <c r="I24" s="9">
        <v>623.4</v>
      </c>
      <c r="J24" s="9">
        <v>5.6</v>
      </c>
      <c r="K24" s="9">
        <v>1.5</v>
      </c>
      <c r="L24" s="9">
        <v>1.7999999999999999E-2</v>
      </c>
      <c r="M24" s="9">
        <v>59.5</v>
      </c>
      <c r="N24" s="9">
        <v>18</v>
      </c>
      <c r="O24" s="9" t="s">
        <v>255</v>
      </c>
      <c r="P24" s="10">
        <v>46072</v>
      </c>
    </row>
    <row r="25" spans="1:16">
      <c r="A25" s="8" t="s">
        <v>250</v>
      </c>
      <c r="B25" s="9" t="s">
        <v>281</v>
      </c>
      <c r="C25" s="9">
        <v>2025</v>
      </c>
      <c r="D25" s="9" t="s">
        <v>267</v>
      </c>
      <c r="E25" s="9" t="s">
        <v>284</v>
      </c>
      <c r="F25" s="9" t="s">
        <v>254</v>
      </c>
      <c r="G25" s="9">
        <v>57.1</v>
      </c>
      <c r="H25" s="9">
        <v>26.7</v>
      </c>
      <c r="I25" s="9">
        <v>715.4</v>
      </c>
      <c r="J25" s="9">
        <v>5</v>
      </c>
      <c r="K25" s="9">
        <v>1.5</v>
      </c>
      <c r="L25" s="9">
        <v>3.4000000000000002E-2</v>
      </c>
      <c r="M25" s="9">
        <v>35.200000000000003</v>
      </c>
      <c r="N25" s="9">
        <v>18.399999999999999</v>
      </c>
      <c r="O25" s="9" t="s">
        <v>255</v>
      </c>
      <c r="P25" s="10">
        <v>46072</v>
      </c>
    </row>
    <row r="26" spans="1:16">
      <c r="A26" s="8" t="s">
        <v>250</v>
      </c>
      <c r="B26" s="9" t="s">
        <v>281</v>
      </c>
      <c r="C26" s="9">
        <v>2025</v>
      </c>
      <c r="D26" s="9" t="s">
        <v>267</v>
      </c>
      <c r="E26" s="9" t="s">
        <v>285</v>
      </c>
      <c r="F26" s="9" t="s">
        <v>254</v>
      </c>
      <c r="G26" s="9">
        <v>54.1</v>
      </c>
      <c r="H26" s="9">
        <v>25.3</v>
      </c>
      <c r="I26" s="9">
        <v>645.1</v>
      </c>
      <c r="J26" s="9">
        <v>4.7</v>
      </c>
      <c r="K26" s="9">
        <v>1.3</v>
      </c>
      <c r="L26" s="9">
        <v>2.8000000000000001E-2</v>
      </c>
      <c r="M26" s="9">
        <v>48.5</v>
      </c>
      <c r="N26" s="9">
        <v>13.4</v>
      </c>
      <c r="O26" s="9" t="s">
        <v>255</v>
      </c>
      <c r="P26" s="10">
        <v>46072</v>
      </c>
    </row>
    <row r="27" spans="1:16">
      <c r="A27" s="8" t="s">
        <v>250</v>
      </c>
      <c r="B27" s="9" t="s">
        <v>286</v>
      </c>
      <c r="C27" s="9">
        <v>2025</v>
      </c>
      <c r="D27" s="9" t="s">
        <v>267</v>
      </c>
      <c r="E27" s="9" t="s">
        <v>287</v>
      </c>
      <c r="F27" s="9" t="s">
        <v>254</v>
      </c>
      <c r="G27" s="9">
        <v>42.2</v>
      </c>
      <c r="H27" s="9">
        <v>26</v>
      </c>
      <c r="I27" s="9">
        <v>613.6</v>
      </c>
      <c r="J27" s="9">
        <v>5.8</v>
      </c>
      <c r="K27" s="9">
        <v>1.5</v>
      </c>
      <c r="L27" s="9">
        <v>1.7000000000000001E-2</v>
      </c>
      <c r="M27" s="9">
        <v>48.9</v>
      </c>
      <c r="N27" s="9">
        <v>14</v>
      </c>
      <c r="O27" s="9" t="s">
        <v>255</v>
      </c>
      <c r="P27" s="10">
        <v>46072</v>
      </c>
    </row>
    <row r="28" spans="1:16">
      <c r="A28" s="8" t="s">
        <v>250</v>
      </c>
      <c r="B28" s="9" t="s">
        <v>286</v>
      </c>
      <c r="C28" s="9">
        <v>2025</v>
      </c>
      <c r="D28" s="9" t="s">
        <v>267</v>
      </c>
      <c r="E28" s="9" t="s">
        <v>288</v>
      </c>
      <c r="F28" s="9" t="s">
        <v>254</v>
      </c>
      <c r="G28" s="9">
        <v>43.4</v>
      </c>
      <c r="H28" s="9">
        <v>16.7</v>
      </c>
      <c r="I28" s="9">
        <v>477.2</v>
      </c>
      <c r="J28" s="9">
        <v>2.1</v>
      </c>
      <c r="K28" s="9">
        <v>1.3</v>
      </c>
      <c r="L28" s="9">
        <v>2.3E-2</v>
      </c>
      <c r="M28" s="9">
        <v>25.2</v>
      </c>
      <c r="N28" s="9">
        <v>11.7</v>
      </c>
      <c r="O28" s="9" t="s">
        <v>255</v>
      </c>
      <c r="P28" s="10">
        <v>46072</v>
      </c>
    </row>
    <row r="29" spans="1:16">
      <c r="A29" s="8" t="s">
        <v>250</v>
      </c>
      <c r="B29" s="9" t="s">
        <v>286</v>
      </c>
      <c r="C29" s="9">
        <v>2025</v>
      </c>
      <c r="D29" s="9" t="s">
        <v>267</v>
      </c>
      <c r="E29" s="9" t="s">
        <v>289</v>
      </c>
      <c r="F29" s="9" t="s">
        <v>254</v>
      </c>
      <c r="G29" s="9">
        <v>58</v>
      </c>
      <c r="H29" s="9">
        <v>21.2</v>
      </c>
      <c r="I29" s="9">
        <v>544.20000000000005</v>
      </c>
      <c r="J29" s="9">
        <v>2.4</v>
      </c>
      <c r="K29" s="9">
        <v>1.2</v>
      </c>
      <c r="L29" s="9">
        <v>2.5999999999999999E-2</v>
      </c>
      <c r="M29" s="9">
        <v>32.299999999999997</v>
      </c>
      <c r="N29" s="9">
        <v>16.3</v>
      </c>
      <c r="O29" s="9" t="s">
        <v>255</v>
      </c>
      <c r="P29" s="10">
        <v>46072</v>
      </c>
    </row>
    <row r="30" spans="1:16">
      <c r="A30" s="8" t="s">
        <v>250</v>
      </c>
      <c r="B30" s="9" t="s">
        <v>290</v>
      </c>
      <c r="C30" s="9">
        <v>2025</v>
      </c>
      <c r="D30" s="9" t="s">
        <v>267</v>
      </c>
      <c r="E30" s="9" t="s">
        <v>291</v>
      </c>
      <c r="F30" s="9" t="s">
        <v>254</v>
      </c>
      <c r="G30" s="9">
        <v>63.7</v>
      </c>
      <c r="H30" s="9">
        <v>31.7</v>
      </c>
      <c r="I30" s="9">
        <v>524.6</v>
      </c>
      <c r="J30" s="9">
        <v>3.8</v>
      </c>
      <c r="K30" s="9">
        <v>1.3</v>
      </c>
      <c r="L30" s="9">
        <v>3.6999999999999998E-2</v>
      </c>
      <c r="M30" s="9">
        <v>44.1</v>
      </c>
      <c r="N30" s="9">
        <v>17.399999999999999</v>
      </c>
      <c r="O30" s="9" t="s">
        <v>255</v>
      </c>
      <c r="P30" s="10">
        <v>46072</v>
      </c>
    </row>
    <row r="31" spans="1:16">
      <c r="A31" s="8" t="s">
        <v>250</v>
      </c>
      <c r="B31" s="9" t="s">
        <v>292</v>
      </c>
      <c r="C31" s="9">
        <v>2025</v>
      </c>
      <c r="D31" s="9" t="s">
        <v>267</v>
      </c>
      <c r="E31" s="9" t="s">
        <v>293</v>
      </c>
      <c r="F31" s="9" t="s">
        <v>254</v>
      </c>
      <c r="G31" s="9">
        <v>66.400000000000006</v>
      </c>
      <c r="H31" s="9">
        <v>21.6</v>
      </c>
      <c r="I31" s="9">
        <v>557.1</v>
      </c>
      <c r="J31" s="9">
        <v>3.4</v>
      </c>
      <c r="K31" s="9">
        <v>1.4</v>
      </c>
      <c r="L31" s="9">
        <v>2.4E-2</v>
      </c>
      <c r="M31" s="9">
        <v>54.8</v>
      </c>
      <c r="N31" s="9">
        <v>15.9</v>
      </c>
      <c r="O31" s="9" t="s">
        <v>255</v>
      </c>
      <c r="P31" s="10">
        <v>46072</v>
      </c>
    </row>
    <row r="32" spans="1:16">
      <c r="A32" s="8" t="s">
        <v>250</v>
      </c>
      <c r="B32" s="9" t="s">
        <v>292</v>
      </c>
      <c r="C32" s="9">
        <v>2025</v>
      </c>
      <c r="D32" s="9" t="s">
        <v>267</v>
      </c>
      <c r="E32" s="9" t="s">
        <v>294</v>
      </c>
      <c r="F32" s="9" t="s">
        <v>254</v>
      </c>
      <c r="G32" s="9">
        <v>66.7</v>
      </c>
      <c r="H32" s="9">
        <v>18</v>
      </c>
      <c r="I32" s="9">
        <v>561.4</v>
      </c>
      <c r="J32" s="9">
        <v>4.9000000000000004</v>
      </c>
      <c r="K32" s="9">
        <v>1.6</v>
      </c>
      <c r="L32" s="9">
        <v>3.7999999999999999E-2</v>
      </c>
      <c r="M32" s="9">
        <v>77.3</v>
      </c>
      <c r="N32" s="9">
        <v>14</v>
      </c>
      <c r="O32" s="9" t="s">
        <v>255</v>
      </c>
      <c r="P32" s="10">
        <v>46072</v>
      </c>
    </row>
    <row r="33" spans="1:16">
      <c r="A33" s="8" t="s">
        <v>250</v>
      </c>
      <c r="B33" s="9" t="s">
        <v>292</v>
      </c>
      <c r="C33" s="9">
        <v>2025</v>
      </c>
      <c r="D33" s="9" t="s">
        <v>267</v>
      </c>
      <c r="E33" s="9" t="s">
        <v>295</v>
      </c>
      <c r="F33" s="9" t="s">
        <v>254</v>
      </c>
      <c r="G33" s="9">
        <v>52.6</v>
      </c>
      <c r="H33" s="9">
        <v>22.5</v>
      </c>
      <c r="I33" s="9">
        <v>542.5</v>
      </c>
      <c r="J33" s="9">
        <v>3.9</v>
      </c>
      <c r="K33" s="9">
        <v>1.5</v>
      </c>
      <c r="L33" s="9">
        <v>3.7999999999999999E-2</v>
      </c>
      <c r="M33" s="9">
        <v>47.3</v>
      </c>
      <c r="N33" s="9">
        <v>12</v>
      </c>
      <c r="O33" s="9" t="s">
        <v>255</v>
      </c>
      <c r="P33" s="10">
        <v>46072</v>
      </c>
    </row>
    <row r="34" spans="1:16">
      <c r="A34" s="8" t="s">
        <v>250</v>
      </c>
      <c r="B34" s="9" t="s">
        <v>292</v>
      </c>
      <c r="C34" s="9">
        <v>2025</v>
      </c>
      <c r="D34" s="9" t="s">
        <v>267</v>
      </c>
      <c r="E34" s="9" t="s">
        <v>296</v>
      </c>
      <c r="F34" s="9" t="s">
        <v>254</v>
      </c>
      <c r="G34" s="9">
        <v>86.6</v>
      </c>
      <c r="H34" s="9">
        <v>16</v>
      </c>
      <c r="I34" s="9">
        <v>683.7</v>
      </c>
      <c r="J34" s="9">
        <v>9.1</v>
      </c>
      <c r="K34" s="9">
        <v>1.7</v>
      </c>
      <c r="L34" s="9">
        <v>6.9000000000000006E-2</v>
      </c>
      <c r="M34" s="9">
        <v>231.3</v>
      </c>
      <c r="N34" s="9">
        <v>19.3</v>
      </c>
      <c r="O34" s="9" t="s">
        <v>255</v>
      </c>
      <c r="P34" s="10">
        <v>46072</v>
      </c>
    </row>
    <row r="35" spans="1:16">
      <c r="A35" s="8" t="s">
        <v>250</v>
      </c>
      <c r="B35" s="9" t="s">
        <v>297</v>
      </c>
      <c r="C35" s="9">
        <v>2025</v>
      </c>
      <c r="D35" s="9" t="s">
        <v>267</v>
      </c>
      <c r="E35" s="9" t="s">
        <v>298</v>
      </c>
      <c r="F35" s="9" t="s">
        <v>254</v>
      </c>
      <c r="G35" s="9">
        <v>65.7</v>
      </c>
      <c r="H35" s="9">
        <v>17.2</v>
      </c>
      <c r="I35" s="9">
        <v>590.9</v>
      </c>
      <c r="J35" s="9">
        <v>3.8</v>
      </c>
      <c r="K35" s="9">
        <v>1.4</v>
      </c>
      <c r="L35" s="9">
        <v>3.3000000000000002E-2</v>
      </c>
      <c r="M35" s="9">
        <v>76.3</v>
      </c>
      <c r="N35" s="9">
        <v>17.3</v>
      </c>
      <c r="O35" s="9" t="s">
        <v>255</v>
      </c>
      <c r="P35" s="10">
        <v>46072</v>
      </c>
    </row>
    <row r="36" spans="1:16">
      <c r="A36" s="8" t="s">
        <v>250</v>
      </c>
      <c r="B36" s="9" t="s">
        <v>299</v>
      </c>
      <c r="C36" s="9">
        <v>2025</v>
      </c>
      <c r="D36" s="9" t="s">
        <v>267</v>
      </c>
      <c r="E36" s="9" t="s">
        <v>300</v>
      </c>
      <c r="F36" s="9" t="s">
        <v>254</v>
      </c>
      <c r="G36" s="9">
        <v>43.3</v>
      </c>
      <c r="H36" s="9">
        <v>14.2</v>
      </c>
      <c r="I36" s="9">
        <v>524.5</v>
      </c>
      <c r="J36" s="9">
        <v>4.9000000000000004</v>
      </c>
      <c r="K36" s="9">
        <v>1.3</v>
      </c>
      <c r="L36" s="9">
        <v>1.7999999999999999E-2</v>
      </c>
      <c r="M36" s="9">
        <v>88.5</v>
      </c>
      <c r="N36" s="9">
        <v>15.7</v>
      </c>
      <c r="O36" s="9" t="s">
        <v>255</v>
      </c>
      <c r="P36" s="10">
        <v>46072</v>
      </c>
    </row>
    <row r="37" spans="1:16">
      <c r="A37" s="8" t="s">
        <v>250</v>
      </c>
      <c r="B37" s="9" t="s">
        <v>299</v>
      </c>
      <c r="C37" s="9">
        <v>2025</v>
      </c>
      <c r="D37" s="9" t="s">
        <v>267</v>
      </c>
      <c r="E37" s="9" t="s">
        <v>301</v>
      </c>
      <c r="F37" s="9" t="s">
        <v>254</v>
      </c>
      <c r="G37" s="9">
        <v>88.6</v>
      </c>
      <c r="H37" s="9">
        <v>41.6</v>
      </c>
      <c r="I37" s="9">
        <v>544.9</v>
      </c>
      <c r="J37" s="9">
        <v>3.2</v>
      </c>
      <c r="K37" s="9">
        <v>1.6</v>
      </c>
      <c r="L37" s="9">
        <v>4.2000000000000003E-2</v>
      </c>
      <c r="M37" s="9">
        <v>71.2</v>
      </c>
      <c r="N37" s="9">
        <v>15.5</v>
      </c>
      <c r="O37" s="9" t="s">
        <v>255</v>
      </c>
      <c r="P37" s="10">
        <v>46072</v>
      </c>
    </row>
    <row r="38" spans="1:16">
      <c r="A38" s="8" t="s">
        <v>250</v>
      </c>
      <c r="B38" s="9" t="s">
        <v>302</v>
      </c>
      <c r="C38" s="9">
        <v>2025</v>
      </c>
      <c r="D38" s="9" t="s">
        <v>267</v>
      </c>
      <c r="E38" s="9" t="s">
        <v>303</v>
      </c>
      <c r="F38" s="9" t="s">
        <v>254</v>
      </c>
      <c r="G38" s="9">
        <v>60.5</v>
      </c>
      <c r="H38" s="9">
        <v>38.299999999999997</v>
      </c>
      <c r="I38" s="9">
        <v>558.29999999999995</v>
      </c>
      <c r="J38" s="9">
        <v>3.6</v>
      </c>
      <c r="K38" s="9">
        <v>1.5</v>
      </c>
      <c r="L38" s="9">
        <v>0.02</v>
      </c>
      <c r="M38" s="9">
        <v>66.8</v>
      </c>
      <c r="N38" s="9">
        <v>16.7</v>
      </c>
      <c r="O38" s="9" t="s">
        <v>255</v>
      </c>
      <c r="P38" s="10">
        <v>46072</v>
      </c>
    </row>
    <row r="39" spans="1:16">
      <c r="A39" s="8" t="s">
        <v>250</v>
      </c>
      <c r="B39" s="9" t="s">
        <v>302</v>
      </c>
      <c r="C39" s="9">
        <v>2025</v>
      </c>
      <c r="D39" s="9" t="s">
        <v>267</v>
      </c>
      <c r="E39" s="9" t="s">
        <v>304</v>
      </c>
      <c r="F39" s="9" t="s">
        <v>254</v>
      </c>
      <c r="G39" s="9">
        <v>83.7</v>
      </c>
      <c r="H39" s="9">
        <v>34.200000000000003</v>
      </c>
      <c r="I39" s="9">
        <v>577.79999999999995</v>
      </c>
      <c r="J39" s="9">
        <v>4.2</v>
      </c>
      <c r="K39" s="9">
        <v>1.7</v>
      </c>
      <c r="L39" s="9">
        <v>0.03</v>
      </c>
      <c r="M39" s="9">
        <v>76.400000000000006</v>
      </c>
      <c r="N39" s="9">
        <v>17.2</v>
      </c>
      <c r="O39" s="9" t="s">
        <v>255</v>
      </c>
      <c r="P39" s="10">
        <v>46072</v>
      </c>
    </row>
    <row r="40" spans="1:16">
      <c r="A40" s="8" t="s">
        <v>250</v>
      </c>
      <c r="B40" s="9" t="s">
        <v>302</v>
      </c>
      <c r="C40" s="9">
        <v>2025</v>
      </c>
      <c r="D40" s="9" t="s">
        <v>267</v>
      </c>
      <c r="E40" s="9" t="s">
        <v>305</v>
      </c>
      <c r="F40" s="9" t="s">
        <v>254</v>
      </c>
      <c r="G40" s="9">
        <v>79.5</v>
      </c>
      <c r="H40" s="9">
        <v>35.799999999999997</v>
      </c>
      <c r="I40" s="9">
        <v>510.3</v>
      </c>
      <c r="J40" s="9">
        <v>3.6</v>
      </c>
      <c r="K40" s="9">
        <v>1.5</v>
      </c>
      <c r="L40" s="9">
        <v>1.7999999999999999E-2</v>
      </c>
      <c r="M40" s="9">
        <v>43.5</v>
      </c>
      <c r="N40" s="9">
        <v>21</v>
      </c>
      <c r="O40" s="9" t="s">
        <v>255</v>
      </c>
      <c r="P40" s="10">
        <v>46072</v>
      </c>
    </row>
    <row r="41" spans="1:16">
      <c r="A41" s="8" t="s">
        <v>250</v>
      </c>
      <c r="B41" s="9" t="s">
        <v>302</v>
      </c>
      <c r="C41" s="9">
        <v>2025</v>
      </c>
      <c r="D41" s="9" t="s">
        <v>267</v>
      </c>
      <c r="E41" s="9" t="s">
        <v>306</v>
      </c>
      <c r="F41" s="9" t="s">
        <v>254</v>
      </c>
      <c r="G41" s="9">
        <v>91.7</v>
      </c>
      <c r="H41" s="9">
        <v>36.9</v>
      </c>
      <c r="I41" s="9">
        <v>510.1</v>
      </c>
      <c r="J41" s="9">
        <v>5</v>
      </c>
      <c r="K41" s="9">
        <v>1.7</v>
      </c>
      <c r="L41" s="9">
        <v>5.3999999999999999E-2</v>
      </c>
      <c r="M41" s="9">
        <v>103.1</v>
      </c>
      <c r="N41" s="9">
        <v>25.4</v>
      </c>
      <c r="O41" s="9" t="s">
        <v>255</v>
      </c>
      <c r="P41" s="10">
        <v>46072</v>
      </c>
    </row>
    <row r="42" spans="1:16">
      <c r="A42" s="8" t="s">
        <v>250</v>
      </c>
      <c r="B42" s="9" t="s">
        <v>302</v>
      </c>
      <c r="C42" s="9">
        <v>2025</v>
      </c>
      <c r="D42" s="9" t="s">
        <v>267</v>
      </c>
      <c r="E42" s="9" t="s">
        <v>307</v>
      </c>
      <c r="F42" s="9" t="s">
        <v>254</v>
      </c>
      <c r="G42" s="9">
        <v>78.900000000000006</v>
      </c>
      <c r="H42" s="9">
        <v>30.6</v>
      </c>
      <c r="I42" s="9">
        <v>480.5</v>
      </c>
      <c r="J42" s="9">
        <v>5.6</v>
      </c>
      <c r="K42" s="9">
        <v>1.7</v>
      </c>
      <c r="L42" s="9">
        <v>4.1000000000000002E-2</v>
      </c>
      <c r="M42" s="9">
        <v>96.3</v>
      </c>
      <c r="N42" s="9">
        <v>20.5</v>
      </c>
      <c r="O42" s="9" t="s">
        <v>255</v>
      </c>
      <c r="P42" s="10">
        <v>46072</v>
      </c>
    </row>
    <row r="43" spans="1:16">
      <c r="A43" s="8" t="s">
        <v>250</v>
      </c>
      <c r="B43" s="9" t="s">
        <v>308</v>
      </c>
      <c r="C43" s="9">
        <v>2025</v>
      </c>
      <c r="D43" s="9" t="s">
        <v>267</v>
      </c>
      <c r="E43" s="9" t="s">
        <v>309</v>
      </c>
      <c r="F43" s="9" t="s">
        <v>254</v>
      </c>
      <c r="G43" s="9">
        <v>73.400000000000006</v>
      </c>
      <c r="H43" s="9">
        <v>33.299999999999997</v>
      </c>
      <c r="I43" s="9">
        <v>623.5</v>
      </c>
      <c r="J43" s="9">
        <v>5.3</v>
      </c>
      <c r="K43" s="9">
        <v>1.8</v>
      </c>
      <c r="L43" s="9">
        <v>3.7999999999999999E-2</v>
      </c>
      <c r="M43" s="9">
        <v>112.7</v>
      </c>
      <c r="N43" s="9">
        <v>29.6</v>
      </c>
      <c r="O43" s="9" t="s">
        <v>255</v>
      </c>
      <c r="P43" s="10">
        <v>46072</v>
      </c>
    </row>
    <row r="44" spans="1:16">
      <c r="A44" s="8" t="s">
        <v>250</v>
      </c>
      <c r="B44" s="9" t="s">
        <v>297</v>
      </c>
      <c r="C44" s="9">
        <v>2025</v>
      </c>
      <c r="D44" s="9" t="s">
        <v>267</v>
      </c>
      <c r="E44" s="9" t="s">
        <v>310</v>
      </c>
      <c r="F44" s="9" t="s">
        <v>254</v>
      </c>
      <c r="G44" s="9">
        <v>95.4</v>
      </c>
      <c r="H44" s="9">
        <v>14.1</v>
      </c>
      <c r="I44" s="9">
        <v>503.6</v>
      </c>
      <c r="J44" s="9">
        <v>1.8</v>
      </c>
      <c r="K44" s="9">
        <v>1.5</v>
      </c>
      <c r="L44" s="9">
        <v>2.7E-2</v>
      </c>
      <c r="M44" s="9">
        <v>48.4</v>
      </c>
      <c r="N44" s="9">
        <v>30</v>
      </c>
      <c r="O44" s="9" t="s">
        <v>255</v>
      </c>
      <c r="P44" s="10">
        <v>46072</v>
      </c>
    </row>
    <row r="45" spans="1:16">
      <c r="A45" s="8" t="s">
        <v>250</v>
      </c>
      <c r="B45" s="9" t="s">
        <v>311</v>
      </c>
      <c r="C45" s="9">
        <v>2025</v>
      </c>
      <c r="D45" s="9" t="s">
        <v>267</v>
      </c>
      <c r="E45" s="9" t="s">
        <v>312</v>
      </c>
      <c r="F45" s="9" t="s">
        <v>254</v>
      </c>
      <c r="G45" s="9">
        <v>60.6</v>
      </c>
      <c r="H45" s="9">
        <v>24.3</v>
      </c>
      <c r="I45" s="9">
        <v>433.8</v>
      </c>
      <c r="J45" s="9">
        <v>2</v>
      </c>
      <c r="K45" s="9">
        <v>1.2</v>
      </c>
      <c r="L45" s="9">
        <v>1.2999999999999999E-2</v>
      </c>
      <c r="M45" s="9">
        <v>36.4</v>
      </c>
      <c r="N45" s="9">
        <v>18.7</v>
      </c>
      <c r="O45" s="9" t="s">
        <v>255</v>
      </c>
      <c r="P45" s="10">
        <v>46072</v>
      </c>
    </row>
    <row r="46" spans="1:16">
      <c r="A46" s="8" t="s">
        <v>250</v>
      </c>
      <c r="B46" s="9" t="s">
        <v>311</v>
      </c>
      <c r="C46" s="9">
        <v>2025</v>
      </c>
      <c r="D46" s="9" t="s">
        <v>267</v>
      </c>
      <c r="E46" s="9" t="s">
        <v>313</v>
      </c>
      <c r="F46" s="9" t="s">
        <v>254</v>
      </c>
      <c r="G46" s="9">
        <v>45</v>
      </c>
      <c r="H46" s="9">
        <v>21.2</v>
      </c>
      <c r="I46" s="9">
        <v>449.5</v>
      </c>
      <c r="J46" s="9">
        <v>3.1</v>
      </c>
      <c r="K46" s="9">
        <v>1.5</v>
      </c>
      <c r="L46" s="9">
        <v>4.3999999999999997E-2</v>
      </c>
      <c r="M46" s="9">
        <v>61.1</v>
      </c>
      <c r="N46" s="9">
        <v>29.2</v>
      </c>
      <c r="O46" s="9" t="s">
        <v>255</v>
      </c>
      <c r="P46" s="10">
        <v>46072</v>
      </c>
    </row>
    <row r="47" spans="1:16">
      <c r="A47" s="8" t="s">
        <v>250</v>
      </c>
      <c r="B47" s="9" t="s">
        <v>263</v>
      </c>
      <c r="C47" s="9">
        <v>2025</v>
      </c>
      <c r="D47" s="9" t="s">
        <v>267</v>
      </c>
      <c r="E47" s="9" t="s">
        <v>314</v>
      </c>
      <c r="F47" s="9" t="s">
        <v>254</v>
      </c>
      <c r="G47" s="9">
        <v>42.7</v>
      </c>
      <c r="H47" s="9">
        <v>19.399999999999999</v>
      </c>
      <c r="I47" s="9">
        <v>442.3</v>
      </c>
      <c r="J47" s="9">
        <v>1.6</v>
      </c>
      <c r="K47" s="9">
        <v>1</v>
      </c>
      <c r="L47" s="9">
        <v>1.7000000000000001E-2</v>
      </c>
      <c r="M47" s="9">
        <v>62.4</v>
      </c>
      <c r="N47" s="9">
        <v>21.7</v>
      </c>
      <c r="O47" s="9" t="s">
        <v>255</v>
      </c>
      <c r="P47" s="10">
        <v>46072</v>
      </c>
    </row>
    <row r="48" spans="1:16">
      <c r="A48" s="8" t="s">
        <v>250</v>
      </c>
      <c r="B48" s="9" t="s">
        <v>263</v>
      </c>
      <c r="C48" s="9">
        <v>2025</v>
      </c>
      <c r="D48" s="9" t="s">
        <v>267</v>
      </c>
      <c r="E48" s="9" t="s">
        <v>315</v>
      </c>
      <c r="F48" s="9" t="s">
        <v>254</v>
      </c>
      <c r="G48" s="9">
        <v>29.3</v>
      </c>
      <c r="H48" s="9">
        <v>10.4</v>
      </c>
      <c r="I48" s="9">
        <v>389.4</v>
      </c>
      <c r="J48" s="9">
        <v>1.4</v>
      </c>
      <c r="K48" s="9">
        <v>1.1000000000000001</v>
      </c>
      <c r="L48" s="9">
        <v>2.3E-2</v>
      </c>
      <c r="M48" s="9">
        <v>25.2</v>
      </c>
      <c r="N48" s="9">
        <v>23.3</v>
      </c>
      <c r="O48" s="9" t="s">
        <v>255</v>
      </c>
      <c r="P48" s="10">
        <v>46072</v>
      </c>
    </row>
    <row r="49" spans="1:16">
      <c r="A49" s="8" t="s">
        <v>250</v>
      </c>
      <c r="B49" s="9" t="s">
        <v>316</v>
      </c>
      <c r="C49" s="9">
        <v>2025</v>
      </c>
      <c r="D49" s="9" t="s">
        <v>317</v>
      </c>
      <c r="E49" s="9" t="s">
        <v>318</v>
      </c>
      <c r="F49" s="9" t="s">
        <v>254</v>
      </c>
      <c r="G49" s="9">
        <v>73.5</v>
      </c>
      <c r="H49" s="9">
        <v>26.1</v>
      </c>
      <c r="I49" s="9">
        <v>593.29999999999995</v>
      </c>
      <c r="J49" s="9">
        <v>3.6</v>
      </c>
      <c r="K49" s="9">
        <v>0.7</v>
      </c>
      <c r="L49" s="9">
        <v>2.5999999999999999E-2</v>
      </c>
      <c r="M49" s="9">
        <v>59.7</v>
      </c>
      <c r="N49" s="9">
        <v>22.5</v>
      </c>
      <c r="O49" s="9" t="s">
        <v>255</v>
      </c>
      <c r="P49" s="10">
        <v>46072</v>
      </c>
    </row>
    <row r="50" spans="1:16">
      <c r="A50" s="8" t="s">
        <v>250</v>
      </c>
      <c r="B50" s="9" t="s">
        <v>316</v>
      </c>
      <c r="C50" s="9">
        <v>2025</v>
      </c>
      <c r="D50" s="9" t="s">
        <v>317</v>
      </c>
      <c r="E50" s="9" t="s">
        <v>319</v>
      </c>
      <c r="F50" s="9" t="s">
        <v>254</v>
      </c>
      <c r="G50" s="9">
        <v>44</v>
      </c>
      <c r="H50" s="9">
        <v>17.5</v>
      </c>
      <c r="I50" s="9">
        <v>595.4</v>
      </c>
      <c r="J50" s="9">
        <v>3.7</v>
      </c>
      <c r="K50" s="9">
        <v>0.7</v>
      </c>
      <c r="L50" s="9">
        <v>5.3999999999999999E-2</v>
      </c>
      <c r="M50" s="9">
        <v>66.8</v>
      </c>
      <c r="N50" s="9">
        <v>33.799999999999997</v>
      </c>
      <c r="O50" s="9" t="s">
        <v>255</v>
      </c>
      <c r="P50" s="10">
        <v>46072</v>
      </c>
    </row>
    <row r="51" spans="1:16">
      <c r="A51" s="8" t="s">
        <v>250</v>
      </c>
      <c r="B51" s="9" t="s">
        <v>316</v>
      </c>
      <c r="C51" s="9">
        <v>2025</v>
      </c>
      <c r="D51" s="9" t="s">
        <v>317</v>
      </c>
      <c r="E51" s="9" t="s">
        <v>320</v>
      </c>
      <c r="F51" s="9" t="s">
        <v>254</v>
      </c>
      <c r="G51" s="9">
        <v>31.1</v>
      </c>
      <c r="H51" s="9">
        <v>13.8</v>
      </c>
      <c r="I51" s="9">
        <v>605</v>
      </c>
      <c r="J51" s="9">
        <v>2.7</v>
      </c>
      <c r="K51" s="9">
        <v>1</v>
      </c>
      <c r="L51" s="9">
        <v>3.6999999999999998E-2</v>
      </c>
      <c r="M51" s="9">
        <v>76.2</v>
      </c>
      <c r="N51" s="9">
        <v>23.3</v>
      </c>
      <c r="O51" s="9" t="s">
        <v>255</v>
      </c>
      <c r="P51" s="10">
        <v>46072</v>
      </c>
    </row>
    <row r="52" spans="1:16">
      <c r="A52" s="8" t="s">
        <v>250</v>
      </c>
      <c r="B52" s="9" t="s">
        <v>316</v>
      </c>
      <c r="C52" s="9">
        <v>2025</v>
      </c>
      <c r="D52" s="9" t="s">
        <v>317</v>
      </c>
      <c r="E52" s="9" t="s">
        <v>321</v>
      </c>
      <c r="F52" s="9" t="s">
        <v>254</v>
      </c>
      <c r="G52" s="9">
        <v>75.400000000000006</v>
      </c>
      <c r="H52" s="9">
        <v>30.2</v>
      </c>
      <c r="I52" s="9">
        <v>591.9</v>
      </c>
      <c r="J52" s="9">
        <v>3.1</v>
      </c>
      <c r="K52" s="9">
        <v>1</v>
      </c>
      <c r="L52" s="9">
        <v>5.3999999999999999E-2</v>
      </c>
      <c r="M52" s="9">
        <v>32.200000000000003</v>
      </c>
      <c r="N52" s="9">
        <v>27.7</v>
      </c>
      <c r="O52" s="9" t="s">
        <v>255</v>
      </c>
      <c r="P52" s="10">
        <v>46072</v>
      </c>
    </row>
    <row r="53" spans="1:16">
      <c r="A53" s="8" t="s">
        <v>250</v>
      </c>
      <c r="B53" s="9" t="s">
        <v>308</v>
      </c>
      <c r="C53" s="9">
        <v>2025</v>
      </c>
      <c r="D53" s="9" t="s">
        <v>317</v>
      </c>
      <c r="E53" s="9" t="s">
        <v>322</v>
      </c>
      <c r="F53" s="9" t="s">
        <v>254</v>
      </c>
      <c r="G53" s="9">
        <v>40.4</v>
      </c>
      <c r="H53" s="9">
        <v>15.3</v>
      </c>
      <c r="I53" s="9">
        <v>591.9</v>
      </c>
      <c r="J53" s="9">
        <v>4.2</v>
      </c>
      <c r="K53" s="9">
        <v>0.7</v>
      </c>
      <c r="L53" s="9">
        <v>5.0999999999999997E-2</v>
      </c>
      <c r="M53" s="9">
        <v>103.3</v>
      </c>
      <c r="N53" s="9">
        <v>26.1</v>
      </c>
      <c r="O53" s="9" t="s">
        <v>255</v>
      </c>
      <c r="P53" s="10">
        <v>46072</v>
      </c>
    </row>
    <row r="54" spans="1:16">
      <c r="A54" s="8" t="s">
        <v>250</v>
      </c>
      <c r="B54" s="9" t="s">
        <v>308</v>
      </c>
      <c r="C54" s="9">
        <v>2025</v>
      </c>
      <c r="D54" s="9" t="s">
        <v>317</v>
      </c>
      <c r="E54" s="9" t="s">
        <v>323</v>
      </c>
      <c r="F54" s="9" t="s">
        <v>254</v>
      </c>
      <c r="G54" s="9">
        <v>49.5</v>
      </c>
      <c r="H54" s="9">
        <v>12.2</v>
      </c>
      <c r="I54" s="9">
        <v>602.29999999999995</v>
      </c>
      <c r="J54" s="9">
        <v>4.0999999999999996</v>
      </c>
      <c r="K54" s="9">
        <v>0.7</v>
      </c>
      <c r="L54" s="9">
        <v>6.7000000000000004E-2</v>
      </c>
      <c r="M54" s="9">
        <v>73.099999999999994</v>
      </c>
      <c r="N54" s="9">
        <v>30.5</v>
      </c>
      <c r="O54" s="9" t="s">
        <v>255</v>
      </c>
      <c r="P54" s="10">
        <v>46072</v>
      </c>
    </row>
    <row r="55" spans="1:16">
      <c r="A55" s="8" t="s">
        <v>250</v>
      </c>
      <c r="B55" s="9" t="s">
        <v>308</v>
      </c>
      <c r="C55" s="9">
        <v>2025</v>
      </c>
      <c r="D55" s="9" t="s">
        <v>317</v>
      </c>
      <c r="E55" s="9" t="s">
        <v>324</v>
      </c>
      <c r="F55" s="9" t="s">
        <v>254</v>
      </c>
      <c r="G55" s="9">
        <v>51.9</v>
      </c>
      <c r="H55" s="9">
        <v>31.1</v>
      </c>
      <c r="I55" s="9">
        <v>565.9</v>
      </c>
      <c r="J55" s="9">
        <v>4.8</v>
      </c>
      <c r="K55" s="9">
        <v>1.4</v>
      </c>
      <c r="L55" s="9">
        <v>3.3000000000000002E-2</v>
      </c>
      <c r="M55" s="9">
        <v>73.8</v>
      </c>
      <c r="N55" s="9">
        <v>30.5</v>
      </c>
      <c r="O55" s="9" t="s">
        <v>255</v>
      </c>
      <c r="P55" s="10">
        <v>46072</v>
      </c>
    </row>
    <row r="56" spans="1:16">
      <c r="A56" s="8" t="s">
        <v>250</v>
      </c>
      <c r="B56" s="9" t="s">
        <v>257</v>
      </c>
      <c r="C56" s="9">
        <v>2025</v>
      </c>
      <c r="D56" s="9" t="s">
        <v>317</v>
      </c>
      <c r="E56" s="9" t="s">
        <v>325</v>
      </c>
      <c r="F56" s="9" t="s">
        <v>254</v>
      </c>
      <c r="G56" s="9">
        <v>64.3</v>
      </c>
      <c r="H56" s="9">
        <v>22.2</v>
      </c>
      <c r="I56" s="9">
        <v>641.4</v>
      </c>
      <c r="J56" s="9">
        <v>4.8</v>
      </c>
      <c r="K56" s="9">
        <v>1.2</v>
      </c>
      <c r="L56" s="9">
        <v>5.0999999999999997E-2</v>
      </c>
      <c r="M56" s="9">
        <v>64.8</v>
      </c>
      <c r="N56" s="9">
        <v>69</v>
      </c>
      <c r="O56" s="9" t="s">
        <v>255</v>
      </c>
      <c r="P56" s="10">
        <v>46072</v>
      </c>
    </row>
    <row r="57" spans="1:16">
      <c r="A57" s="8" t="s">
        <v>250</v>
      </c>
      <c r="B57" s="9" t="s">
        <v>257</v>
      </c>
      <c r="C57" s="9">
        <v>2025</v>
      </c>
      <c r="D57" s="9" t="s">
        <v>317</v>
      </c>
      <c r="E57" s="9" t="s">
        <v>326</v>
      </c>
      <c r="F57" s="9" t="s">
        <v>254</v>
      </c>
      <c r="G57" s="9">
        <v>60.5</v>
      </c>
      <c r="H57" s="9">
        <v>24.3</v>
      </c>
      <c r="I57" s="9">
        <v>637.20000000000005</v>
      </c>
      <c r="J57" s="9">
        <v>3.8</v>
      </c>
      <c r="K57" s="9">
        <v>1.3</v>
      </c>
      <c r="L57" s="9">
        <v>4.2000000000000003E-2</v>
      </c>
      <c r="M57" s="9">
        <v>54</v>
      </c>
      <c r="N57" s="9">
        <v>33.799999999999997</v>
      </c>
      <c r="O57" s="9" t="s">
        <v>255</v>
      </c>
      <c r="P57" s="10">
        <v>46072</v>
      </c>
    </row>
    <row r="58" spans="1:16">
      <c r="A58" s="8" t="s">
        <v>250</v>
      </c>
      <c r="B58" s="9" t="s">
        <v>257</v>
      </c>
      <c r="C58" s="9">
        <v>2025</v>
      </c>
      <c r="D58" s="9" t="s">
        <v>317</v>
      </c>
      <c r="E58" s="9" t="s">
        <v>327</v>
      </c>
      <c r="F58" s="9" t="s">
        <v>254</v>
      </c>
      <c r="G58" s="9">
        <v>32.4</v>
      </c>
      <c r="H58" s="9">
        <v>15.2</v>
      </c>
      <c r="I58" s="9">
        <v>801.6</v>
      </c>
      <c r="J58" s="9">
        <v>2.6</v>
      </c>
      <c r="K58" s="9">
        <v>1</v>
      </c>
      <c r="L58" s="9">
        <v>0.02</v>
      </c>
      <c r="M58" s="9">
        <v>49.4</v>
      </c>
      <c r="N58" s="9">
        <v>36.6</v>
      </c>
      <c r="O58" s="9" t="s">
        <v>255</v>
      </c>
      <c r="P58" s="10">
        <v>46072</v>
      </c>
    </row>
    <row r="59" spans="1:16">
      <c r="A59" s="8" t="s">
        <v>250</v>
      </c>
      <c r="B59" s="9" t="s">
        <v>251</v>
      </c>
      <c r="C59" s="9">
        <v>2025</v>
      </c>
      <c r="D59" s="9" t="s">
        <v>317</v>
      </c>
      <c r="E59" s="9" t="s">
        <v>328</v>
      </c>
      <c r="F59" s="9" t="s">
        <v>254</v>
      </c>
      <c r="G59" s="9">
        <v>61.3</v>
      </c>
      <c r="H59" s="9">
        <v>29.2</v>
      </c>
      <c r="I59" s="9">
        <v>714.4</v>
      </c>
      <c r="J59" s="9">
        <v>3.3</v>
      </c>
      <c r="K59" s="9">
        <v>1.2</v>
      </c>
      <c r="L59" s="9">
        <v>3.1E-2</v>
      </c>
      <c r="M59" s="9">
        <v>118.8</v>
      </c>
      <c r="N59" s="9">
        <v>43.9</v>
      </c>
      <c r="O59" s="9" t="s">
        <v>255</v>
      </c>
      <c r="P59" s="10">
        <v>46072</v>
      </c>
    </row>
    <row r="60" spans="1:16">
      <c r="A60" s="8" t="s">
        <v>250</v>
      </c>
      <c r="B60" s="9" t="s">
        <v>251</v>
      </c>
      <c r="C60" s="9">
        <v>2025</v>
      </c>
      <c r="D60" s="9" t="s">
        <v>317</v>
      </c>
      <c r="E60" s="9" t="s">
        <v>329</v>
      </c>
      <c r="F60" s="9" t="s">
        <v>254</v>
      </c>
      <c r="G60" s="9">
        <v>75.400000000000006</v>
      </c>
      <c r="H60" s="9">
        <v>31.5</v>
      </c>
      <c r="I60" s="9">
        <v>742.1</v>
      </c>
      <c r="J60" s="9">
        <v>4.3</v>
      </c>
      <c r="K60" s="9">
        <v>1.2</v>
      </c>
      <c r="L60" s="9">
        <v>3.2000000000000001E-2</v>
      </c>
      <c r="M60" s="9">
        <v>110</v>
      </c>
      <c r="N60" s="9">
        <v>36.6</v>
      </c>
      <c r="O60" s="9" t="s">
        <v>255</v>
      </c>
      <c r="P60" s="10">
        <v>46072</v>
      </c>
    </row>
    <row r="61" spans="1:16">
      <c r="A61" s="8" t="s">
        <v>250</v>
      </c>
      <c r="B61" s="9" t="s">
        <v>251</v>
      </c>
      <c r="C61" s="9">
        <v>2025</v>
      </c>
      <c r="D61" s="9" t="s">
        <v>317</v>
      </c>
      <c r="E61" s="9" t="s">
        <v>330</v>
      </c>
      <c r="F61" s="9" t="s">
        <v>254</v>
      </c>
      <c r="G61" s="9">
        <v>79</v>
      </c>
      <c r="H61" s="9">
        <v>28.4</v>
      </c>
      <c r="I61" s="9">
        <v>566.9</v>
      </c>
      <c r="J61" s="9">
        <v>5.8</v>
      </c>
      <c r="K61" s="9">
        <v>1.1000000000000001</v>
      </c>
      <c r="L61" s="9">
        <v>3.2000000000000001E-2</v>
      </c>
      <c r="M61" s="9">
        <v>40.299999999999997</v>
      </c>
      <c r="N61" s="9">
        <v>23</v>
      </c>
      <c r="O61" s="9" t="s">
        <v>255</v>
      </c>
      <c r="P61" s="10">
        <v>46072</v>
      </c>
    </row>
    <row r="62" spans="1:16">
      <c r="A62" s="8" t="s">
        <v>250</v>
      </c>
      <c r="B62" s="9" t="s">
        <v>251</v>
      </c>
      <c r="C62" s="9">
        <v>2025</v>
      </c>
      <c r="D62" s="9" t="s">
        <v>317</v>
      </c>
      <c r="E62" s="9" t="s">
        <v>331</v>
      </c>
      <c r="F62" s="9" t="s">
        <v>254</v>
      </c>
      <c r="G62" s="9">
        <v>82.3</v>
      </c>
      <c r="H62" s="9">
        <v>40.6</v>
      </c>
      <c r="I62" s="9">
        <v>636.9</v>
      </c>
      <c r="J62" s="9">
        <v>6.7</v>
      </c>
      <c r="K62" s="9">
        <v>1.1000000000000001</v>
      </c>
      <c r="L62" s="9">
        <v>0.03</v>
      </c>
      <c r="M62" s="9">
        <v>67.7</v>
      </c>
      <c r="N62" s="9">
        <v>40.4</v>
      </c>
      <c r="O62" s="9" t="s">
        <v>255</v>
      </c>
      <c r="P62" s="10">
        <v>46072</v>
      </c>
    </row>
    <row r="63" spans="1:16">
      <c r="A63" s="8" t="s">
        <v>250</v>
      </c>
      <c r="B63" s="9" t="s">
        <v>274</v>
      </c>
      <c r="C63" s="9">
        <v>2025</v>
      </c>
      <c r="D63" s="9" t="s">
        <v>317</v>
      </c>
      <c r="E63" s="9" t="s">
        <v>332</v>
      </c>
      <c r="F63" s="9" t="s">
        <v>254</v>
      </c>
      <c r="G63" s="9">
        <v>48</v>
      </c>
      <c r="H63" s="9">
        <v>28.3</v>
      </c>
      <c r="I63" s="9">
        <v>557.29999999999995</v>
      </c>
      <c r="J63" s="9">
        <v>5.7</v>
      </c>
      <c r="K63" s="9">
        <v>1.2</v>
      </c>
      <c r="L63" s="9">
        <v>2.8000000000000001E-2</v>
      </c>
      <c r="M63" s="9">
        <v>44.5</v>
      </c>
      <c r="N63" s="9">
        <v>18.2</v>
      </c>
      <c r="O63" s="9" t="s">
        <v>255</v>
      </c>
      <c r="P63" s="10">
        <v>46072</v>
      </c>
    </row>
    <row r="64" spans="1:16">
      <c r="A64" s="8" t="s">
        <v>250</v>
      </c>
      <c r="B64" s="9" t="s">
        <v>281</v>
      </c>
      <c r="C64" s="9">
        <v>2025</v>
      </c>
      <c r="D64" s="9" t="s">
        <v>317</v>
      </c>
      <c r="E64" s="9" t="s">
        <v>333</v>
      </c>
      <c r="F64" s="9" t="s">
        <v>254</v>
      </c>
      <c r="G64" s="9">
        <v>46.4</v>
      </c>
      <c r="H64" s="9">
        <v>25.7</v>
      </c>
      <c r="I64" s="9">
        <v>682.6</v>
      </c>
      <c r="J64" s="9">
        <v>5.4</v>
      </c>
      <c r="K64" s="9">
        <v>1</v>
      </c>
      <c r="L64" s="9">
        <v>3.5999999999999997E-2</v>
      </c>
      <c r="M64" s="9">
        <v>57.2</v>
      </c>
      <c r="N64" s="9">
        <v>15.3</v>
      </c>
      <c r="O64" s="9" t="s">
        <v>255</v>
      </c>
      <c r="P64" s="10">
        <v>46072</v>
      </c>
    </row>
    <row r="65" spans="1:16">
      <c r="A65" s="8" t="s">
        <v>250</v>
      </c>
      <c r="B65" s="9" t="s">
        <v>281</v>
      </c>
      <c r="C65" s="9">
        <v>2025</v>
      </c>
      <c r="D65" s="9" t="s">
        <v>317</v>
      </c>
      <c r="E65" s="9" t="s">
        <v>334</v>
      </c>
      <c r="F65" s="9" t="s">
        <v>254</v>
      </c>
      <c r="G65" s="9">
        <v>62.9</v>
      </c>
      <c r="H65" s="9">
        <v>41.7</v>
      </c>
      <c r="I65" s="9">
        <v>661.5</v>
      </c>
      <c r="J65" s="9">
        <v>2.6</v>
      </c>
      <c r="K65" s="9">
        <v>1</v>
      </c>
      <c r="L65" s="9">
        <v>2.8000000000000001E-2</v>
      </c>
      <c r="M65" s="9">
        <v>102.1</v>
      </c>
      <c r="N65" s="9">
        <v>16.5</v>
      </c>
      <c r="O65" s="9" t="s">
        <v>255</v>
      </c>
      <c r="P65" s="10">
        <v>46072</v>
      </c>
    </row>
    <row r="66" spans="1:16">
      <c r="A66" s="8" t="s">
        <v>250</v>
      </c>
      <c r="B66" s="9" t="s">
        <v>286</v>
      </c>
      <c r="C66" s="9">
        <v>2025</v>
      </c>
      <c r="D66" s="9" t="s">
        <v>317</v>
      </c>
      <c r="E66" s="9" t="s">
        <v>335</v>
      </c>
      <c r="F66" s="9" t="s">
        <v>254</v>
      </c>
      <c r="G66" s="9">
        <v>49.6</v>
      </c>
      <c r="H66" s="9">
        <v>31.6</v>
      </c>
      <c r="I66" s="9">
        <v>540.20000000000005</v>
      </c>
      <c r="J66" s="9">
        <v>2.2000000000000002</v>
      </c>
      <c r="K66" s="9">
        <v>1.1000000000000001</v>
      </c>
      <c r="L66" s="9">
        <v>4.2999999999999997E-2</v>
      </c>
      <c r="M66" s="9">
        <v>232.1</v>
      </c>
      <c r="N66" s="9">
        <v>12.8</v>
      </c>
      <c r="O66" s="9" t="s">
        <v>255</v>
      </c>
      <c r="P66" s="10">
        <v>46072</v>
      </c>
    </row>
    <row r="67" spans="1:16">
      <c r="A67" s="8" t="s">
        <v>250</v>
      </c>
      <c r="B67" s="9" t="s">
        <v>286</v>
      </c>
      <c r="C67" s="9">
        <v>2025</v>
      </c>
      <c r="D67" s="9" t="s">
        <v>317</v>
      </c>
      <c r="E67" s="9" t="s">
        <v>336</v>
      </c>
      <c r="F67" s="9" t="s">
        <v>254</v>
      </c>
      <c r="G67" s="9">
        <v>51.9</v>
      </c>
      <c r="H67" s="9">
        <v>12.2</v>
      </c>
      <c r="I67" s="9">
        <v>726.9</v>
      </c>
      <c r="J67" s="9">
        <v>2.1</v>
      </c>
      <c r="K67" s="9">
        <v>1.1000000000000001</v>
      </c>
      <c r="L67" s="9">
        <v>2.5000000000000001E-2</v>
      </c>
      <c r="M67" s="9">
        <v>53.2</v>
      </c>
      <c r="N67" s="9">
        <v>15.9</v>
      </c>
      <c r="O67" s="9" t="s">
        <v>255</v>
      </c>
      <c r="P67" s="10">
        <v>46072</v>
      </c>
    </row>
    <row r="68" spans="1:16">
      <c r="A68" s="8" t="s">
        <v>250</v>
      </c>
      <c r="B68" s="9" t="s">
        <v>286</v>
      </c>
      <c r="C68" s="9">
        <v>2025</v>
      </c>
      <c r="D68" s="9" t="s">
        <v>317</v>
      </c>
      <c r="E68" s="9" t="s">
        <v>337</v>
      </c>
      <c r="F68" s="9" t="s">
        <v>254</v>
      </c>
      <c r="G68" s="9">
        <v>48.2</v>
      </c>
      <c r="H68" s="9">
        <v>24.5</v>
      </c>
      <c r="I68" s="9">
        <v>678.5</v>
      </c>
      <c r="J68" s="9">
        <v>1.9</v>
      </c>
      <c r="K68" s="9">
        <v>0.9</v>
      </c>
      <c r="L68" s="9">
        <v>3.4000000000000002E-2</v>
      </c>
      <c r="M68" s="9">
        <v>41.4</v>
      </c>
      <c r="N68" s="9">
        <v>18</v>
      </c>
      <c r="O68" s="9" t="s">
        <v>255</v>
      </c>
      <c r="P68" s="10">
        <v>46072</v>
      </c>
    </row>
    <row r="69" spans="1:16">
      <c r="A69" s="8" t="s">
        <v>250</v>
      </c>
      <c r="B69" s="9" t="s">
        <v>286</v>
      </c>
      <c r="C69" s="9">
        <v>2025</v>
      </c>
      <c r="D69" s="9" t="s">
        <v>317</v>
      </c>
      <c r="E69" s="9" t="s">
        <v>338</v>
      </c>
      <c r="F69" s="9" t="s">
        <v>254</v>
      </c>
      <c r="G69" s="9">
        <v>44.9</v>
      </c>
      <c r="H69" s="9">
        <v>22.6</v>
      </c>
      <c r="I69" s="9">
        <v>554.5</v>
      </c>
      <c r="J69" s="9">
        <v>2</v>
      </c>
      <c r="K69" s="9">
        <v>1.1000000000000001</v>
      </c>
      <c r="L69" s="9">
        <v>2.5999999999999999E-2</v>
      </c>
      <c r="M69" s="9">
        <v>29</v>
      </c>
      <c r="N69" s="9">
        <v>15</v>
      </c>
      <c r="O69" s="9" t="s">
        <v>255</v>
      </c>
      <c r="P69" s="10">
        <v>46072</v>
      </c>
    </row>
    <row r="70" spans="1:16">
      <c r="A70" s="8" t="s">
        <v>250</v>
      </c>
      <c r="B70" s="9" t="s">
        <v>286</v>
      </c>
      <c r="C70" s="9">
        <v>2025</v>
      </c>
      <c r="D70" s="9" t="s">
        <v>317</v>
      </c>
      <c r="E70" s="9" t="s">
        <v>339</v>
      </c>
      <c r="F70" s="9" t="s">
        <v>254</v>
      </c>
      <c r="G70" s="9">
        <v>61.8</v>
      </c>
      <c r="H70" s="9">
        <v>32.200000000000003</v>
      </c>
      <c r="I70" s="9">
        <v>573.70000000000005</v>
      </c>
      <c r="J70" s="9">
        <v>2.5</v>
      </c>
      <c r="K70" s="9">
        <v>1.1000000000000001</v>
      </c>
      <c r="L70" s="9">
        <v>2.9000000000000001E-2</v>
      </c>
      <c r="M70" s="9">
        <v>44.7</v>
      </c>
      <c r="N70" s="9">
        <v>17</v>
      </c>
      <c r="O70" s="9" t="s">
        <v>255</v>
      </c>
      <c r="P70" s="10">
        <v>46072</v>
      </c>
    </row>
    <row r="71" spans="1:16">
      <c r="A71" s="8" t="s">
        <v>250</v>
      </c>
      <c r="B71" s="9" t="s">
        <v>281</v>
      </c>
      <c r="C71" s="9">
        <v>2025</v>
      </c>
      <c r="D71" s="9" t="s">
        <v>317</v>
      </c>
      <c r="E71" s="9" t="s">
        <v>340</v>
      </c>
      <c r="F71" s="9" t="s">
        <v>254</v>
      </c>
      <c r="G71" s="9">
        <v>23.2</v>
      </c>
      <c r="H71" s="9">
        <v>5</v>
      </c>
      <c r="I71" s="9">
        <v>542.4</v>
      </c>
      <c r="J71" s="9">
        <v>2.2000000000000002</v>
      </c>
      <c r="K71" s="9">
        <v>1.2</v>
      </c>
      <c r="L71" s="9">
        <v>2.8000000000000001E-2</v>
      </c>
      <c r="M71" s="9">
        <v>35.5</v>
      </c>
      <c r="N71" s="9">
        <v>12</v>
      </c>
      <c r="O71" s="9" t="s">
        <v>255</v>
      </c>
      <c r="P71" s="10">
        <v>46072</v>
      </c>
    </row>
    <row r="72" spans="1:16">
      <c r="A72" s="8" t="s">
        <v>250</v>
      </c>
      <c r="B72" s="9" t="s">
        <v>281</v>
      </c>
      <c r="C72" s="9">
        <v>2025</v>
      </c>
      <c r="D72" s="9" t="s">
        <v>317</v>
      </c>
      <c r="E72" s="9" t="s">
        <v>341</v>
      </c>
      <c r="F72" s="9" t="s">
        <v>254</v>
      </c>
      <c r="G72" s="9">
        <v>13.9</v>
      </c>
      <c r="H72" s="9">
        <v>5.3</v>
      </c>
      <c r="I72" s="9">
        <v>540.79999999999995</v>
      </c>
      <c r="J72" s="9">
        <v>2</v>
      </c>
      <c r="K72" s="9">
        <v>1.1000000000000001</v>
      </c>
      <c r="L72" s="9">
        <v>0</v>
      </c>
      <c r="M72" s="9">
        <v>27.7</v>
      </c>
      <c r="N72" s="9">
        <v>15.9</v>
      </c>
      <c r="O72" s="9" t="s">
        <v>255</v>
      </c>
      <c r="P72" s="10">
        <v>46072</v>
      </c>
    </row>
    <row r="73" spans="1:16">
      <c r="A73" s="8" t="s">
        <v>250</v>
      </c>
      <c r="B73" s="9" t="s">
        <v>281</v>
      </c>
      <c r="C73" s="9">
        <v>2025</v>
      </c>
      <c r="D73" s="9" t="s">
        <v>317</v>
      </c>
      <c r="E73" s="9" t="s">
        <v>342</v>
      </c>
      <c r="F73" s="9" t="s">
        <v>254</v>
      </c>
      <c r="G73" s="9">
        <v>24.3</v>
      </c>
      <c r="H73" s="9">
        <v>14.8</v>
      </c>
      <c r="I73" s="9">
        <v>536</v>
      </c>
      <c r="J73" s="9">
        <v>2.2999999999999998</v>
      </c>
      <c r="K73" s="9">
        <v>1</v>
      </c>
      <c r="L73" s="9">
        <v>3.5000000000000003E-2</v>
      </c>
      <c r="M73" s="9">
        <v>30.5</v>
      </c>
      <c r="N73" s="9">
        <v>14.4</v>
      </c>
      <c r="O73" s="9" t="s">
        <v>255</v>
      </c>
      <c r="P73" s="10">
        <v>46072</v>
      </c>
    </row>
    <row r="74" spans="1:16">
      <c r="A74" s="8" t="s">
        <v>250</v>
      </c>
      <c r="B74" s="9" t="s">
        <v>281</v>
      </c>
      <c r="C74" s="9">
        <v>2025</v>
      </c>
      <c r="D74" s="9" t="s">
        <v>317</v>
      </c>
      <c r="E74" s="9" t="s">
        <v>343</v>
      </c>
      <c r="F74" s="9" t="s">
        <v>254</v>
      </c>
      <c r="G74" s="9">
        <v>41.2</v>
      </c>
      <c r="H74" s="9">
        <v>11</v>
      </c>
      <c r="I74" s="9">
        <v>510.9</v>
      </c>
      <c r="J74" s="9">
        <v>3.3</v>
      </c>
      <c r="K74" s="9">
        <v>1</v>
      </c>
      <c r="L74" s="9">
        <v>3.5999999999999997E-2</v>
      </c>
      <c r="M74" s="9">
        <v>34.5</v>
      </c>
      <c r="N74" s="9">
        <v>16.7</v>
      </c>
      <c r="O74" s="9" t="s">
        <v>255</v>
      </c>
      <c r="P74" s="10">
        <v>46072</v>
      </c>
    </row>
    <row r="75" spans="1:16">
      <c r="A75" s="8" t="s">
        <v>250</v>
      </c>
      <c r="B75" s="9" t="s">
        <v>281</v>
      </c>
      <c r="C75" s="9">
        <v>2025</v>
      </c>
      <c r="D75" s="9" t="s">
        <v>317</v>
      </c>
      <c r="E75" s="9" t="s">
        <v>344</v>
      </c>
      <c r="F75" s="9" t="s">
        <v>254</v>
      </c>
      <c r="G75" s="9">
        <v>40</v>
      </c>
      <c r="H75" s="9">
        <v>15.6</v>
      </c>
      <c r="I75" s="9">
        <v>549</v>
      </c>
      <c r="J75" s="9">
        <v>4.5</v>
      </c>
      <c r="K75" s="9">
        <v>1.1000000000000001</v>
      </c>
      <c r="L75" s="9">
        <v>4.3999999999999997E-2</v>
      </c>
      <c r="M75" s="9">
        <v>44.3</v>
      </c>
      <c r="N75" s="9">
        <v>14.1</v>
      </c>
      <c r="O75" s="9" t="s">
        <v>255</v>
      </c>
      <c r="P75" s="10">
        <v>46072</v>
      </c>
    </row>
    <row r="76" spans="1:16">
      <c r="A76" s="8" t="s">
        <v>250</v>
      </c>
      <c r="B76" s="9" t="s">
        <v>281</v>
      </c>
      <c r="C76" s="9">
        <v>2025</v>
      </c>
      <c r="D76" s="9" t="s">
        <v>317</v>
      </c>
      <c r="E76" s="9" t="s">
        <v>345</v>
      </c>
      <c r="F76" s="9" t="s">
        <v>254</v>
      </c>
      <c r="G76" s="9">
        <v>60.5</v>
      </c>
      <c r="H76" s="9">
        <v>23.3</v>
      </c>
      <c r="I76" s="9">
        <v>544.1</v>
      </c>
      <c r="J76" s="9">
        <v>6.8</v>
      </c>
      <c r="K76" s="9">
        <v>1</v>
      </c>
      <c r="L76" s="9">
        <v>2.7E-2</v>
      </c>
      <c r="M76" s="9">
        <v>49.1</v>
      </c>
      <c r="N76" s="9">
        <v>18.399999999999999</v>
      </c>
      <c r="O76" s="9" t="s">
        <v>255</v>
      </c>
      <c r="P76" s="10">
        <v>46072</v>
      </c>
    </row>
    <row r="77" spans="1:16">
      <c r="A77" s="8" t="s">
        <v>250</v>
      </c>
      <c r="B77" s="9" t="s">
        <v>281</v>
      </c>
      <c r="C77" s="9">
        <v>2025</v>
      </c>
      <c r="D77" s="9" t="s">
        <v>317</v>
      </c>
      <c r="E77" s="9" t="s">
        <v>346</v>
      </c>
      <c r="F77" s="9" t="s">
        <v>254</v>
      </c>
      <c r="G77" s="9">
        <v>82.8</v>
      </c>
      <c r="H77" s="9">
        <v>21.3</v>
      </c>
      <c r="I77" s="9">
        <v>711.6</v>
      </c>
      <c r="J77" s="9">
        <v>5.3</v>
      </c>
      <c r="K77" s="9">
        <v>1</v>
      </c>
      <c r="L77" s="9">
        <v>3.9E-2</v>
      </c>
      <c r="M77" s="9">
        <v>92</v>
      </c>
      <c r="N77" s="9">
        <v>20.9</v>
      </c>
      <c r="O77" s="9" t="s">
        <v>255</v>
      </c>
      <c r="P77" s="10">
        <v>46072</v>
      </c>
    </row>
    <row r="78" spans="1:16">
      <c r="A78" s="8" t="s">
        <v>250</v>
      </c>
      <c r="B78" s="9" t="s">
        <v>277</v>
      </c>
      <c r="C78" s="9">
        <v>2025</v>
      </c>
      <c r="D78" s="9" t="s">
        <v>317</v>
      </c>
      <c r="E78" s="9" t="s">
        <v>347</v>
      </c>
      <c r="F78" s="9" t="s">
        <v>254</v>
      </c>
      <c r="G78" s="9">
        <v>42.1</v>
      </c>
      <c r="H78" s="9">
        <v>22.9</v>
      </c>
      <c r="I78" s="9">
        <v>579.9</v>
      </c>
      <c r="J78" s="9">
        <v>3.7</v>
      </c>
      <c r="K78" s="9">
        <v>1.1000000000000001</v>
      </c>
      <c r="L78" s="9">
        <v>3.2000000000000001E-2</v>
      </c>
      <c r="M78" s="9">
        <v>46.3</v>
      </c>
      <c r="N78" s="9">
        <v>20.399999999999999</v>
      </c>
      <c r="O78" s="9" t="s">
        <v>255</v>
      </c>
      <c r="P78" s="10">
        <v>46072</v>
      </c>
    </row>
    <row r="79" spans="1:16">
      <c r="A79" s="8" t="s">
        <v>250</v>
      </c>
      <c r="B79" s="9" t="s">
        <v>277</v>
      </c>
      <c r="C79" s="9">
        <v>2025</v>
      </c>
      <c r="D79" s="9" t="s">
        <v>317</v>
      </c>
      <c r="E79" s="9" t="s">
        <v>348</v>
      </c>
      <c r="F79" s="9" t="s">
        <v>254</v>
      </c>
      <c r="G79" s="9">
        <v>26.4</v>
      </c>
      <c r="H79" s="9">
        <v>17.899999999999999</v>
      </c>
      <c r="I79" s="9">
        <v>569.79999999999995</v>
      </c>
      <c r="J79" s="9">
        <v>3.1</v>
      </c>
      <c r="K79" s="9">
        <v>1.1000000000000001</v>
      </c>
      <c r="L79" s="9">
        <v>6.3E-2</v>
      </c>
      <c r="M79" s="9">
        <v>62.7</v>
      </c>
      <c r="N79" s="9">
        <v>11.6</v>
      </c>
      <c r="O79" s="9" t="s">
        <v>255</v>
      </c>
      <c r="P79" s="10">
        <v>46072</v>
      </c>
    </row>
    <row r="80" spans="1:16">
      <c r="A80" s="8" t="s">
        <v>250</v>
      </c>
      <c r="B80" s="9" t="s">
        <v>277</v>
      </c>
      <c r="C80" s="9">
        <v>2025</v>
      </c>
      <c r="D80" s="9" t="s">
        <v>317</v>
      </c>
      <c r="E80" s="9" t="s">
        <v>349</v>
      </c>
      <c r="F80" s="9" t="s">
        <v>254</v>
      </c>
      <c r="G80" s="9">
        <v>46.8</v>
      </c>
      <c r="H80" s="9">
        <v>33.5</v>
      </c>
      <c r="I80" s="9">
        <v>543.4</v>
      </c>
      <c r="J80" s="9">
        <v>4.8</v>
      </c>
      <c r="K80" s="9">
        <v>1</v>
      </c>
      <c r="L80" s="9">
        <v>5.2999999999999999E-2</v>
      </c>
      <c r="M80" s="9">
        <v>59.8</v>
      </c>
      <c r="N80" s="9">
        <v>12.4</v>
      </c>
      <c r="O80" s="9" t="s">
        <v>255</v>
      </c>
      <c r="P80" s="10">
        <v>46072</v>
      </c>
    </row>
    <row r="81" spans="1:16">
      <c r="A81" s="8" t="s">
        <v>250</v>
      </c>
      <c r="B81" s="9" t="s">
        <v>350</v>
      </c>
      <c r="C81" s="9">
        <v>2025</v>
      </c>
      <c r="D81" s="9" t="s">
        <v>351</v>
      </c>
      <c r="E81" s="9" t="s">
        <v>352</v>
      </c>
      <c r="F81" s="9" t="s">
        <v>254</v>
      </c>
      <c r="G81" s="9">
        <v>49.4</v>
      </c>
      <c r="H81" s="9">
        <v>18.899999999999999</v>
      </c>
      <c r="I81" s="9">
        <v>525.20000000000005</v>
      </c>
      <c r="J81" s="9">
        <v>8.1</v>
      </c>
      <c r="K81" s="9">
        <v>2</v>
      </c>
      <c r="L81" s="9">
        <v>3.3000000000000002E-2</v>
      </c>
      <c r="M81" s="9">
        <v>86.5</v>
      </c>
      <c r="N81" s="9">
        <v>13.8</v>
      </c>
      <c r="O81" s="9" t="s">
        <v>255</v>
      </c>
      <c r="P81" s="10">
        <v>46072</v>
      </c>
    </row>
    <row r="82" spans="1:16">
      <c r="A82" s="8" t="s">
        <v>250</v>
      </c>
      <c r="B82" s="9" t="s">
        <v>353</v>
      </c>
      <c r="C82" s="9">
        <v>2025</v>
      </c>
      <c r="D82" s="9" t="s">
        <v>351</v>
      </c>
      <c r="E82" s="9" t="s">
        <v>354</v>
      </c>
      <c r="F82" s="9" t="s">
        <v>254</v>
      </c>
      <c r="G82" s="9">
        <v>74.900000000000006</v>
      </c>
      <c r="H82" s="9">
        <v>29.6</v>
      </c>
      <c r="I82" s="9">
        <v>523.6</v>
      </c>
      <c r="J82" s="9">
        <v>5.9</v>
      </c>
      <c r="K82" s="9">
        <v>1.9</v>
      </c>
      <c r="L82" s="9">
        <v>4.2000000000000003E-2</v>
      </c>
      <c r="M82" s="9">
        <v>108.6</v>
      </c>
      <c r="N82" s="9">
        <v>12.3</v>
      </c>
      <c r="O82" s="9" t="s">
        <v>255</v>
      </c>
      <c r="P82" s="10">
        <v>46072</v>
      </c>
    </row>
    <row r="83" spans="1:16">
      <c r="A83" s="8" t="s">
        <v>250</v>
      </c>
      <c r="B83" s="9" t="s">
        <v>353</v>
      </c>
      <c r="C83" s="9">
        <v>2025</v>
      </c>
      <c r="D83" s="9" t="s">
        <v>351</v>
      </c>
      <c r="E83" s="9" t="s">
        <v>355</v>
      </c>
      <c r="F83" s="9" t="s">
        <v>254</v>
      </c>
      <c r="G83" s="9">
        <v>91.4</v>
      </c>
      <c r="H83" s="9">
        <v>28.4</v>
      </c>
      <c r="I83" s="9">
        <v>615.20000000000005</v>
      </c>
      <c r="J83" s="9">
        <v>7.1</v>
      </c>
      <c r="K83" s="9">
        <v>0.7</v>
      </c>
      <c r="L83" s="9">
        <v>0.03</v>
      </c>
      <c r="M83" s="9">
        <v>102.2</v>
      </c>
      <c r="N83" s="9">
        <v>16.100000000000001</v>
      </c>
      <c r="O83" s="9" t="s">
        <v>255</v>
      </c>
      <c r="P83" s="10">
        <v>46072</v>
      </c>
    </row>
    <row r="84" spans="1:16">
      <c r="A84" s="8" t="s">
        <v>250</v>
      </c>
      <c r="B84" s="9" t="s">
        <v>353</v>
      </c>
      <c r="C84" s="9">
        <v>2025</v>
      </c>
      <c r="D84" s="9" t="s">
        <v>351</v>
      </c>
      <c r="E84" s="9" t="s">
        <v>356</v>
      </c>
      <c r="F84" s="9" t="s">
        <v>254</v>
      </c>
      <c r="G84" s="9">
        <v>55</v>
      </c>
      <c r="H84" s="9">
        <v>31</v>
      </c>
      <c r="I84" s="9">
        <v>607</v>
      </c>
      <c r="J84" s="9">
        <v>7.4</v>
      </c>
      <c r="K84" s="9">
        <v>0.7</v>
      </c>
      <c r="L84" s="9">
        <v>3.3000000000000002E-2</v>
      </c>
      <c r="M84" s="9">
        <v>83.9</v>
      </c>
      <c r="N84" s="9">
        <v>12</v>
      </c>
      <c r="O84" s="9" t="s">
        <v>255</v>
      </c>
      <c r="P84" s="10">
        <v>46072</v>
      </c>
    </row>
    <row r="85" spans="1:16">
      <c r="A85" s="8" t="s">
        <v>250</v>
      </c>
      <c r="B85" s="9" t="s">
        <v>357</v>
      </c>
      <c r="C85" s="9">
        <v>2025</v>
      </c>
      <c r="D85" s="9" t="s">
        <v>351</v>
      </c>
      <c r="E85" s="9" t="s">
        <v>358</v>
      </c>
      <c r="F85" s="9" t="s">
        <v>254</v>
      </c>
      <c r="G85" s="9">
        <v>61.6</v>
      </c>
      <c r="H85" s="9">
        <v>25.6</v>
      </c>
      <c r="I85" s="9">
        <v>624.29999999999995</v>
      </c>
      <c r="J85" s="9">
        <v>5.9</v>
      </c>
      <c r="K85" s="9">
        <v>0.9</v>
      </c>
      <c r="L85" s="9">
        <v>2.4E-2</v>
      </c>
      <c r="M85" s="9">
        <v>92</v>
      </c>
      <c r="N85" s="9">
        <v>17.399999999999999</v>
      </c>
      <c r="O85" s="9" t="s">
        <v>255</v>
      </c>
      <c r="P85" s="10">
        <v>46072</v>
      </c>
    </row>
    <row r="86" spans="1:16">
      <c r="A86" s="8" t="s">
        <v>250</v>
      </c>
      <c r="B86" s="9" t="s">
        <v>357</v>
      </c>
      <c r="C86" s="9">
        <v>2025</v>
      </c>
      <c r="D86" s="9" t="s">
        <v>351</v>
      </c>
      <c r="E86" s="9" t="s">
        <v>359</v>
      </c>
      <c r="F86" s="9" t="s">
        <v>254</v>
      </c>
      <c r="G86" s="9">
        <v>69.7</v>
      </c>
      <c r="H86" s="9">
        <v>23.7</v>
      </c>
      <c r="I86" s="9">
        <v>618.5</v>
      </c>
      <c r="J86" s="9">
        <v>5.0999999999999996</v>
      </c>
      <c r="K86" s="9">
        <v>0.7</v>
      </c>
      <c r="L86" s="9">
        <v>0.04</v>
      </c>
      <c r="M86" s="9">
        <v>83.7</v>
      </c>
      <c r="N86" s="9">
        <v>27.2</v>
      </c>
      <c r="O86" s="9" t="s">
        <v>255</v>
      </c>
      <c r="P86" s="10">
        <v>46072</v>
      </c>
    </row>
    <row r="87" spans="1:16">
      <c r="A87" s="8" t="s">
        <v>250</v>
      </c>
      <c r="B87" s="9" t="s">
        <v>357</v>
      </c>
      <c r="C87" s="9">
        <v>2025</v>
      </c>
      <c r="D87" s="9" t="s">
        <v>351</v>
      </c>
      <c r="E87" s="9" t="s">
        <v>360</v>
      </c>
      <c r="F87" s="9" t="s">
        <v>254</v>
      </c>
      <c r="G87" s="9">
        <v>46.8</v>
      </c>
      <c r="H87" s="9">
        <v>26.4</v>
      </c>
      <c r="I87" s="9">
        <v>554</v>
      </c>
      <c r="J87" s="9">
        <v>4.5999999999999996</v>
      </c>
      <c r="K87" s="9">
        <v>0.7</v>
      </c>
      <c r="L87" s="9">
        <v>3.3000000000000002E-2</v>
      </c>
      <c r="M87" s="9">
        <v>59.9</v>
      </c>
      <c r="N87" s="9">
        <v>16</v>
      </c>
      <c r="O87" s="9" t="s">
        <v>255</v>
      </c>
      <c r="P87" s="10">
        <v>46072</v>
      </c>
    </row>
    <row r="88" spans="1:16">
      <c r="A88" s="8" t="s">
        <v>250</v>
      </c>
      <c r="B88" s="9" t="s">
        <v>257</v>
      </c>
      <c r="C88" s="9">
        <v>2025</v>
      </c>
      <c r="D88" s="9" t="s">
        <v>351</v>
      </c>
      <c r="E88" s="9" t="s">
        <v>361</v>
      </c>
      <c r="F88" s="9" t="s">
        <v>254</v>
      </c>
      <c r="G88" s="9">
        <v>53.8</v>
      </c>
      <c r="H88" s="9">
        <v>30</v>
      </c>
      <c r="I88" s="9">
        <v>588.4</v>
      </c>
      <c r="J88" s="9">
        <v>3.6</v>
      </c>
      <c r="K88" s="9">
        <v>0.7</v>
      </c>
      <c r="L88" s="9">
        <v>2.8000000000000001E-2</v>
      </c>
      <c r="M88" s="9">
        <v>68.2</v>
      </c>
      <c r="N88" s="9">
        <v>13.5</v>
      </c>
      <c r="O88" s="9" t="s">
        <v>255</v>
      </c>
      <c r="P88" s="10">
        <v>46072</v>
      </c>
    </row>
    <row r="89" spans="1:16">
      <c r="A89" s="8" t="s">
        <v>250</v>
      </c>
      <c r="B89" s="9" t="s">
        <v>257</v>
      </c>
      <c r="C89" s="9">
        <v>2025</v>
      </c>
      <c r="D89" s="9" t="s">
        <v>351</v>
      </c>
      <c r="E89" s="9" t="s">
        <v>362</v>
      </c>
      <c r="F89" s="9" t="s">
        <v>254</v>
      </c>
      <c r="G89" s="9">
        <v>55.5</v>
      </c>
      <c r="H89" s="9">
        <v>25.6</v>
      </c>
      <c r="I89" s="9">
        <v>601.5</v>
      </c>
      <c r="J89" s="9">
        <v>3.2</v>
      </c>
      <c r="K89" s="9">
        <v>0.7</v>
      </c>
      <c r="L89" s="9">
        <v>2.1999999999999999E-2</v>
      </c>
      <c r="M89" s="9">
        <v>57.1</v>
      </c>
      <c r="N89" s="9">
        <v>14.2</v>
      </c>
      <c r="O89" s="9" t="s">
        <v>255</v>
      </c>
      <c r="P89" s="10">
        <v>46072</v>
      </c>
    </row>
    <row r="90" spans="1:16">
      <c r="A90" s="8" t="s">
        <v>250</v>
      </c>
      <c r="B90" s="9" t="s">
        <v>251</v>
      </c>
      <c r="C90" s="9">
        <v>2025</v>
      </c>
      <c r="D90" s="9" t="s">
        <v>351</v>
      </c>
      <c r="E90" s="9" t="s">
        <v>363</v>
      </c>
      <c r="F90" s="9" t="s">
        <v>254</v>
      </c>
      <c r="G90" s="9">
        <v>62.5</v>
      </c>
      <c r="H90" s="9">
        <v>24.7</v>
      </c>
      <c r="I90" s="9">
        <v>826</v>
      </c>
      <c r="J90" s="9">
        <v>6.1</v>
      </c>
      <c r="K90" s="9">
        <v>0.7</v>
      </c>
      <c r="L90" s="9">
        <v>2.5000000000000001E-2</v>
      </c>
      <c r="M90" s="9">
        <v>159.19999999999999</v>
      </c>
      <c r="N90" s="9">
        <v>16.100000000000001</v>
      </c>
      <c r="O90" s="9" t="s">
        <v>255</v>
      </c>
      <c r="P90" s="10">
        <v>46072</v>
      </c>
    </row>
    <row r="91" spans="1:16">
      <c r="A91" s="8" t="s">
        <v>250</v>
      </c>
      <c r="B91" s="9" t="s">
        <v>251</v>
      </c>
      <c r="C91" s="9">
        <v>2025</v>
      </c>
      <c r="D91" s="9" t="s">
        <v>351</v>
      </c>
      <c r="E91" s="9" t="s">
        <v>364</v>
      </c>
      <c r="F91" s="9" t="s">
        <v>254</v>
      </c>
      <c r="G91" s="9">
        <v>65.3</v>
      </c>
      <c r="H91" s="9">
        <v>25.1</v>
      </c>
      <c r="I91" s="9">
        <v>674.2</v>
      </c>
      <c r="J91" s="9">
        <v>3.1</v>
      </c>
      <c r="K91" s="9">
        <v>0.7</v>
      </c>
      <c r="L91" s="9">
        <v>3.1E-2</v>
      </c>
      <c r="M91" s="9">
        <v>110.6</v>
      </c>
      <c r="N91" s="9">
        <v>23.1</v>
      </c>
      <c r="O91" s="9" t="s">
        <v>255</v>
      </c>
      <c r="P91" s="10">
        <v>46072</v>
      </c>
    </row>
    <row r="92" spans="1:16">
      <c r="A92" s="8" t="s">
        <v>250</v>
      </c>
      <c r="B92" s="9" t="s">
        <v>251</v>
      </c>
      <c r="C92" s="9">
        <v>2025</v>
      </c>
      <c r="D92" s="9" t="s">
        <v>351</v>
      </c>
      <c r="E92" s="9" t="s">
        <v>365</v>
      </c>
      <c r="F92" s="9" t="s">
        <v>254</v>
      </c>
      <c r="G92" s="9">
        <v>59.4</v>
      </c>
      <c r="H92" s="9">
        <v>19.399999999999999</v>
      </c>
      <c r="I92" s="9">
        <v>635.29999999999995</v>
      </c>
      <c r="J92" s="9">
        <v>2.1</v>
      </c>
      <c r="K92" s="9">
        <v>0.7</v>
      </c>
      <c r="L92" s="9">
        <v>4.8000000000000001E-2</v>
      </c>
      <c r="M92" s="9">
        <v>71</v>
      </c>
      <c r="N92" s="9">
        <v>21.4</v>
      </c>
      <c r="O92" s="9" t="s">
        <v>255</v>
      </c>
      <c r="P92" s="10">
        <v>46072</v>
      </c>
    </row>
    <row r="93" spans="1:16">
      <c r="A93" s="8" t="s">
        <v>250</v>
      </c>
      <c r="B93" s="9" t="s">
        <v>251</v>
      </c>
      <c r="C93" s="9">
        <v>2025</v>
      </c>
      <c r="D93" s="9" t="s">
        <v>351</v>
      </c>
      <c r="E93" s="9" t="s">
        <v>366</v>
      </c>
      <c r="F93" s="9" t="s">
        <v>254</v>
      </c>
      <c r="G93" s="9">
        <v>54.2</v>
      </c>
      <c r="H93" s="9">
        <v>23.2</v>
      </c>
      <c r="I93" s="9">
        <v>649.1</v>
      </c>
      <c r="J93" s="9">
        <v>4</v>
      </c>
      <c r="K93" s="9">
        <v>0.7</v>
      </c>
      <c r="L93" s="9">
        <v>4.2000000000000003E-2</v>
      </c>
      <c r="M93" s="9">
        <v>97.3</v>
      </c>
      <c r="N93" s="9">
        <v>23.4</v>
      </c>
      <c r="O93" s="9" t="s">
        <v>255</v>
      </c>
      <c r="P93" s="10">
        <v>46072</v>
      </c>
    </row>
    <row r="94" spans="1:16">
      <c r="A94" s="8" t="s">
        <v>250</v>
      </c>
      <c r="B94" s="9" t="s">
        <v>367</v>
      </c>
      <c r="C94" s="9">
        <v>2025</v>
      </c>
      <c r="D94" s="9" t="s">
        <v>351</v>
      </c>
      <c r="E94" s="9" t="s">
        <v>368</v>
      </c>
      <c r="F94" s="9" t="s">
        <v>254</v>
      </c>
      <c r="G94" s="9">
        <v>53.6</v>
      </c>
      <c r="H94" s="9">
        <v>32.799999999999997</v>
      </c>
      <c r="I94" s="9">
        <v>644.4</v>
      </c>
      <c r="J94" s="9">
        <v>5.5</v>
      </c>
      <c r="K94" s="9">
        <v>0.7</v>
      </c>
      <c r="L94" s="9">
        <v>5.1999999999999998E-2</v>
      </c>
      <c r="M94" s="9">
        <v>135.80000000000001</v>
      </c>
      <c r="N94" s="9">
        <v>10.4</v>
      </c>
      <c r="O94" s="9" t="s">
        <v>255</v>
      </c>
      <c r="P94" s="10">
        <v>46072</v>
      </c>
    </row>
    <row r="95" spans="1:16">
      <c r="A95" s="8" t="s">
        <v>250</v>
      </c>
      <c r="B95" s="9" t="s">
        <v>367</v>
      </c>
      <c r="C95" s="9">
        <v>2025</v>
      </c>
      <c r="D95" s="9" t="s">
        <v>351</v>
      </c>
      <c r="E95" s="9" t="s">
        <v>369</v>
      </c>
      <c r="F95" s="9" t="s">
        <v>254</v>
      </c>
      <c r="G95" s="9">
        <v>66.8</v>
      </c>
      <c r="H95" s="9">
        <v>35.1</v>
      </c>
      <c r="I95" s="9">
        <v>588.29999999999995</v>
      </c>
      <c r="J95" s="9">
        <v>2.1</v>
      </c>
      <c r="K95" s="9">
        <v>0.7</v>
      </c>
      <c r="L95" s="9">
        <v>2.5000000000000001E-2</v>
      </c>
      <c r="M95" s="9">
        <v>43.1</v>
      </c>
      <c r="N95" s="9">
        <v>16.899999999999999</v>
      </c>
      <c r="O95" s="9" t="s">
        <v>255</v>
      </c>
      <c r="P95" s="10">
        <v>46072</v>
      </c>
    </row>
    <row r="96" spans="1:16">
      <c r="A96" s="8" t="s">
        <v>250</v>
      </c>
      <c r="B96" s="9" t="s">
        <v>367</v>
      </c>
      <c r="C96" s="9">
        <v>2025</v>
      </c>
      <c r="D96" s="9" t="s">
        <v>351</v>
      </c>
      <c r="E96" s="9" t="s">
        <v>370</v>
      </c>
      <c r="F96" s="9" t="s">
        <v>254</v>
      </c>
      <c r="G96" s="9">
        <v>51.7</v>
      </c>
      <c r="H96" s="9">
        <v>27.2</v>
      </c>
      <c r="I96" s="9">
        <v>613.9</v>
      </c>
      <c r="J96" s="9">
        <v>4.8</v>
      </c>
      <c r="K96" s="9">
        <v>0.7</v>
      </c>
      <c r="L96" s="9">
        <v>3.2000000000000001E-2</v>
      </c>
      <c r="M96" s="9">
        <v>63.8</v>
      </c>
      <c r="N96" s="9">
        <v>12.9</v>
      </c>
      <c r="O96" s="9" t="s">
        <v>255</v>
      </c>
      <c r="P96" s="10">
        <v>46072</v>
      </c>
    </row>
    <row r="97" spans="1:16">
      <c r="A97" s="8" t="s">
        <v>250</v>
      </c>
      <c r="B97" s="9" t="s">
        <v>367</v>
      </c>
      <c r="C97" s="9">
        <v>2025</v>
      </c>
      <c r="D97" s="9" t="s">
        <v>351</v>
      </c>
      <c r="E97" s="9" t="s">
        <v>371</v>
      </c>
      <c r="F97" s="9" t="s">
        <v>254</v>
      </c>
      <c r="G97" s="9">
        <v>32.799999999999997</v>
      </c>
      <c r="H97" s="9">
        <v>29.9</v>
      </c>
      <c r="I97" s="9">
        <v>645.9</v>
      </c>
      <c r="J97" s="9">
        <v>5.3</v>
      </c>
      <c r="K97" s="9">
        <v>1.2</v>
      </c>
      <c r="L97" s="9">
        <v>1.7000000000000001E-2</v>
      </c>
      <c r="M97" s="9">
        <v>56.6</v>
      </c>
      <c r="N97" s="9">
        <v>17.600000000000001</v>
      </c>
      <c r="O97" s="9" t="s">
        <v>255</v>
      </c>
      <c r="P97" s="10">
        <v>46072</v>
      </c>
    </row>
    <row r="98" spans="1:16">
      <c r="A98" s="8" t="s">
        <v>250</v>
      </c>
      <c r="B98" s="9" t="s">
        <v>367</v>
      </c>
      <c r="C98" s="9">
        <v>2025</v>
      </c>
      <c r="D98" s="9" t="s">
        <v>351</v>
      </c>
      <c r="E98" s="9" t="s">
        <v>372</v>
      </c>
      <c r="F98" s="9" t="s">
        <v>254</v>
      </c>
      <c r="G98" s="9">
        <v>62.7</v>
      </c>
      <c r="H98" s="9">
        <v>36.799999999999997</v>
      </c>
      <c r="I98" s="9">
        <v>591.4</v>
      </c>
      <c r="J98" s="9">
        <v>3.1</v>
      </c>
      <c r="K98" s="9">
        <v>0.7</v>
      </c>
      <c r="L98" s="9">
        <v>4.9000000000000002E-2</v>
      </c>
      <c r="M98" s="9">
        <v>56.5</v>
      </c>
      <c r="N98" s="9">
        <v>15</v>
      </c>
      <c r="O98" s="9" t="s">
        <v>255</v>
      </c>
      <c r="P98" s="10">
        <v>46072</v>
      </c>
    </row>
    <row r="99" spans="1:16">
      <c r="A99" s="8" t="s">
        <v>250</v>
      </c>
      <c r="B99" s="9" t="s">
        <v>290</v>
      </c>
      <c r="C99" s="9">
        <v>2025</v>
      </c>
      <c r="D99" s="9" t="s">
        <v>351</v>
      </c>
      <c r="E99" s="9" t="s">
        <v>373</v>
      </c>
      <c r="F99" s="9" t="s">
        <v>254</v>
      </c>
      <c r="G99" s="9">
        <v>56.2</v>
      </c>
      <c r="H99" s="9">
        <v>30.9</v>
      </c>
      <c r="I99" s="9">
        <v>647.79999999999995</v>
      </c>
      <c r="J99" s="9">
        <v>4.7</v>
      </c>
      <c r="K99" s="9">
        <v>0.7</v>
      </c>
      <c r="L99" s="9">
        <v>3.7999999999999999E-2</v>
      </c>
      <c r="M99" s="9">
        <v>53.9</v>
      </c>
      <c r="N99" s="9">
        <v>10.199999999999999</v>
      </c>
      <c r="O99" s="9" t="s">
        <v>255</v>
      </c>
      <c r="P99" s="10">
        <v>46072</v>
      </c>
    </row>
    <row r="100" spans="1:16">
      <c r="A100" s="8" t="s">
        <v>250</v>
      </c>
      <c r="B100" s="9" t="s">
        <v>290</v>
      </c>
      <c r="C100" s="9">
        <v>2025</v>
      </c>
      <c r="D100" s="9" t="s">
        <v>351</v>
      </c>
      <c r="E100" s="9" t="s">
        <v>374</v>
      </c>
      <c r="F100" s="9" t="s">
        <v>254</v>
      </c>
      <c r="G100" s="9">
        <v>73.900000000000006</v>
      </c>
      <c r="H100" s="9">
        <v>30.9</v>
      </c>
      <c r="I100" s="9">
        <v>734.5</v>
      </c>
      <c r="J100" s="9">
        <v>3.9</v>
      </c>
      <c r="K100" s="9">
        <v>0.7</v>
      </c>
      <c r="L100" s="9">
        <v>3.6999999999999998E-2</v>
      </c>
      <c r="M100" s="9">
        <v>79.5</v>
      </c>
      <c r="N100" s="9">
        <v>14.7</v>
      </c>
      <c r="O100" s="9" t="s">
        <v>255</v>
      </c>
      <c r="P100" s="10">
        <v>46072</v>
      </c>
    </row>
    <row r="101" spans="1:16">
      <c r="A101" s="8" t="s">
        <v>250</v>
      </c>
      <c r="B101" s="9" t="s">
        <v>286</v>
      </c>
      <c r="C101" s="9">
        <v>2025</v>
      </c>
      <c r="D101" s="9" t="s">
        <v>351</v>
      </c>
      <c r="E101" s="9" t="s">
        <v>375</v>
      </c>
      <c r="F101" s="9" t="s">
        <v>254</v>
      </c>
      <c r="G101" s="9">
        <v>69.400000000000006</v>
      </c>
      <c r="H101" s="9">
        <v>37.700000000000003</v>
      </c>
      <c r="I101" s="9">
        <v>557.9</v>
      </c>
      <c r="J101" s="9">
        <v>2.2999999999999998</v>
      </c>
      <c r="K101" s="9">
        <v>0.7</v>
      </c>
      <c r="L101" s="9">
        <v>2.1000000000000001E-2</v>
      </c>
      <c r="M101" s="9">
        <v>44.1</v>
      </c>
      <c r="N101" s="9">
        <v>43.2</v>
      </c>
      <c r="O101" s="9" t="s">
        <v>255</v>
      </c>
      <c r="P101" s="10">
        <v>46072</v>
      </c>
    </row>
    <row r="102" spans="1:16">
      <c r="A102" s="8" t="s">
        <v>250</v>
      </c>
      <c r="B102" s="9" t="s">
        <v>376</v>
      </c>
      <c r="C102" s="9">
        <v>2025</v>
      </c>
      <c r="D102" s="9" t="s">
        <v>377</v>
      </c>
      <c r="E102" s="9" t="s">
        <v>378</v>
      </c>
      <c r="F102" s="9" t="s">
        <v>254</v>
      </c>
      <c r="G102" s="9">
        <v>48.6</v>
      </c>
      <c r="H102" s="9">
        <v>26.9</v>
      </c>
      <c r="I102" s="9">
        <v>479</v>
      </c>
      <c r="J102" s="9">
        <v>6.5</v>
      </c>
      <c r="K102" s="9">
        <v>3.1</v>
      </c>
      <c r="L102" s="9">
        <v>3.5999999999999997E-2</v>
      </c>
      <c r="M102" s="9">
        <v>66.7</v>
      </c>
      <c r="N102" s="9">
        <v>31</v>
      </c>
      <c r="O102" s="9" t="s">
        <v>255</v>
      </c>
      <c r="P102" s="10">
        <v>46072</v>
      </c>
    </row>
    <row r="103" spans="1:16">
      <c r="A103" s="8" t="s">
        <v>250</v>
      </c>
      <c r="B103" s="9" t="s">
        <v>376</v>
      </c>
      <c r="C103" s="9">
        <v>2025</v>
      </c>
      <c r="D103" s="9" t="s">
        <v>377</v>
      </c>
      <c r="E103" s="9" t="s">
        <v>379</v>
      </c>
      <c r="F103" s="9" t="s">
        <v>254</v>
      </c>
      <c r="G103" s="9">
        <v>48.3</v>
      </c>
      <c r="H103" s="9">
        <v>27.8</v>
      </c>
      <c r="I103" s="9">
        <v>496.5</v>
      </c>
      <c r="J103" s="9">
        <v>14.9</v>
      </c>
      <c r="K103" s="9">
        <v>3.2</v>
      </c>
      <c r="L103" s="9">
        <v>3.1E-2</v>
      </c>
      <c r="M103" s="9">
        <v>31.7</v>
      </c>
      <c r="N103" s="9">
        <v>24</v>
      </c>
      <c r="O103" s="9" t="s">
        <v>255</v>
      </c>
      <c r="P103" s="10">
        <v>46072</v>
      </c>
    </row>
    <row r="104" spans="1:16">
      <c r="A104" s="8" t="s">
        <v>250</v>
      </c>
      <c r="B104" s="9" t="s">
        <v>376</v>
      </c>
      <c r="C104" s="9">
        <v>2025</v>
      </c>
      <c r="D104" s="9" t="s">
        <v>377</v>
      </c>
      <c r="E104" s="9" t="s">
        <v>380</v>
      </c>
      <c r="F104" s="9" t="s">
        <v>254</v>
      </c>
      <c r="G104" s="9">
        <v>47.7</v>
      </c>
      <c r="H104" s="9">
        <v>27.6</v>
      </c>
      <c r="I104" s="9">
        <v>555</v>
      </c>
      <c r="J104" s="9">
        <v>6.6</v>
      </c>
      <c r="K104" s="9">
        <v>2.8</v>
      </c>
      <c r="L104" s="9">
        <v>0.03</v>
      </c>
      <c r="M104" s="9">
        <v>25.7</v>
      </c>
      <c r="N104" s="9">
        <v>54.3</v>
      </c>
      <c r="O104" s="9" t="s">
        <v>255</v>
      </c>
      <c r="P104" s="10">
        <v>46072</v>
      </c>
    </row>
    <row r="105" spans="1:16">
      <c r="A105" s="8" t="s">
        <v>250</v>
      </c>
      <c r="B105" s="9" t="s">
        <v>376</v>
      </c>
      <c r="C105" s="9">
        <v>2025</v>
      </c>
      <c r="D105" s="9" t="s">
        <v>377</v>
      </c>
      <c r="E105" s="9" t="s">
        <v>381</v>
      </c>
      <c r="F105" s="9" t="s">
        <v>254</v>
      </c>
      <c r="G105" s="9">
        <v>47.8</v>
      </c>
      <c r="H105" s="9">
        <v>26.3</v>
      </c>
      <c r="I105" s="9">
        <v>510</v>
      </c>
      <c r="J105" s="9">
        <v>7.3</v>
      </c>
      <c r="K105" s="9">
        <v>3.2</v>
      </c>
      <c r="L105" s="9">
        <v>0.03</v>
      </c>
      <c r="M105" s="9">
        <v>107</v>
      </c>
      <c r="N105" s="9">
        <v>32.5</v>
      </c>
      <c r="O105" s="9" t="s">
        <v>255</v>
      </c>
      <c r="P105" s="10">
        <v>46072</v>
      </c>
    </row>
    <row r="106" spans="1:16">
      <c r="A106" s="8" t="s">
        <v>250</v>
      </c>
      <c r="B106" s="9" t="s">
        <v>376</v>
      </c>
      <c r="C106" s="9">
        <v>2025</v>
      </c>
      <c r="D106" s="9" t="s">
        <v>377</v>
      </c>
      <c r="E106" s="9" t="s">
        <v>382</v>
      </c>
      <c r="F106" s="9" t="s">
        <v>254</v>
      </c>
      <c r="G106" s="9">
        <v>46</v>
      </c>
      <c r="H106" s="9">
        <v>28</v>
      </c>
      <c r="I106" s="9">
        <v>543.5</v>
      </c>
      <c r="J106" s="9">
        <v>9</v>
      </c>
      <c r="K106" s="9">
        <v>2.6</v>
      </c>
      <c r="L106" s="9">
        <v>2.5000000000000001E-2</v>
      </c>
      <c r="M106" s="9">
        <v>203.8</v>
      </c>
      <c r="N106" s="9">
        <v>39.5</v>
      </c>
      <c r="O106" s="9" t="s">
        <v>255</v>
      </c>
      <c r="P106" s="10">
        <v>46072</v>
      </c>
    </row>
    <row r="107" spans="1:16">
      <c r="A107" s="8" t="s">
        <v>250</v>
      </c>
      <c r="B107" s="9" t="s">
        <v>376</v>
      </c>
      <c r="C107" s="9">
        <v>2025</v>
      </c>
      <c r="D107" s="9" t="s">
        <v>377</v>
      </c>
      <c r="E107" s="9" t="s">
        <v>383</v>
      </c>
      <c r="F107" s="9" t="s">
        <v>254</v>
      </c>
      <c r="G107" s="9">
        <v>49.9</v>
      </c>
      <c r="H107" s="9">
        <v>26.3</v>
      </c>
      <c r="I107" s="9">
        <v>535</v>
      </c>
      <c r="J107" s="9">
        <v>23.6</v>
      </c>
      <c r="K107" s="9">
        <v>3.1</v>
      </c>
      <c r="L107" s="9">
        <v>3.3000000000000002E-2</v>
      </c>
      <c r="M107" s="9">
        <v>26.6</v>
      </c>
      <c r="N107" s="9">
        <v>38</v>
      </c>
      <c r="O107" s="9" t="s">
        <v>255</v>
      </c>
      <c r="P107" s="10">
        <v>46072</v>
      </c>
    </row>
    <row r="108" spans="1:16">
      <c r="A108" s="8" t="s">
        <v>250</v>
      </c>
      <c r="B108" s="9" t="s">
        <v>376</v>
      </c>
      <c r="C108" s="9">
        <v>2025</v>
      </c>
      <c r="D108" s="9" t="s">
        <v>377</v>
      </c>
      <c r="E108" s="9" t="s">
        <v>384</v>
      </c>
      <c r="F108" s="9" t="s">
        <v>254</v>
      </c>
      <c r="G108" s="9">
        <v>52</v>
      </c>
      <c r="H108" s="9">
        <v>28</v>
      </c>
      <c r="I108" s="9">
        <v>502.5</v>
      </c>
      <c r="J108" s="9">
        <v>19.399999999999999</v>
      </c>
      <c r="K108" s="9">
        <v>2.7</v>
      </c>
      <c r="L108" s="9">
        <v>2.9000000000000001E-2</v>
      </c>
      <c r="M108" s="9">
        <v>24.2</v>
      </c>
      <c r="N108" s="9">
        <v>21</v>
      </c>
      <c r="O108" s="9" t="s">
        <v>255</v>
      </c>
      <c r="P108" s="10">
        <v>46072</v>
      </c>
    </row>
    <row r="109" spans="1:16">
      <c r="A109" s="8" t="s">
        <v>250</v>
      </c>
      <c r="B109" s="9" t="s">
        <v>376</v>
      </c>
      <c r="C109" s="9">
        <v>2025</v>
      </c>
      <c r="D109" s="9" t="s">
        <v>377</v>
      </c>
      <c r="E109" s="9" t="s">
        <v>385</v>
      </c>
      <c r="F109" s="9" t="s">
        <v>254</v>
      </c>
      <c r="G109" s="9">
        <v>50.4</v>
      </c>
      <c r="H109" s="9">
        <v>27.8</v>
      </c>
      <c r="I109" s="9">
        <v>675.5</v>
      </c>
      <c r="J109" s="9">
        <v>17.5</v>
      </c>
      <c r="K109" s="9">
        <v>3.4</v>
      </c>
      <c r="L109" s="9">
        <v>3.3000000000000002E-2</v>
      </c>
      <c r="M109" s="9">
        <v>19.100000000000001</v>
      </c>
      <c r="N109" s="9">
        <v>19.5</v>
      </c>
      <c r="O109" s="9" t="s">
        <v>255</v>
      </c>
      <c r="P109" s="10">
        <v>46072</v>
      </c>
    </row>
    <row r="110" spans="1:16">
      <c r="A110" s="8" t="s">
        <v>250</v>
      </c>
      <c r="B110" s="9" t="s">
        <v>376</v>
      </c>
      <c r="C110" s="9">
        <v>2025</v>
      </c>
      <c r="D110" s="9" t="s">
        <v>377</v>
      </c>
      <c r="E110" s="9" t="s">
        <v>386</v>
      </c>
      <c r="F110" s="9" t="s">
        <v>254</v>
      </c>
      <c r="G110" s="9">
        <v>50.6</v>
      </c>
      <c r="H110" s="9">
        <v>27.6</v>
      </c>
      <c r="I110" s="9">
        <v>649.5</v>
      </c>
      <c r="J110" s="9">
        <v>33.6</v>
      </c>
      <c r="K110" s="9">
        <v>2.7</v>
      </c>
      <c r="L110" s="9">
        <v>2.9000000000000001E-2</v>
      </c>
      <c r="M110" s="9">
        <v>14.3</v>
      </c>
      <c r="N110" s="9">
        <v>32.5</v>
      </c>
      <c r="O110" s="9" t="s">
        <v>255</v>
      </c>
      <c r="P110" s="10">
        <v>46072</v>
      </c>
    </row>
    <row r="111" spans="1:16">
      <c r="A111" s="8" t="s">
        <v>250</v>
      </c>
      <c r="B111" s="9" t="s">
        <v>311</v>
      </c>
      <c r="C111" s="9">
        <v>2025</v>
      </c>
      <c r="D111" s="9" t="s">
        <v>377</v>
      </c>
      <c r="E111" s="9" t="s">
        <v>387</v>
      </c>
      <c r="F111" s="9" t="s">
        <v>254</v>
      </c>
      <c r="G111" s="9">
        <v>47.8</v>
      </c>
      <c r="H111" s="9">
        <v>27.5</v>
      </c>
      <c r="I111" s="9">
        <v>655</v>
      </c>
      <c r="J111" s="9">
        <v>26.6</v>
      </c>
      <c r="K111" s="9">
        <v>3.2</v>
      </c>
      <c r="L111" s="9">
        <v>3.2000000000000001E-2</v>
      </c>
      <c r="M111" s="9">
        <v>22</v>
      </c>
      <c r="N111" s="9">
        <v>11.5</v>
      </c>
      <c r="O111" s="9" t="s">
        <v>255</v>
      </c>
      <c r="P111" s="10">
        <v>46072</v>
      </c>
    </row>
    <row r="112" spans="1:16">
      <c r="A112" s="8" t="s">
        <v>250</v>
      </c>
      <c r="B112" s="9" t="s">
        <v>311</v>
      </c>
      <c r="C112" s="9">
        <v>2025</v>
      </c>
      <c r="D112" s="9" t="s">
        <v>377</v>
      </c>
      <c r="E112" s="9" t="s">
        <v>388</v>
      </c>
      <c r="F112" s="9" t="s">
        <v>254</v>
      </c>
      <c r="G112" s="9">
        <v>48.4</v>
      </c>
      <c r="H112" s="9">
        <v>25.9</v>
      </c>
      <c r="I112" s="9">
        <v>570.5</v>
      </c>
      <c r="J112" s="9">
        <v>17.8</v>
      </c>
      <c r="K112" s="9">
        <v>3.4</v>
      </c>
      <c r="L112" s="9">
        <v>2.7E-2</v>
      </c>
      <c r="M112" s="9">
        <v>20.399999999999999</v>
      </c>
      <c r="N112" s="9">
        <v>23</v>
      </c>
      <c r="O112" s="9" t="s">
        <v>255</v>
      </c>
      <c r="P112" s="10">
        <v>46072</v>
      </c>
    </row>
    <row r="113" spans="1:16">
      <c r="A113" s="8" t="s">
        <v>250</v>
      </c>
      <c r="B113" s="9" t="s">
        <v>311</v>
      </c>
      <c r="C113" s="9">
        <v>2025</v>
      </c>
      <c r="D113" s="9" t="s">
        <v>377</v>
      </c>
      <c r="E113" s="9" t="s">
        <v>389</v>
      </c>
      <c r="F113" s="9" t="s">
        <v>254</v>
      </c>
      <c r="G113" s="9">
        <v>46.7</v>
      </c>
      <c r="H113" s="9">
        <v>26.3</v>
      </c>
      <c r="I113" s="9">
        <v>513.70000000000005</v>
      </c>
      <c r="J113" s="9">
        <v>18.899999999999999</v>
      </c>
      <c r="K113" s="9">
        <v>4.4000000000000004</v>
      </c>
      <c r="L113" s="9">
        <v>3.2000000000000001E-2</v>
      </c>
      <c r="M113" s="9">
        <v>27.4</v>
      </c>
      <c r="N113" s="9">
        <v>45.7</v>
      </c>
      <c r="O113" s="9" t="s">
        <v>255</v>
      </c>
      <c r="P113" s="10">
        <v>46072</v>
      </c>
    </row>
    <row r="114" spans="1:16">
      <c r="A114" s="8" t="s">
        <v>250</v>
      </c>
      <c r="B114" s="9" t="s">
        <v>299</v>
      </c>
      <c r="C114" s="9">
        <v>2025</v>
      </c>
      <c r="D114" s="9" t="s">
        <v>377</v>
      </c>
      <c r="E114" s="9" t="s">
        <v>390</v>
      </c>
      <c r="F114" s="9" t="s">
        <v>254</v>
      </c>
      <c r="G114" s="9">
        <v>50</v>
      </c>
      <c r="H114" s="9">
        <v>26.3</v>
      </c>
      <c r="I114" s="9">
        <v>555.5</v>
      </c>
      <c r="J114" s="9">
        <v>15.4</v>
      </c>
      <c r="K114" s="9">
        <v>4.8</v>
      </c>
      <c r="L114" s="9">
        <v>3.1E-2</v>
      </c>
      <c r="M114" s="9">
        <v>43</v>
      </c>
      <c r="N114" s="9">
        <v>12</v>
      </c>
      <c r="O114" s="9" t="s">
        <v>255</v>
      </c>
      <c r="P114" s="10">
        <v>46072</v>
      </c>
    </row>
    <row r="115" spans="1:16">
      <c r="A115" s="8" t="s">
        <v>250</v>
      </c>
      <c r="B115" s="9" t="s">
        <v>299</v>
      </c>
      <c r="C115" s="9">
        <v>2025</v>
      </c>
      <c r="D115" s="9" t="s">
        <v>377</v>
      </c>
      <c r="E115" s="9" t="s">
        <v>391</v>
      </c>
      <c r="F115" s="9" t="s">
        <v>254</v>
      </c>
      <c r="G115" s="9">
        <v>46.1</v>
      </c>
      <c r="H115" s="9">
        <v>27</v>
      </c>
      <c r="I115" s="9">
        <v>523.79999999999995</v>
      </c>
      <c r="J115" s="9">
        <v>11.4</v>
      </c>
      <c r="K115" s="9">
        <v>3.7</v>
      </c>
      <c r="L115" s="9">
        <v>2.5000000000000001E-2</v>
      </c>
      <c r="M115" s="9">
        <v>39.4</v>
      </c>
      <c r="N115" s="9">
        <v>35.299999999999997</v>
      </c>
      <c r="O115" s="9" t="s">
        <v>255</v>
      </c>
      <c r="P115" s="10">
        <v>46072</v>
      </c>
    </row>
    <row r="116" spans="1:16">
      <c r="A116" s="8" t="s">
        <v>250</v>
      </c>
      <c r="B116" s="9" t="s">
        <v>299</v>
      </c>
      <c r="C116" s="9">
        <v>2025</v>
      </c>
      <c r="D116" s="9" t="s">
        <v>377</v>
      </c>
      <c r="E116" s="9" t="s">
        <v>392</v>
      </c>
      <c r="F116" s="9" t="s">
        <v>254</v>
      </c>
      <c r="G116" s="9">
        <v>50.2</v>
      </c>
      <c r="H116" s="9">
        <v>27.3</v>
      </c>
      <c r="I116" s="9">
        <v>521.29999999999995</v>
      </c>
      <c r="J116" s="9">
        <v>18.5</v>
      </c>
      <c r="K116" s="9">
        <v>4.4000000000000004</v>
      </c>
      <c r="L116" s="9">
        <v>2.7E-2</v>
      </c>
      <c r="M116" s="9">
        <v>246.6</v>
      </c>
      <c r="N116" s="9">
        <v>26.7</v>
      </c>
      <c r="O116" s="9" t="s">
        <v>255</v>
      </c>
      <c r="P116" s="10">
        <v>46072</v>
      </c>
    </row>
    <row r="117" spans="1:16">
      <c r="A117" s="8" t="s">
        <v>250</v>
      </c>
      <c r="B117" s="9" t="s">
        <v>299</v>
      </c>
      <c r="C117" s="9">
        <v>2025</v>
      </c>
      <c r="D117" s="9" t="s">
        <v>377</v>
      </c>
      <c r="E117" s="9" t="s">
        <v>393</v>
      </c>
      <c r="F117" s="9" t="s">
        <v>254</v>
      </c>
      <c r="G117" s="9">
        <v>55</v>
      </c>
      <c r="H117" s="9">
        <v>24.6</v>
      </c>
      <c r="I117" s="9">
        <v>531.70000000000005</v>
      </c>
      <c r="J117" s="9">
        <v>19.8</v>
      </c>
      <c r="K117" s="9">
        <v>4.3</v>
      </c>
      <c r="L117" s="9">
        <v>2.5000000000000001E-2</v>
      </c>
      <c r="M117" s="9">
        <v>429.3</v>
      </c>
      <c r="N117" s="9">
        <v>20.7</v>
      </c>
      <c r="O117" s="9" t="s">
        <v>255</v>
      </c>
      <c r="P117" s="10">
        <v>46072</v>
      </c>
    </row>
    <row r="118" spans="1:16">
      <c r="A118" s="8" t="s">
        <v>250</v>
      </c>
      <c r="B118" s="9" t="s">
        <v>299</v>
      </c>
      <c r="C118" s="9">
        <v>2025</v>
      </c>
      <c r="D118" s="9" t="s">
        <v>377</v>
      </c>
      <c r="E118" s="9" t="s">
        <v>394</v>
      </c>
      <c r="F118" s="9" t="s">
        <v>254</v>
      </c>
      <c r="G118" s="9">
        <v>57.2</v>
      </c>
      <c r="H118" s="9">
        <v>35.700000000000003</v>
      </c>
      <c r="I118" s="9">
        <v>742</v>
      </c>
      <c r="J118" s="9">
        <v>13.5</v>
      </c>
      <c r="K118" s="9">
        <v>3.4</v>
      </c>
      <c r="L118" s="9">
        <v>3.5999999999999997E-2</v>
      </c>
      <c r="M118" s="9">
        <v>294.10000000000002</v>
      </c>
      <c r="N118" s="9">
        <v>36</v>
      </c>
      <c r="O118" s="9" t="s">
        <v>255</v>
      </c>
      <c r="P118" s="10">
        <v>46072</v>
      </c>
    </row>
    <row r="119" spans="1:16">
      <c r="A119" s="8" t="s">
        <v>250</v>
      </c>
      <c r="B119" s="9" t="s">
        <v>299</v>
      </c>
      <c r="C119" s="9">
        <v>2025</v>
      </c>
      <c r="D119" s="9" t="s">
        <v>377</v>
      </c>
      <c r="E119" s="9" t="s">
        <v>395</v>
      </c>
      <c r="F119" s="9" t="s">
        <v>254</v>
      </c>
      <c r="G119" s="9">
        <v>47.5</v>
      </c>
      <c r="H119" s="9">
        <v>27.1</v>
      </c>
      <c r="I119" s="9">
        <v>559</v>
      </c>
      <c r="J119" s="9">
        <v>18.8</v>
      </c>
      <c r="K119" s="9">
        <v>3</v>
      </c>
      <c r="L119" s="9">
        <v>2.9000000000000001E-2</v>
      </c>
      <c r="M119" s="9">
        <v>429.6</v>
      </c>
      <c r="N119" s="9">
        <v>30.3</v>
      </c>
      <c r="O119" s="9" t="s">
        <v>255</v>
      </c>
      <c r="P119" s="10">
        <v>46072</v>
      </c>
    </row>
    <row r="120" spans="1:16">
      <c r="A120" s="8" t="s">
        <v>250</v>
      </c>
      <c r="B120" s="9" t="s">
        <v>302</v>
      </c>
      <c r="C120" s="9">
        <v>2025</v>
      </c>
      <c r="D120" s="9" t="s">
        <v>377</v>
      </c>
      <c r="E120" s="9" t="s">
        <v>396</v>
      </c>
      <c r="F120" s="9" t="s">
        <v>254</v>
      </c>
      <c r="G120" s="9">
        <v>55.4</v>
      </c>
      <c r="H120" s="9">
        <v>27.4</v>
      </c>
      <c r="I120" s="9">
        <v>622</v>
      </c>
      <c r="J120" s="9">
        <v>41.7</v>
      </c>
      <c r="K120" s="9">
        <v>3.3</v>
      </c>
      <c r="L120" s="9">
        <v>3.1E-2</v>
      </c>
      <c r="M120" s="9">
        <v>314</v>
      </c>
      <c r="N120" s="9">
        <v>26</v>
      </c>
      <c r="O120" s="9" t="s">
        <v>255</v>
      </c>
      <c r="P120" s="10">
        <v>46072</v>
      </c>
    </row>
    <row r="121" spans="1:16">
      <c r="A121" s="8" t="s">
        <v>250</v>
      </c>
      <c r="B121" s="9" t="s">
        <v>302</v>
      </c>
      <c r="C121" s="9">
        <v>2025</v>
      </c>
      <c r="D121" s="9" t="s">
        <v>377</v>
      </c>
      <c r="E121" s="9" t="s">
        <v>397</v>
      </c>
      <c r="F121" s="9" t="s">
        <v>254</v>
      </c>
      <c r="G121" s="9">
        <v>51.5</v>
      </c>
      <c r="H121" s="9">
        <v>28.8</v>
      </c>
      <c r="I121" s="9">
        <v>532.29999999999995</v>
      </c>
      <c r="J121" s="9">
        <v>34.6</v>
      </c>
      <c r="K121" s="9">
        <v>2.8</v>
      </c>
      <c r="L121" s="9">
        <v>2.8000000000000001E-2</v>
      </c>
      <c r="M121" s="9">
        <v>227.5</v>
      </c>
      <c r="N121" s="9">
        <v>33</v>
      </c>
      <c r="O121" s="9" t="s">
        <v>255</v>
      </c>
      <c r="P121" s="10">
        <v>46072</v>
      </c>
    </row>
    <row r="122" spans="1:16">
      <c r="A122" s="8" t="s">
        <v>250</v>
      </c>
      <c r="B122" s="9" t="s">
        <v>302</v>
      </c>
      <c r="C122" s="9">
        <v>2025</v>
      </c>
      <c r="D122" s="9" t="s">
        <v>377</v>
      </c>
      <c r="E122" s="9" t="s">
        <v>398</v>
      </c>
      <c r="F122" s="9" t="s">
        <v>254</v>
      </c>
      <c r="G122" s="9">
        <v>62.2</v>
      </c>
      <c r="H122" s="9">
        <v>37.5</v>
      </c>
      <c r="I122" s="9">
        <v>482.5</v>
      </c>
      <c r="J122" s="9">
        <v>22.8</v>
      </c>
      <c r="K122" s="9">
        <v>3.3</v>
      </c>
      <c r="L122" s="9">
        <v>3.2000000000000001E-2</v>
      </c>
      <c r="M122" s="9">
        <v>286.5</v>
      </c>
      <c r="N122" s="9">
        <v>28</v>
      </c>
      <c r="O122" s="9" t="s">
        <v>255</v>
      </c>
      <c r="P122" s="10">
        <v>46072</v>
      </c>
    </row>
    <row r="123" spans="1:16">
      <c r="A123" s="8" t="s">
        <v>250</v>
      </c>
      <c r="B123" s="9" t="s">
        <v>308</v>
      </c>
      <c r="C123" s="9">
        <v>2025</v>
      </c>
      <c r="D123" s="9" t="s">
        <v>377</v>
      </c>
      <c r="E123" s="9" t="s">
        <v>399</v>
      </c>
      <c r="F123" s="9" t="s">
        <v>254</v>
      </c>
      <c r="G123" s="9">
        <v>55.1</v>
      </c>
      <c r="H123" s="9">
        <v>32.799999999999997</v>
      </c>
      <c r="I123" s="9">
        <v>501.3</v>
      </c>
      <c r="J123" s="9">
        <v>31.6</v>
      </c>
      <c r="K123" s="9">
        <v>2.9</v>
      </c>
      <c r="L123" s="9">
        <v>0.03</v>
      </c>
      <c r="M123" s="9">
        <v>323.3</v>
      </c>
      <c r="N123" s="9">
        <v>18.7</v>
      </c>
      <c r="O123" s="9" t="s">
        <v>255</v>
      </c>
      <c r="P123" s="10">
        <v>46072</v>
      </c>
    </row>
    <row r="124" spans="1:16">
      <c r="A124" s="8" t="s">
        <v>250</v>
      </c>
      <c r="B124" s="9" t="s">
        <v>257</v>
      </c>
      <c r="C124" s="9">
        <v>2025</v>
      </c>
      <c r="D124" s="9" t="s">
        <v>377</v>
      </c>
      <c r="E124" s="9" t="s">
        <v>400</v>
      </c>
      <c r="F124" s="9" t="s">
        <v>254</v>
      </c>
      <c r="G124" s="9">
        <v>47</v>
      </c>
      <c r="H124" s="9">
        <v>24.4</v>
      </c>
      <c r="I124" s="9">
        <v>524</v>
      </c>
      <c r="J124" s="9">
        <v>23.6</v>
      </c>
      <c r="K124" s="9">
        <v>3.2</v>
      </c>
      <c r="L124" s="9">
        <v>0.02</v>
      </c>
      <c r="M124" s="9">
        <v>273.7</v>
      </c>
      <c r="N124" s="9">
        <v>36</v>
      </c>
      <c r="O124" s="9" t="s">
        <v>255</v>
      </c>
      <c r="P124" s="10">
        <v>46072</v>
      </c>
    </row>
    <row r="125" spans="1:16">
      <c r="A125" s="8" t="s">
        <v>250</v>
      </c>
      <c r="B125" s="9" t="s">
        <v>257</v>
      </c>
      <c r="C125" s="9">
        <v>2025</v>
      </c>
      <c r="D125" s="9" t="s">
        <v>377</v>
      </c>
      <c r="E125" s="9" t="s">
        <v>401</v>
      </c>
      <c r="F125" s="9" t="s">
        <v>254</v>
      </c>
      <c r="G125" s="9">
        <v>49.6</v>
      </c>
      <c r="H125" s="9">
        <v>25.8</v>
      </c>
      <c r="I125" s="9">
        <v>625.29999999999995</v>
      </c>
      <c r="J125" s="9">
        <v>22.6</v>
      </c>
      <c r="K125" s="9">
        <v>3.7</v>
      </c>
      <c r="L125" s="9">
        <v>3.5000000000000003E-2</v>
      </c>
      <c r="M125" s="9">
        <v>263.8</v>
      </c>
      <c r="N125" s="9">
        <v>49.7</v>
      </c>
      <c r="O125" s="9" t="s">
        <v>255</v>
      </c>
      <c r="P125" s="10">
        <v>46072</v>
      </c>
    </row>
    <row r="126" spans="1:16">
      <c r="A126" s="8" t="s">
        <v>250</v>
      </c>
      <c r="B126" s="9" t="s">
        <v>257</v>
      </c>
      <c r="C126" s="9">
        <v>2025</v>
      </c>
      <c r="D126" s="9" t="s">
        <v>377</v>
      </c>
      <c r="E126" s="9" t="s">
        <v>402</v>
      </c>
      <c r="F126" s="9" t="s">
        <v>254</v>
      </c>
      <c r="G126" s="9">
        <v>47.1</v>
      </c>
      <c r="H126" s="9">
        <v>20</v>
      </c>
      <c r="I126" s="9">
        <v>557</v>
      </c>
      <c r="J126" s="9">
        <v>15.7</v>
      </c>
      <c r="K126" s="9">
        <v>3.2</v>
      </c>
      <c r="L126" s="9">
        <v>1.7999999999999999E-2</v>
      </c>
      <c r="M126" s="9">
        <v>285.2</v>
      </c>
      <c r="N126" s="9">
        <v>55</v>
      </c>
      <c r="O126" s="9" t="s">
        <v>255</v>
      </c>
      <c r="P126" s="10">
        <v>46072</v>
      </c>
    </row>
    <row r="127" spans="1:16">
      <c r="A127" s="8" t="s">
        <v>250</v>
      </c>
      <c r="B127" s="9" t="s">
        <v>251</v>
      </c>
      <c r="C127" s="9">
        <v>2025</v>
      </c>
      <c r="D127" s="9" t="s">
        <v>377</v>
      </c>
      <c r="E127" s="9" t="s">
        <v>403</v>
      </c>
      <c r="F127" s="9" t="s">
        <v>254</v>
      </c>
      <c r="G127" s="9">
        <v>45.5</v>
      </c>
      <c r="H127" s="9">
        <v>21.6</v>
      </c>
      <c r="I127" s="9">
        <v>499</v>
      </c>
      <c r="J127" s="9">
        <v>10.9</v>
      </c>
      <c r="K127" s="9">
        <v>2.9</v>
      </c>
      <c r="L127" s="9">
        <v>2.4E-2</v>
      </c>
      <c r="M127" s="9">
        <v>222.7</v>
      </c>
      <c r="N127" s="9">
        <v>29.3</v>
      </c>
      <c r="O127" s="9" t="s">
        <v>255</v>
      </c>
      <c r="P127" s="10">
        <v>46072</v>
      </c>
    </row>
    <row r="128" spans="1:16">
      <c r="A128" s="8" t="s">
        <v>250</v>
      </c>
      <c r="B128" s="9" t="s">
        <v>251</v>
      </c>
      <c r="C128" s="9">
        <v>2025</v>
      </c>
      <c r="D128" s="9" t="s">
        <v>377</v>
      </c>
      <c r="E128" s="9" t="s">
        <v>404</v>
      </c>
      <c r="F128" s="9" t="s">
        <v>254</v>
      </c>
      <c r="G128" s="9">
        <v>42.6</v>
      </c>
      <c r="H128" s="9">
        <v>25.9</v>
      </c>
      <c r="I128" s="9">
        <v>518</v>
      </c>
      <c r="J128" s="9">
        <v>8.1999999999999993</v>
      </c>
      <c r="K128" s="9">
        <v>2.5</v>
      </c>
      <c r="L128" s="9">
        <v>2.8000000000000001E-2</v>
      </c>
      <c r="M128" s="9">
        <v>222</v>
      </c>
      <c r="N128" s="9">
        <v>45.5</v>
      </c>
      <c r="O128" s="9" t="s">
        <v>255</v>
      </c>
      <c r="P128" s="10">
        <v>46072</v>
      </c>
    </row>
    <row r="129" spans="1:16">
      <c r="A129" s="8" t="s">
        <v>250</v>
      </c>
      <c r="B129" s="9" t="s">
        <v>251</v>
      </c>
      <c r="C129" s="9">
        <v>2025</v>
      </c>
      <c r="D129" s="9" t="s">
        <v>377</v>
      </c>
      <c r="E129" s="9" t="s">
        <v>405</v>
      </c>
      <c r="F129" s="9" t="s">
        <v>254</v>
      </c>
      <c r="G129" s="9">
        <v>55.1</v>
      </c>
      <c r="H129" s="9">
        <v>33.700000000000003</v>
      </c>
      <c r="I129" s="9">
        <v>572.5</v>
      </c>
      <c r="J129" s="9">
        <v>20.2</v>
      </c>
      <c r="K129" s="9">
        <v>2.8</v>
      </c>
      <c r="L129" s="9">
        <v>3.3000000000000002E-2</v>
      </c>
      <c r="M129" s="9">
        <v>293.10000000000002</v>
      </c>
      <c r="N129" s="9">
        <v>16.5</v>
      </c>
      <c r="O129" s="9" t="s">
        <v>255</v>
      </c>
      <c r="P129" s="10">
        <v>46072</v>
      </c>
    </row>
    <row r="130" spans="1:16">
      <c r="A130" s="8" t="s">
        <v>250</v>
      </c>
      <c r="B130" s="9" t="s">
        <v>274</v>
      </c>
      <c r="C130" s="9">
        <v>2025</v>
      </c>
      <c r="D130" s="9" t="s">
        <v>377</v>
      </c>
      <c r="E130" s="9" t="s">
        <v>406</v>
      </c>
      <c r="F130" s="9" t="s">
        <v>254</v>
      </c>
      <c r="G130" s="9">
        <v>48.2</v>
      </c>
      <c r="H130" s="9">
        <v>20.100000000000001</v>
      </c>
      <c r="I130" s="9">
        <v>434.5</v>
      </c>
      <c r="J130" s="9">
        <v>11.6</v>
      </c>
      <c r="K130" s="9">
        <v>3.5</v>
      </c>
      <c r="L130" s="9">
        <v>1.7999999999999999E-2</v>
      </c>
      <c r="M130" s="9">
        <v>274.60000000000002</v>
      </c>
      <c r="N130" s="9">
        <v>18.5</v>
      </c>
      <c r="O130" s="9" t="s">
        <v>255</v>
      </c>
      <c r="P130" s="10">
        <v>46072</v>
      </c>
    </row>
    <row r="131" spans="1:16">
      <c r="A131" s="8" t="s">
        <v>250</v>
      </c>
      <c r="B131" s="9" t="s">
        <v>274</v>
      </c>
      <c r="C131" s="9">
        <v>2025</v>
      </c>
      <c r="D131" s="9" t="s">
        <v>377</v>
      </c>
      <c r="E131" s="9" t="s">
        <v>407</v>
      </c>
      <c r="F131" s="9" t="s">
        <v>254</v>
      </c>
      <c r="G131" s="9">
        <v>49.8</v>
      </c>
      <c r="H131" s="9">
        <v>34.700000000000003</v>
      </c>
      <c r="I131" s="9">
        <v>494.5</v>
      </c>
      <c r="J131" s="9">
        <v>27.6</v>
      </c>
      <c r="K131" s="9">
        <v>3.6</v>
      </c>
      <c r="L131" s="9">
        <v>2.4E-2</v>
      </c>
      <c r="M131" s="9">
        <v>47.4</v>
      </c>
      <c r="N131" s="9">
        <v>33</v>
      </c>
      <c r="O131" s="9" t="s">
        <v>255</v>
      </c>
      <c r="P131" s="10">
        <v>46072</v>
      </c>
    </row>
    <row r="132" spans="1:16">
      <c r="A132" s="8" t="s">
        <v>250</v>
      </c>
      <c r="B132" s="9" t="s">
        <v>274</v>
      </c>
      <c r="C132" s="9">
        <v>2025</v>
      </c>
      <c r="D132" s="9" t="s">
        <v>377</v>
      </c>
      <c r="E132" s="9" t="s">
        <v>408</v>
      </c>
      <c r="F132" s="9" t="s">
        <v>254</v>
      </c>
      <c r="G132" s="9">
        <v>48.3</v>
      </c>
      <c r="H132" s="9">
        <v>26.4</v>
      </c>
      <c r="I132" s="9">
        <v>593.70000000000005</v>
      </c>
      <c r="J132" s="9">
        <v>23.4</v>
      </c>
      <c r="K132" s="9">
        <v>2.7</v>
      </c>
      <c r="L132" s="9">
        <v>3.4000000000000002E-2</v>
      </c>
      <c r="M132" s="9">
        <v>32.299999999999997</v>
      </c>
      <c r="N132" s="9">
        <v>31.7</v>
      </c>
      <c r="O132" s="9" t="s">
        <v>255</v>
      </c>
      <c r="P132" s="10">
        <v>46072</v>
      </c>
    </row>
    <row r="133" spans="1:16">
      <c r="A133" s="8" t="s">
        <v>250</v>
      </c>
      <c r="B133" s="9" t="s">
        <v>274</v>
      </c>
      <c r="C133" s="9">
        <v>2025</v>
      </c>
      <c r="D133" s="9" t="s">
        <v>377</v>
      </c>
      <c r="E133" s="9" t="s">
        <v>409</v>
      </c>
      <c r="F133" s="9" t="s">
        <v>254</v>
      </c>
      <c r="G133" s="9">
        <v>54</v>
      </c>
      <c r="H133" s="9">
        <v>33.1</v>
      </c>
      <c r="I133" s="9">
        <v>635</v>
      </c>
      <c r="J133" s="9">
        <v>17.600000000000001</v>
      </c>
      <c r="K133" s="9">
        <v>3.1</v>
      </c>
      <c r="L133" s="9">
        <v>3.5000000000000003E-2</v>
      </c>
      <c r="M133" s="9">
        <v>39.299999999999997</v>
      </c>
      <c r="N133" s="9">
        <v>13.5</v>
      </c>
      <c r="O133" s="9" t="s">
        <v>255</v>
      </c>
      <c r="P133" s="10">
        <v>46072</v>
      </c>
    </row>
    <row r="134" spans="1:16">
      <c r="A134" s="8" t="s">
        <v>250</v>
      </c>
      <c r="B134" s="9" t="s">
        <v>274</v>
      </c>
      <c r="C134" s="9">
        <v>2025</v>
      </c>
      <c r="D134" s="9" t="s">
        <v>377</v>
      </c>
      <c r="E134" s="9" t="s">
        <v>410</v>
      </c>
      <c r="F134" s="9" t="s">
        <v>254</v>
      </c>
      <c r="G134" s="9">
        <v>44.3</v>
      </c>
      <c r="H134" s="9">
        <v>19.3</v>
      </c>
      <c r="I134" s="9">
        <v>466.5</v>
      </c>
      <c r="J134" s="9">
        <v>15.7</v>
      </c>
      <c r="K134" s="9">
        <v>3.4</v>
      </c>
      <c r="L134" s="9">
        <v>2.1999999999999999E-2</v>
      </c>
      <c r="M134" s="9">
        <v>28.8</v>
      </c>
      <c r="N134" s="9">
        <v>29.5</v>
      </c>
      <c r="O134" s="9" t="s">
        <v>255</v>
      </c>
      <c r="P134" s="10">
        <v>46072</v>
      </c>
    </row>
    <row r="135" spans="1:16">
      <c r="A135" s="8" t="s">
        <v>250</v>
      </c>
      <c r="B135" s="9" t="s">
        <v>263</v>
      </c>
      <c r="C135" s="9">
        <v>2025</v>
      </c>
      <c r="D135" s="9" t="s">
        <v>377</v>
      </c>
      <c r="E135" s="9" t="s">
        <v>411</v>
      </c>
      <c r="F135" s="9" t="s">
        <v>254</v>
      </c>
      <c r="G135" s="9">
        <v>45.3</v>
      </c>
      <c r="H135" s="9">
        <v>27.6</v>
      </c>
      <c r="I135" s="9">
        <v>490</v>
      </c>
      <c r="J135" s="9">
        <v>29.2</v>
      </c>
      <c r="K135" s="9">
        <v>2.6</v>
      </c>
      <c r="L135" s="9">
        <v>1.2999999999999999E-2</v>
      </c>
      <c r="M135" s="9">
        <v>20.8</v>
      </c>
      <c r="N135" s="9">
        <v>26.5</v>
      </c>
      <c r="O135" s="9" t="s">
        <v>255</v>
      </c>
      <c r="P135" s="10">
        <v>46072</v>
      </c>
    </row>
    <row r="136" spans="1:16">
      <c r="A136" s="8" t="s">
        <v>250</v>
      </c>
      <c r="B136" s="9" t="s">
        <v>412</v>
      </c>
      <c r="C136" s="9">
        <v>2025</v>
      </c>
      <c r="D136" s="9" t="s">
        <v>377</v>
      </c>
      <c r="E136" s="9" t="s">
        <v>413</v>
      </c>
      <c r="F136" s="9" t="s">
        <v>254</v>
      </c>
      <c r="G136" s="9">
        <v>47.5</v>
      </c>
      <c r="H136" s="9">
        <v>28.1</v>
      </c>
      <c r="I136" s="9">
        <v>583.29999999999995</v>
      </c>
      <c r="J136" s="9">
        <v>11.9</v>
      </c>
      <c r="K136" s="9">
        <v>3.1</v>
      </c>
      <c r="L136" s="9">
        <v>3.6999999999999998E-2</v>
      </c>
      <c r="M136" s="9">
        <v>29.1</v>
      </c>
      <c r="N136" s="9">
        <v>17</v>
      </c>
      <c r="O136" s="9" t="s">
        <v>255</v>
      </c>
      <c r="P136" s="10">
        <v>46072</v>
      </c>
    </row>
    <row r="137" spans="1:16">
      <c r="A137" s="8" t="s">
        <v>250</v>
      </c>
      <c r="B137" s="9" t="s">
        <v>412</v>
      </c>
      <c r="C137" s="9">
        <v>2025</v>
      </c>
      <c r="D137" s="9" t="s">
        <v>377</v>
      </c>
      <c r="E137" s="9" t="s">
        <v>414</v>
      </c>
      <c r="F137" s="9" t="s">
        <v>254</v>
      </c>
      <c r="G137" s="9">
        <v>44.8</v>
      </c>
      <c r="H137" s="9">
        <v>34.200000000000003</v>
      </c>
      <c r="I137" s="9">
        <v>517</v>
      </c>
      <c r="J137" s="9">
        <v>17.399999999999999</v>
      </c>
      <c r="K137" s="9">
        <v>2.9</v>
      </c>
      <c r="L137" s="9">
        <v>2.1999999999999999E-2</v>
      </c>
      <c r="M137" s="9">
        <v>29.3</v>
      </c>
      <c r="N137" s="9">
        <v>10.5</v>
      </c>
      <c r="O137" s="9" t="s">
        <v>255</v>
      </c>
      <c r="P137" s="10">
        <v>46072</v>
      </c>
    </row>
    <row r="138" spans="1:16">
      <c r="A138" s="8" t="s">
        <v>250</v>
      </c>
      <c r="B138" s="9" t="s">
        <v>412</v>
      </c>
      <c r="C138" s="9">
        <v>2025</v>
      </c>
      <c r="D138" s="9" t="s">
        <v>377</v>
      </c>
      <c r="E138" s="9" t="s">
        <v>415</v>
      </c>
      <c r="F138" s="9" t="s">
        <v>254</v>
      </c>
      <c r="G138" s="9">
        <v>43.7</v>
      </c>
      <c r="H138" s="9">
        <v>25.8</v>
      </c>
      <c r="I138" s="9">
        <v>495.5</v>
      </c>
      <c r="J138" s="9">
        <v>26.1</v>
      </c>
      <c r="K138" s="9">
        <v>3.5</v>
      </c>
      <c r="L138" s="9">
        <v>4.2000000000000003E-2</v>
      </c>
      <c r="M138" s="9">
        <v>115</v>
      </c>
      <c r="N138" s="9">
        <v>21.5</v>
      </c>
      <c r="O138" s="9" t="s">
        <v>255</v>
      </c>
      <c r="P138" s="10">
        <v>46072</v>
      </c>
    </row>
    <row r="139" spans="1:16">
      <c r="A139" s="8" t="s">
        <v>250</v>
      </c>
      <c r="B139" s="9" t="s">
        <v>416</v>
      </c>
      <c r="C139" s="9">
        <v>2025</v>
      </c>
      <c r="D139" s="9" t="s">
        <v>377</v>
      </c>
      <c r="E139" s="9" t="s">
        <v>417</v>
      </c>
      <c r="F139" s="9" t="s">
        <v>254</v>
      </c>
      <c r="G139" s="9">
        <v>47.6</v>
      </c>
      <c r="H139" s="9">
        <v>18</v>
      </c>
      <c r="I139" s="9">
        <v>572.29999999999995</v>
      </c>
      <c r="J139" s="9">
        <v>21.7</v>
      </c>
      <c r="K139" s="9">
        <v>3</v>
      </c>
      <c r="L139" s="9">
        <v>2.7E-2</v>
      </c>
      <c r="M139" s="9">
        <v>200.8</v>
      </c>
      <c r="N139" s="9">
        <v>43</v>
      </c>
      <c r="O139" s="9" t="s">
        <v>255</v>
      </c>
      <c r="P139" s="10">
        <v>46072</v>
      </c>
    </row>
    <row r="140" spans="1:16">
      <c r="A140" s="8" t="s">
        <v>250</v>
      </c>
      <c r="B140" s="9" t="s">
        <v>416</v>
      </c>
      <c r="C140" s="9">
        <v>2025</v>
      </c>
      <c r="D140" s="9" t="s">
        <v>377</v>
      </c>
      <c r="E140" s="9" t="s">
        <v>418</v>
      </c>
      <c r="F140" s="9" t="s">
        <v>254</v>
      </c>
      <c r="G140" s="9">
        <v>50.2</v>
      </c>
      <c r="H140" s="9">
        <v>28.2</v>
      </c>
      <c r="I140" s="9">
        <v>542.79999999999995</v>
      </c>
      <c r="J140" s="9">
        <v>19.899999999999999</v>
      </c>
      <c r="K140" s="9">
        <v>2.6</v>
      </c>
      <c r="L140" s="9">
        <v>2.1000000000000001E-2</v>
      </c>
      <c r="M140" s="9">
        <v>41.9</v>
      </c>
      <c r="N140" s="9">
        <v>24.3</v>
      </c>
      <c r="O140" s="9" t="s">
        <v>255</v>
      </c>
      <c r="P140" s="10">
        <v>46072</v>
      </c>
    </row>
    <row r="141" spans="1:16">
      <c r="A141" s="8" t="s">
        <v>250</v>
      </c>
      <c r="B141" s="9" t="s">
        <v>416</v>
      </c>
      <c r="C141" s="9">
        <v>2025</v>
      </c>
      <c r="D141" s="9" t="s">
        <v>377</v>
      </c>
      <c r="E141" s="9" t="s">
        <v>419</v>
      </c>
      <c r="F141" s="9" t="s">
        <v>254</v>
      </c>
      <c r="G141" s="9">
        <v>50.5</v>
      </c>
      <c r="H141" s="9">
        <v>27.1</v>
      </c>
      <c r="I141" s="9">
        <v>534.5</v>
      </c>
      <c r="J141" s="9">
        <v>15.7</v>
      </c>
      <c r="K141" s="9">
        <v>3.3</v>
      </c>
      <c r="L141" s="9">
        <v>3.5999999999999997E-2</v>
      </c>
      <c r="M141" s="9">
        <v>152.6</v>
      </c>
      <c r="N141" s="9">
        <v>8.5</v>
      </c>
      <c r="O141" s="9" t="s">
        <v>255</v>
      </c>
      <c r="P141" s="10">
        <v>46072</v>
      </c>
    </row>
    <row r="142" spans="1:16">
      <c r="A142" s="8" t="s">
        <v>250</v>
      </c>
      <c r="B142" s="9" t="s">
        <v>416</v>
      </c>
      <c r="C142" s="9">
        <v>2025</v>
      </c>
      <c r="D142" s="9" t="s">
        <v>377</v>
      </c>
      <c r="E142" s="9" t="s">
        <v>420</v>
      </c>
      <c r="F142" s="9" t="s">
        <v>254</v>
      </c>
      <c r="G142" s="9">
        <v>46.8</v>
      </c>
      <c r="H142" s="9">
        <v>27.5</v>
      </c>
      <c r="I142" s="9">
        <v>468.5</v>
      </c>
      <c r="J142" s="9">
        <v>25.9</v>
      </c>
      <c r="K142" s="9">
        <v>2.7</v>
      </c>
      <c r="L142" s="9">
        <v>1.6E-2</v>
      </c>
      <c r="M142" s="9">
        <v>35.799999999999997</v>
      </c>
      <c r="N142" s="9">
        <v>38</v>
      </c>
      <c r="O142" s="9" t="s">
        <v>255</v>
      </c>
      <c r="P142" s="10">
        <v>46072</v>
      </c>
    </row>
    <row r="143" spans="1:16">
      <c r="A143" s="8" t="s">
        <v>250</v>
      </c>
      <c r="B143" s="9" t="s">
        <v>416</v>
      </c>
      <c r="C143" s="9">
        <v>2025</v>
      </c>
      <c r="D143" s="9" t="s">
        <v>377</v>
      </c>
      <c r="E143" s="9" t="s">
        <v>421</v>
      </c>
      <c r="F143" s="9" t="s">
        <v>254</v>
      </c>
      <c r="G143" s="9">
        <v>48.1</v>
      </c>
      <c r="H143" s="9">
        <v>28.1</v>
      </c>
      <c r="I143" s="9">
        <v>532.5</v>
      </c>
      <c r="J143" s="9">
        <v>20.3</v>
      </c>
      <c r="K143" s="9">
        <v>3.7</v>
      </c>
      <c r="L143" s="9">
        <v>5.0999999999999997E-2</v>
      </c>
      <c r="M143" s="9">
        <v>37</v>
      </c>
      <c r="N143" s="9">
        <v>21.5</v>
      </c>
      <c r="O143" s="9" t="s">
        <v>255</v>
      </c>
      <c r="P143" s="10">
        <v>46072</v>
      </c>
    </row>
    <row r="144" spans="1:16">
      <c r="A144" s="8" t="s">
        <v>250</v>
      </c>
      <c r="B144" s="9" t="s">
        <v>416</v>
      </c>
      <c r="C144" s="9">
        <v>2025</v>
      </c>
      <c r="D144" s="9" t="s">
        <v>377</v>
      </c>
      <c r="E144" s="9" t="s">
        <v>422</v>
      </c>
      <c r="F144" s="9" t="s">
        <v>254</v>
      </c>
      <c r="G144" s="9">
        <v>46.4</v>
      </c>
      <c r="H144" s="9">
        <v>23.6</v>
      </c>
      <c r="I144" s="9">
        <v>504.5</v>
      </c>
      <c r="J144" s="9">
        <v>20.100000000000001</v>
      </c>
      <c r="K144" s="9">
        <v>3</v>
      </c>
      <c r="L144" s="9">
        <v>2.3E-2</v>
      </c>
      <c r="M144" s="9">
        <v>198.5</v>
      </c>
      <c r="N144" s="9">
        <v>38</v>
      </c>
      <c r="O144" s="9" t="s">
        <v>255</v>
      </c>
      <c r="P144" s="10">
        <v>46072</v>
      </c>
    </row>
    <row r="145" spans="1:16">
      <c r="A145" s="8" t="s">
        <v>250</v>
      </c>
      <c r="B145" s="9" t="s">
        <v>416</v>
      </c>
      <c r="C145" s="9">
        <v>2025</v>
      </c>
      <c r="D145" s="9" t="s">
        <v>377</v>
      </c>
      <c r="E145" s="9" t="s">
        <v>423</v>
      </c>
      <c r="F145" s="9" t="s">
        <v>254</v>
      </c>
      <c r="G145" s="9">
        <v>50.3</v>
      </c>
      <c r="H145" s="9">
        <v>28.2</v>
      </c>
      <c r="I145" s="9">
        <v>468</v>
      </c>
      <c r="J145" s="9">
        <v>20.2</v>
      </c>
      <c r="K145" s="9">
        <v>3.2</v>
      </c>
      <c r="L145" s="9">
        <v>3.6999999999999998E-2</v>
      </c>
      <c r="M145" s="9">
        <v>75.599999999999994</v>
      </c>
      <c r="N145" s="9">
        <v>33.5</v>
      </c>
      <c r="O145" s="9" t="s">
        <v>255</v>
      </c>
      <c r="P145" s="10">
        <v>46072</v>
      </c>
    </row>
    <row r="146" spans="1:16">
      <c r="A146" s="8" t="s">
        <v>250</v>
      </c>
      <c r="B146" s="9" t="s">
        <v>416</v>
      </c>
      <c r="C146" s="9">
        <v>2025</v>
      </c>
      <c r="D146" s="9" t="s">
        <v>377</v>
      </c>
      <c r="E146" s="9" t="s">
        <v>424</v>
      </c>
      <c r="F146" s="9" t="s">
        <v>254</v>
      </c>
      <c r="G146" s="9">
        <v>47.8</v>
      </c>
      <c r="H146" s="9">
        <v>25.6</v>
      </c>
      <c r="I146" s="9">
        <v>495.3</v>
      </c>
      <c r="J146" s="9">
        <v>19.399999999999999</v>
      </c>
      <c r="K146" s="9">
        <v>3.4</v>
      </c>
      <c r="L146" s="9">
        <v>3.3000000000000002E-2</v>
      </c>
      <c r="M146" s="9">
        <v>143.6</v>
      </c>
      <c r="N146" s="9">
        <v>14.7</v>
      </c>
      <c r="O146" s="9" t="s">
        <v>255</v>
      </c>
      <c r="P146" s="10">
        <v>46072</v>
      </c>
    </row>
    <row r="147" spans="1:16">
      <c r="A147" s="8" t="s">
        <v>425</v>
      </c>
      <c r="B147" s="9" t="s">
        <v>426</v>
      </c>
      <c r="C147" s="9">
        <v>2025</v>
      </c>
      <c r="D147" s="9" t="s">
        <v>377</v>
      </c>
      <c r="E147" s="9" t="s">
        <v>427</v>
      </c>
      <c r="F147" s="9" t="s">
        <v>254</v>
      </c>
      <c r="G147" s="9">
        <v>49.7</v>
      </c>
      <c r="H147" s="9">
        <v>28</v>
      </c>
      <c r="I147" s="9">
        <v>473.3</v>
      </c>
      <c r="J147" s="9">
        <v>11.5</v>
      </c>
      <c r="K147" s="9">
        <v>4.4000000000000004</v>
      </c>
      <c r="L147" s="9">
        <v>2.7E-2</v>
      </c>
      <c r="M147" s="9">
        <v>71.7</v>
      </c>
      <c r="N147" s="9">
        <v>28.7</v>
      </c>
      <c r="O147" s="9" t="s">
        <v>255</v>
      </c>
      <c r="P147" s="10">
        <v>46072</v>
      </c>
    </row>
    <row r="148" spans="1:16">
      <c r="A148" s="8" t="s">
        <v>425</v>
      </c>
      <c r="B148" s="9" t="s">
        <v>426</v>
      </c>
      <c r="C148" s="9">
        <v>2025</v>
      </c>
      <c r="D148" s="9" t="s">
        <v>377</v>
      </c>
      <c r="E148" s="9" t="s">
        <v>428</v>
      </c>
      <c r="F148" s="9" t="s">
        <v>254</v>
      </c>
      <c r="G148" s="9">
        <v>48.8</v>
      </c>
      <c r="H148" s="9">
        <v>27.4</v>
      </c>
      <c r="I148" s="9">
        <v>464</v>
      </c>
      <c r="J148" s="9">
        <v>23.7</v>
      </c>
      <c r="K148" s="9">
        <v>4.2</v>
      </c>
      <c r="L148" s="9">
        <v>1.9E-2</v>
      </c>
      <c r="M148" s="9">
        <v>382.2</v>
      </c>
      <c r="N148" s="9">
        <v>23.5</v>
      </c>
      <c r="O148" s="9" t="s">
        <v>255</v>
      </c>
      <c r="P148" s="10">
        <v>46072</v>
      </c>
    </row>
    <row r="149" spans="1:16">
      <c r="A149" s="8" t="s">
        <v>425</v>
      </c>
      <c r="B149" s="9" t="s">
        <v>426</v>
      </c>
      <c r="C149" s="9">
        <v>2025</v>
      </c>
      <c r="D149" s="9" t="s">
        <v>377</v>
      </c>
      <c r="E149" s="9" t="s">
        <v>429</v>
      </c>
      <c r="F149" s="9" t="s">
        <v>254</v>
      </c>
      <c r="G149" s="9">
        <v>49</v>
      </c>
      <c r="H149" s="9">
        <v>27.5</v>
      </c>
      <c r="I149" s="9">
        <v>433.5</v>
      </c>
      <c r="J149" s="9">
        <v>17.5</v>
      </c>
      <c r="K149" s="9">
        <v>4.8</v>
      </c>
      <c r="L149" s="9">
        <v>3.6999999999999998E-2</v>
      </c>
      <c r="M149" s="9">
        <v>243.5</v>
      </c>
      <c r="N149" s="9">
        <v>59</v>
      </c>
      <c r="O149" s="9" t="s">
        <v>255</v>
      </c>
      <c r="P149" s="10">
        <v>46072</v>
      </c>
    </row>
    <row r="150" spans="1:16">
      <c r="A150" s="8" t="s">
        <v>425</v>
      </c>
      <c r="B150" s="9" t="s">
        <v>426</v>
      </c>
      <c r="C150" s="9">
        <v>2025</v>
      </c>
      <c r="D150" s="9" t="s">
        <v>377</v>
      </c>
      <c r="E150" s="9" t="s">
        <v>430</v>
      </c>
      <c r="F150" s="9" t="s">
        <v>254</v>
      </c>
      <c r="G150" s="9">
        <v>48.7</v>
      </c>
      <c r="H150" s="9">
        <v>29.1</v>
      </c>
      <c r="I150" s="9">
        <v>427</v>
      </c>
      <c r="J150" s="9">
        <v>15</v>
      </c>
      <c r="K150" s="9">
        <v>3.5</v>
      </c>
      <c r="L150" s="9">
        <v>0.02</v>
      </c>
      <c r="M150" s="9">
        <v>346</v>
      </c>
      <c r="N150" s="9">
        <v>31</v>
      </c>
      <c r="O150" s="9" t="s">
        <v>255</v>
      </c>
      <c r="P150" s="10">
        <v>46072</v>
      </c>
    </row>
    <row r="151" spans="1:16">
      <c r="A151" s="8" t="s">
        <v>250</v>
      </c>
      <c r="B151" s="9" t="s">
        <v>416</v>
      </c>
      <c r="C151" s="9">
        <v>2025</v>
      </c>
      <c r="D151" s="9" t="s">
        <v>377</v>
      </c>
      <c r="E151" s="9" t="s">
        <v>431</v>
      </c>
      <c r="F151" s="9" t="s">
        <v>254</v>
      </c>
      <c r="G151" s="9">
        <v>48.7</v>
      </c>
      <c r="H151" s="9">
        <v>26.3</v>
      </c>
      <c r="I151" s="9">
        <v>539</v>
      </c>
      <c r="J151" s="9">
        <v>20.2</v>
      </c>
      <c r="K151" s="9">
        <v>4.9000000000000004</v>
      </c>
      <c r="L151" s="9">
        <v>3.5999999999999997E-2</v>
      </c>
      <c r="M151" s="9">
        <v>307.7</v>
      </c>
      <c r="N151" s="9">
        <v>30</v>
      </c>
      <c r="O151" s="9" t="s">
        <v>255</v>
      </c>
      <c r="P151" s="10">
        <v>46072</v>
      </c>
    </row>
    <row r="152" spans="1:16">
      <c r="A152" s="8" t="s">
        <v>250</v>
      </c>
      <c r="B152" s="9" t="s">
        <v>277</v>
      </c>
      <c r="C152" s="9">
        <v>2025</v>
      </c>
      <c r="D152" s="9" t="s">
        <v>377</v>
      </c>
      <c r="E152" s="9" t="s">
        <v>432</v>
      </c>
      <c r="F152" s="9" t="s">
        <v>254</v>
      </c>
      <c r="G152" s="9">
        <v>51.4</v>
      </c>
      <c r="H152" s="9">
        <v>28.3</v>
      </c>
      <c r="I152" s="9">
        <v>462</v>
      </c>
      <c r="J152" s="9">
        <v>35.700000000000003</v>
      </c>
      <c r="K152" s="9">
        <v>4.9000000000000004</v>
      </c>
      <c r="L152" s="9">
        <v>5.3999999999999999E-2</v>
      </c>
      <c r="M152" s="9">
        <v>393.1</v>
      </c>
      <c r="N152" s="9">
        <v>46</v>
      </c>
      <c r="O152" s="9" t="s">
        <v>255</v>
      </c>
      <c r="P152" s="10">
        <v>46072</v>
      </c>
    </row>
    <row r="153" spans="1:16">
      <c r="A153" s="8" t="s">
        <v>250</v>
      </c>
      <c r="B153" s="9" t="s">
        <v>277</v>
      </c>
      <c r="C153" s="9">
        <v>2025</v>
      </c>
      <c r="D153" s="9" t="s">
        <v>377</v>
      </c>
      <c r="E153" s="9" t="s">
        <v>433</v>
      </c>
      <c r="F153" s="9" t="s">
        <v>254</v>
      </c>
      <c r="G153" s="9">
        <v>50.2</v>
      </c>
      <c r="H153" s="9">
        <v>27.3</v>
      </c>
      <c r="I153" s="9">
        <v>467</v>
      </c>
      <c r="J153" s="9">
        <v>20.9</v>
      </c>
      <c r="K153" s="9">
        <v>4.5999999999999996</v>
      </c>
      <c r="L153" s="9">
        <v>3.2000000000000001E-2</v>
      </c>
      <c r="M153" s="9">
        <v>440.8</v>
      </c>
      <c r="N153" s="9">
        <v>26.5</v>
      </c>
      <c r="O153" s="9" t="s">
        <v>255</v>
      </c>
      <c r="P153" s="10">
        <v>46072</v>
      </c>
    </row>
    <row r="154" spans="1:16">
      <c r="A154" s="8" t="s">
        <v>250</v>
      </c>
      <c r="B154" s="9" t="s">
        <v>277</v>
      </c>
      <c r="C154" s="9">
        <v>2025</v>
      </c>
      <c r="D154" s="9" t="s">
        <v>377</v>
      </c>
      <c r="E154" s="9" t="s">
        <v>434</v>
      </c>
      <c r="F154" s="9" t="s">
        <v>254</v>
      </c>
      <c r="G154" s="9">
        <v>52.6</v>
      </c>
      <c r="H154" s="9">
        <v>29.4</v>
      </c>
      <c r="I154" s="9">
        <v>444.5</v>
      </c>
      <c r="J154" s="9">
        <v>9.6</v>
      </c>
      <c r="K154" s="9">
        <v>3.8</v>
      </c>
      <c r="L154" s="9">
        <v>3.5000000000000003E-2</v>
      </c>
      <c r="M154" s="9">
        <v>304.3</v>
      </c>
      <c r="N154" s="9">
        <v>21.5</v>
      </c>
      <c r="O154" s="9" t="s">
        <v>255</v>
      </c>
      <c r="P154" s="10">
        <v>46072</v>
      </c>
    </row>
    <row r="155" spans="1:16">
      <c r="A155" s="8" t="s">
        <v>250</v>
      </c>
      <c r="B155" s="9" t="s">
        <v>277</v>
      </c>
      <c r="C155" s="9">
        <v>2025</v>
      </c>
      <c r="D155" s="9" t="s">
        <v>377</v>
      </c>
      <c r="E155" s="9" t="s">
        <v>435</v>
      </c>
      <c r="F155" s="9" t="s">
        <v>254</v>
      </c>
      <c r="G155" s="9">
        <v>46.9</v>
      </c>
      <c r="H155" s="9">
        <v>26.4</v>
      </c>
      <c r="I155" s="9">
        <v>475.5</v>
      </c>
      <c r="J155" s="9">
        <v>26.2</v>
      </c>
      <c r="K155" s="9">
        <v>3.7</v>
      </c>
      <c r="L155" s="9">
        <v>2.5999999999999999E-2</v>
      </c>
      <c r="M155" s="9">
        <v>363.4</v>
      </c>
      <c r="N155" s="9">
        <v>28.5</v>
      </c>
      <c r="O155" s="9" t="s">
        <v>255</v>
      </c>
      <c r="P155" s="10">
        <v>46072</v>
      </c>
    </row>
    <row r="156" spans="1:16">
      <c r="A156" s="8" t="s">
        <v>250</v>
      </c>
      <c r="B156" s="9" t="s">
        <v>277</v>
      </c>
      <c r="C156" s="9">
        <v>2025</v>
      </c>
      <c r="D156" s="9" t="s">
        <v>377</v>
      </c>
      <c r="E156" s="9" t="s">
        <v>436</v>
      </c>
      <c r="F156" s="9" t="s">
        <v>254</v>
      </c>
      <c r="G156" s="9">
        <v>50.8</v>
      </c>
      <c r="H156" s="9">
        <v>26.4</v>
      </c>
      <c r="I156" s="9">
        <v>499.5</v>
      </c>
      <c r="J156" s="9">
        <v>15.9</v>
      </c>
      <c r="K156" s="9">
        <v>3.9</v>
      </c>
      <c r="L156" s="9">
        <v>3.1E-2</v>
      </c>
      <c r="M156" s="9">
        <v>338.9</v>
      </c>
      <c r="N156" s="9">
        <v>21.5</v>
      </c>
      <c r="O156" s="9" t="s">
        <v>255</v>
      </c>
      <c r="P156" s="10">
        <v>46072</v>
      </c>
    </row>
    <row r="157" spans="1:16">
      <c r="A157" s="8" t="s">
        <v>250</v>
      </c>
      <c r="B157" s="9" t="s">
        <v>277</v>
      </c>
      <c r="C157" s="9">
        <v>2025</v>
      </c>
      <c r="D157" s="9" t="s">
        <v>377</v>
      </c>
      <c r="E157" s="9" t="s">
        <v>437</v>
      </c>
      <c r="F157" s="9" t="s">
        <v>254</v>
      </c>
      <c r="G157" s="9">
        <v>59</v>
      </c>
      <c r="H157" s="9">
        <v>36.700000000000003</v>
      </c>
      <c r="I157" s="9">
        <v>449</v>
      </c>
      <c r="J157" s="9">
        <v>19.399999999999999</v>
      </c>
      <c r="K157" s="9">
        <v>3.8</v>
      </c>
      <c r="L157" s="9">
        <v>1.9E-2</v>
      </c>
      <c r="M157" s="9">
        <v>219.6</v>
      </c>
      <c r="N157" s="9">
        <v>25</v>
      </c>
      <c r="O157" s="9" t="s">
        <v>255</v>
      </c>
      <c r="P157" s="10">
        <v>46072</v>
      </c>
    </row>
    <row r="158" spans="1:16">
      <c r="A158" s="8" t="s">
        <v>250</v>
      </c>
      <c r="B158" s="9" t="s">
        <v>316</v>
      </c>
      <c r="C158" s="9">
        <v>2025</v>
      </c>
      <c r="D158" s="9" t="s">
        <v>438</v>
      </c>
      <c r="E158" s="9" t="s">
        <v>439</v>
      </c>
      <c r="F158" s="9" t="s">
        <v>254</v>
      </c>
      <c r="G158" s="9">
        <v>26.8</v>
      </c>
      <c r="H158" s="9">
        <v>27.7</v>
      </c>
      <c r="I158" s="9">
        <v>540.5</v>
      </c>
      <c r="J158" s="9">
        <v>2.9</v>
      </c>
      <c r="K158" s="9">
        <v>2.4</v>
      </c>
      <c r="L158" s="9">
        <v>5.6000000000000001E-2</v>
      </c>
      <c r="M158" s="9">
        <v>250.8</v>
      </c>
      <c r="N158" s="9">
        <v>39.5</v>
      </c>
      <c r="O158" s="9" t="s">
        <v>255</v>
      </c>
      <c r="P158" s="10">
        <v>46072</v>
      </c>
    </row>
    <row r="159" spans="1:16">
      <c r="A159" s="8" t="s">
        <v>250</v>
      </c>
      <c r="B159" s="9" t="s">
        <v>316</v>
      </c>
      <c r="C159" s="9">
        <v>2025</v>
      </c>
      <c r="D159" s="9" t="s">
        <v>438</v>
      </c>
      <c r="E159" s="9" t="s">
        <v>440</v>
      </c>
      <c r="F159" s="9" t="s">
        <v>254</v>
      </c>
      <c r="G159" s="9">
        <v>29</v>
      </c>
      <c r="H159" s="9">
        <v>25.9</v>
      </c>
      <c r="I159" s="9">
        <v>539.5</v>
      </c>
      <c r="J159" s="9">
        <v>0.9</v>
      </c>
      <c r="K159" s="9">
        <v>1.9</v>
      </c>
      <c r="L159" s="9">
        <v>4.7E-2</v>
      </c>
      <c r="M159" s="9">
        <v>278.8</v>
      </c>
      <c r="N159" s="9">
        <v>21.5</v>
      </c>
      <c r="O159" s="9" t="s">
        <v>255</v>
      </c>
      <c r="P159" s="10">
        <v>46072</v>
      </c>
    </row>
    <row r="160" spans="1:16">
      <c r="A160" s="8" t="s">
        <v>250</v>
      </c>
      <c r="B160" s="9" t="s">
        <v>316</v>
      </c>
      <c r="C160" s="9">
        <v>2025</v>
      </c>
      <c r="D160" s="9" t="s">
        <v>438</v>
      </c>
      <c r="E160" s="9" t="s">
        <v>441</v>
      </c>
      <c r="F160" s="9" t="s">
        <v>254</v>
      </c>
      <c r="G160" s="9">
        <v>28.8</v>
      </c>
      <c r="H160" s="9">
        <v>26.9</v>
      </c>
      <c r="I160" s="9">
        <v>541.5</v>
      </c>
      <c r="J160" s="9">
        <v>2.8</v>
      </c>
      <c r="K160" s="9">
        <v>1.8</v>
      </c>
      <c r="L160" s="9">
        <v>4.8000000000000001E-2</v>
      </c>
      <c r="M160" s="9">
        <v>134.19999999999999</v>
      </c>
      <c r="N160" s="9">
        <v>37.5</v>
      </c>
      <c r="O160" s="9" t="s">
        <v>255</v>
      </c>
      <c r="P160" s="10">
        <v>46072</v>
      </c>
    </row>
    <row r="161" spans="1:16">
      <c r="A161" s="8" t="s">
        <v>250</v>
      </c>
      <c r="B161" s="9" t="s">
        <v>316</v>
      </c>
      <c r="C161" s="9">
        <v>2025</v>
      </c>
      <c r="D161" s="9" t="s">
        <v>438</v>
      </c>
      <c r="E161" s="9" t="s">
        <v>442</v>
      </c>
      <c r="F161" s="9" t="s">
        <v>254</v>
      </c>
      <c r="G161" s="9">
        <v>24.1</v>
      </c>
      <c r="H161" s="9">
        <v>30.9</v>
      </c>
      <c r="I161" s="9">
        <v>561.5</v>
      </c>
      <c r="J161" s="9">
        <v>5.5</v>
      </c>
      <c r="K161" s="9">
        <v>2.1</v>
      </c>
      <c r="L161" s="9">
        <v>4.8000000000000001E-2</v>
      </c>
      <c r="M161" s="9">
        <v>112.1</v>
      </c>
      <c r="N161" s="9">
        <v>42.5</v>
      </c>
      <c r="O161" s="9" t="s">
        <v>255</v>
      </c>
      <c r="P161" s="10">
        <v>46072</v>
      </c>
    </row>
    <row r="162" spans="1:16">
      <c r="A162" s="8" t="s">
        <v>250</v>
      </c>
      <c r="B162" s="9" t="s">
        <v>316</v>
      </c>
      <c r="C162" s="9">
        <v>2025</v>
      </c>
      <c r="D162" s="9" t="s">
        <v>438</v>
      </c>
      <c r="E162" s="9" t="s">
        <v>443</v>
      </c>
      <c r="F162" s="9" t="s">
        <v>254</v>
      </c>
      <c r="G162" s="9">
        <v>31.1</v>
      </c>
      <c r="H162" s="9">
        <v>26.1</v>
      </c>
      <c r="I162" s="9">
        <v>606.5</v>
      </c>
      <c r="J162" s="9">
        <v>2.9</v>
      </c>
      <c r="K162" s="9">
        <v>1.6</v>
      </c>
      <c r="L162" s="9">
        <v>5.8000000000000003E-2</v>
      </c>
      <c r="M162" s="9">
        <v>183.6</v>
      </c>
      <c r="N162" s="9">
        <v>39</v>
      </c>
      <c r="O162" s="9" t="s">
        <v>255</v>
      </c>
      <c r="P162" s="10">
        <v>46072</v>
      </c>
    </row>
    <row r="163" spans="1:16">
      <c r="A163" s="8" t="s">
        <v>250</v>
      </c>
      <c r="B163" s="9" t="s">
        <v>316</v>
      </c>
      <c r="C163" s="9">
        <v>2025</v>
      </c>
      <c r="D163" s="9" t="s">
        <v>438</v>
      </c>
      <c r="E163" s="9" t="s">
        <v>444</v>
      </c>
      <c r="F163" s="9" t="s">
        <v>254</v>
      </c>
      <c r="G163" s="9">
        <v>22.9</v>
      </c>
      <c r="H163" s="9">
        <v>14.7</v>
      </c>
      <c r="I163" s="9">
        <v>498.5</v>
      </c>
      <c r="J163" s="9">
        <v>4.8</v>
      </c>
      <c r="K163" s="9">
        <v>2.5</v>
      </c>
      <c r="L163" s="9">
        <v>2.1999999999999999E-2</v>
      </c>
      <c r="M163" s="9">
        <v>305.60000000000002</v>
      </c>
      <c r="N163" s="9">
        <v>55</v>
      </c>
      <c r="O163" s="9" t="s">
        <v>255</v>
      </c>
      <c r="P163" s="10">
        <v>46072</v>
      </c>
    </row>
    <row r="164" spans="1:16">
      <c r="A164" s="8" t="s">
        <v>250</v>
      </c>
      <c r="B164" s="9" t="s">
        <v>316</v>
      </c>
      <c r="C164" s="9">
        <v>2025</v>
      </c>
      <c r="D164" s="9" t="s">
        <v>438</v>
      </c>
      <c r="E164" s="9" t="s">
        <v>445</v>
      </c>
      <c r="F164" s="9" t="s">
        <v>254</v>
      </c>
      <c r="G164" s="9">
        <v>31.2</v>
      </c>
      <c r="H164" s="9">
        <v>21.4</v>
      </c>
      <c r="I164" s="9">
        <v>490.5</v>
      </c>
      <c r="J164" s="9">
        <v>5</v>
      </c>
      <c r="K164" s="9">
        <v>2</v>
      </c>
      <c r="L164" s="9">
        <v>7.0000000000000001E-3</v>
      </c>
      <c r="M164" s="9">
        <v>249.3</v>
      </c>
      <c r="N164" s="9">
        <v>27</v>
      </c>
      <c r="O164" s="9" t="s">
        <v>255</v>
      </c>
      <c r="P164" s="10">
        <v>46072</v>
      </c>
    </row>
    <row r="165" spans="1:16">
      <c r="A165" s="8" t="s">
        <v>250</v>
      </c>
      <c r="B165" s="9" t="s">
        <v>316</v>
      </c>
      <c r="C165" s="9">
        <v>2025</v>
      </c>
      <c r="D165" s="9" t="s">
        <v>438</v>
      </c>
      <c r="E165" s="9" t="s">
        <v>446</v>
      </c>
      <c r="F165" s="9" t="s">
        <v>254</v>
      </c>
      <c r="G165" s="9">
        <v>36.299999999999997</v>
      </c>
      <c r="H165" s="9">
        <v>23.2</v>
      </c>
      <c r="I165" s="9">
        <v>604.5</v>
      </c>
      <c r="J165" s="9">
        <v>5.7</v>
      </c>
      <c r="K165" s="9">
        <v>2.7</v>
      </c>
      <c r="L165" s="9">
        <v>1.4E-2</v>
      </c>
      <c r="M165" s="9">
        <v>253.3</v>
      </c>
      <c r="N165" s="9">
        <v>12.5</v>
      </c>
      <c r="O165" s="9" t="s">
        <v>255</v>
      </c>
      <c r="P165" s="10">
        <v>46072</v>
      </c>
    </row>
    <row r="166" spans="1:16">
      <c r="A166" s="8" t="s">
        <v>250</v>
      </c>
      <c r="B166" s="9" t="s">
        <v>316</v>
      </c>
      <c r="C166" s="9">
        <v>2025</v>
      </c>
      <c r="D166" s="9" t="s">
        <v>438</v>
      </c>
      <c r="E166" s="9" t="s">
        <v>447</v>
      </c>
      <c r="F166" s="9" t="s">
        <v>254</v>
      </c>
      <c r="G166" s="9">
        <v>31.2</v>
      </c>
      <c r="H166" s="9">
        <v>21.4</v>
      </c>
      <c r="I166" s="9">
        <v>469.7</v>
      </c>
      <c r="J166" s="9">
        <v>4.8</v>
      </c>
      <c r="K166" s="9">
        <v>2</v>
      </c>
      <c r="L166" s="9">
        <v>1.2E-2</v>
      </c>
      <c r="M166" s="9">
        <v>108.7</v>
      </c>
      <c r="N166" s="9">
        <v>19.7</v>
      </c>
      <c r="O166" s="9" t="s">
        <v>255</v>
      </c>
      <c r="P166" s="10">
        <v>46072</v>
      </c>
    </row>
    <row r="167" spans="1:16">
      <c r="A167" s="8" t="s">
        <v>250</v>
      </c>
      <c r="B167" s="9" t="s">
        <v>302</v>
      </c>
      <c r="C167" s="9">
        <v>2025</v>
      </c>
      <c r="D167" s="9" t="s">
        <v>438</v>
      </c>
      <c r="E167" s="9" t="s">
        <v>448</v>
      </c>
      <c r="F167" s="9" t="s">
        <v>254</v>
      </c>
      <c r="G167" s="9">
        <v>45.3</v>
      </c>
      <c r="H167" s="9">
        <v>27.9</v>
      </c>
      <c r="I167" s="9">
        <v>435.7</v>
      </c>
      <c r="J167" s="9">
        <v>4.5999999999999996</v>
      </c>
      <c r="K167" s="9">
        <v>2.2999999999999998</v>
      </c>
      <c r="L167" s="9">
        <v>1.2999999999999999E-2</v>
      </c>
      <c r="M167" s="9">
        <v>200.3</v>
      </c>
      <c r="N167" s="9">
        <v>20.7</v>
      </c>
      <c r="O167" s="9" t="s">
        <v>255</v>
      </c>
      <c r="P167" s="10">
        <v>46072</v>
      </c>
    </row>
    <row r="168" spans="1:16">
      <c r="A168" s="8" t="s">
        <v>250</v>
      </c>
      <c r="B168" s="9" t="s">
        <v>302</v>
      </c>
      <c r="C168" s="9">
        <v>2025</v>
      </c>
      <c r="D168" s="9" t="s">
        <v>438</v>
      </c>
      <c r="E168" s="9" t="s">
        <v>449</v>
      </c>
      <c r="F168" s="9" t="s">
        <v>254</v>
      </c>
      <c r="G168" s="9">
        <v>35.299999999999997</v>
      </c>
      <c r="H168" s="9">
        <v>23.6</v>
      </c>
      <c r="I168" s="9">
        <v>515.5</v>
      </c>
      <c r="J168" s="9">
        <v>2.5</v>
      </c>
      <c r="K168" s="9">
        <v>1.9</v>
      </c>
      <c r="L168" s="9">
        <v>1.2999999999999999E-2</v>
      </c>
      <c r="M168" s="9">
        <v>217.4</v>
      </c>
      <c r="N168" s="9">
        <v>17</v>
      </c>
      <c r="O168" s="9" t="s">
        <v>255</v>
      </c>
      <c r="P168" s="10">
        <v>46072</v>
      </c>
    </row>
    <row r="169" spans="1:16">
      <c r="A169" s="8" t="s">
        <v>250</v>
      </c>
      <c r="B169" s="9" t="s">
        <v>302</v>
      </c>
      <c r="C169" s="9">
        <v>2025</v>
      </c>
      <c r="D169" s="9" t="s">
        <v>438</v>
      </c>
      <c r="E169" s="9" t="s">
        <v>450</v>
      </c>
      <c r="F169" s="9" t="s">
        <v>254</v>
      </c>
      <c r="G169" s="9">
        <v>34.200000000000003</v>
      </c>
      <c r="H169" s="9">
        <v>23.5</v>
      </c>
      <c r="I169" s="9">
        <v>525</v>
      </c>
      <c r="J169" s="9">
        <v>5.9</v>
      </c>
      <c r="K169" s="9">
        <v>2.4</v>
      </c>
      <c r="L169" s="9">
        <v>1.0999999999999999E-2</v>
      </c>
      <c r="M169" s="9">
        <v>263.7</v>
      </c>
      <c r="N169" s="9">
        <v>20.5</v>
      </c>
      <c r="O169" s="9" t="s">
        <v>255</v>
      </c>
      <c r="P169" s="10">
        <v>46072</v>
      </c>
    </row>
    <row r="170" spans="1:16">
      <c r="A170" s="8" t="s">
        <v>250</v>
      </c>
      <c r="B170" s="9" t="s">
        <v>302</v>
      </c>
      <c r="C170" s="9">
        <v>2025</v>
      </c>
      <c r="D170" s="9" t="s">
        <v>438</v>
      </c>
      <c r="E170" s="9" t="s">
        <v>451</v>
      </c>
      <c r="F170" s="9" t="s">
        <v>254</v>
      </c>
      <c r="G170" s="9">
        <v>50.5</v>
      </c>
      <c r="H170" s="9">
        <v>25.5</v>
      </c>
      <c r="I170" s="9">
        <v>615</v>
      </c>
      <c r="J170" s="9">
        <v>23</v>
      </c>
      <c r="K170" s="9">
        <v>1.9</v>
      </c>
      <c r="L170" s="9">
        <v>1.2E-2</v>
      </c>
      <c r="M170" s="9">
        <v>339.4</v>
      </c>
      <c r="N170" s="9">
        <v>28</v>
      </c>
      <c r="O170" s="9" t="s">
        <v>255</v>
      </c>
      <c r="P170" s="10">
        <v>46072</v>
      </c>
    </row>
    <row r="171" spans="1:16">
      <c r="A171" s="8" t="s">
        <v>250</v>
      </c>
      <c r="B171" s="9" t="s">
        <v>302</v>
      </c>
      <c r="C171" s="9">
        <v>2025</v>
      </c>
      <c r="D171" s="9" t="s">
        <v>438</v>
      </c>
      <c r="E171" s="9" t="s">
        <v>452</v>
      </c>
      <c r="F171" s="9" t="s">
        <v>254</v>
      </c>
      <c r="G171" s="9">
        <v>52.3</v>
      </c>
      <c r="H171" s="9">
        <v>20</v>
      </c>
      <c r="I171" s="9">
        <v>554</v>
      </c>
      <c r="J171" s="9">
        <v>6.9</v>
      </c>
      <c r="K171" s="9">
        <v>2.6</v>
      </c>
      <c r="L171" s="9">
        <v>1.7000000000000001E-2</v>
      </c>
      <c r="M171" s="9">
        <v>383.5</v>
      </c>
      <c r="N171" s="9">
        <v>39.5</v>
      </c>
      <c r="O171" s="9" t="s">
        <v>255</v>
      </c>
      <c r="P171" s="10">
        <v>46072</v>
      </c>
    </row>
    <row r="172" spans="1:16">
      <c r="A172" s="8" t="s">
        <v>250</v>
      </c>
      <c r="B172" s="9" t="s">
        <v>302</v>
      </c>
      <c r="C172" s="9">
        <v>2025</v>
      </c>
      <c r="D172" s="9" t="s">
        <v>438</v>
      </c>
      <c r="E172" s="9" t="s">
        <v>453</v>
      </c>
      <c r="F172" s="9" t="s">
        <v>254</v>
      </c>
      <c r="G172" s="9">
        <v>44.3</v>
      </c>
      <c r="H172" s="9">
        <v>26.8</v>
      </c>
      <c r="I172" s="9">
        <v>539</v>
      </c>
      <c r="J172" s="9">
        <v>5.5</v>
      </c>
      <c r="K172" s="9">
        <v>2</v>
      </c>
      <c r="L172" s="9">
        <v>1.0999999999999999E-2</v>
      </c>
      <c r="M172" s="9">
        <v>269.5</v>
      </c>
      <c r="N172" s="9">
        <v>23.5</v>
      </c>
      <c r="O172" s="9" t="s">
        <v>255</v>
      </c>
      <c r="P172" s="10">
        <v>46072</v>
      </c>
    </row>
    <row r="173" spans="1:16">
      <c r="A173" s="8" t="s">
        <v>250</v>
      </c>
      <c r="B173" s="9" t="s">
        <v>302</v>
      </c>
      <c r="C173" s="9">
        <v>2025</v>
      </c>
      <c r="D173" s="9" t="s">
        <v>438</v>
      </c>
      <c r="E173" s="9" t="s">
        <v>454</v>
      </c>
      <c r="F173" s="9" t="s">
        <v>254</v>
      </c>
      <c r="G173" s="9">
        <v>45.9</v>
      </c>
      <c r="H173" s="9">
        <v>38.200000000000003</v>
      </c>
      <c r="I173" s="9">
        <v>663</v>
      </c>
      <c r="J173" s="9">
        <v>12</v>
      </c>
      <c r="K173" s="9">
        <v>2.4</v>
      </c>
      <c r="L173" s="9">
        <v>2.3E-2</v>
      </c>
      <c r="M173" s="9">
        <v>51</v>
      </c>
      <c r="N173" s="9">
        <v>18.5</v>
      </c>
      <c r="O173" s="9" t="s">
        <v>255</v>
      </c>
      <c r="P173" s="10">
        <v>46072</v>
      </c>
    </row>
    <row r="174" spans="1:16">
      <c r="A174" s="8" t="s">
        <v>250</v>
      </c>
      <c r="B174" s="9" t="s">
        <v>302</v>
      </c>
      <c r="C174" s="9">
        <v>2025</v>
      </c>
      <c r="D174" s="9" t="s">
        <v>438</v>
      </c>
      <c r="E174" s="9" t="s">
        <v>455</v>
      </c>
      <c r="F174" s="9" t="s">
        <v>254</v>
      </c>
      <c r="G174" s="9">
        <v>41.6</v>
      </c>
      <c r="H174" s="9">
        <v>27.9</v>
      </c>
      <c r="I174" s="9">
        <v>693.7</v>
      </c>
      <c r="J174" s="9">
        <v>6.8</v>
      </c>
      <c r="K174" s="9">
        <v>2.4</v>
      </c>
      <c r="L174" s="9">
        <v>2.3E-2</v>
      </c>
      <c r="M174" s="9">
        <v>37.1</v>
      </c>
      <c r="N174" s="9">
        <v>31</v>
      </c>
      <c r="O174" s="9" t="s">
        <v>255</v>
      </c>
      <c r="P174" s="10">
        <v>46072</v>
      </c>
    </row>
    <row r="175" spans="1:16">
      <c r="A175" s="8" t="s">
        <v>250</v>
      </c>
      <c r="B175" s="9" t="s">
        <v>367</v>
      </c>
      <c r="C175" s="9">
        <v>2025</v>
      </c>
      <c r="D175" s="9" t="s">
        <v>438</v>
      </c>
      <c r="E175" s="9" t="s">
        <v>456</v>
      </c>
      <c r="F175" s="9" t="s">
        <v>254</v>
      </c>
      <c r="G175" s="9">
        <v>45.8</v>
      </c>
      <c r="H175" s="9">
        <v>28.3</v>
      </c>
      <c r="I175" s="9">
        <v>512.5</v>
      </c>
      <c r="J175" s="9">
        <v>5.4</v>
      </c>
      <c r="K175" s="9">
        <v>2.8</v>
      </c>
      <c r="L175" s="9">
        <v>0.02</v>
      </c>
      <c r="M175" s="9">
        <v>26.7</v>
      </c>
      <c r="N175" s="9">
        <v>24</v>
      </c>
      <c r="O175" s="9" t="s">
        <v>255</v>
      </c>
      <c r="P175" s="10">
        <v>46072</v>
      </c>
    </row>
    <row r="176" spans="1:16">
      <c r="A176" s="8" t="s">
        <v>250</v>
      </c>
      <c r="B176" s="9" t="s">
        <v>367</v>
      </c>
      <c r="C176" s="9">
        <v>2025</v>
      </c>
      <c r="D176" s="9" t="s">
        <v>438</v>
      </c>
      <c r="E176" s="9" t="s">
        <v>457</v>
      </c>
      <c r="F176" s="9" t="s">
        <v>254</v>
      </c>
      <c r="G176" s="9">
        <v>44.4</v>
      </c>
      <c r="H176" s="9">
        <v>35.200000000000003</v>
      </c>
      <c r="I176" s="9">
        <v>548</v>
      </c>
      <c r="J176" s="9">
        <v>6</v>
      </c>
      <c r="K176" s="9">
        <v>2.4</v>
      </c>
      <c r="L176" s="9">
        <v>1.9E-2</v>
      </c>
      <c r="M176" s="9">
        <v>31.2</v>
      </c>
      <c r="N176" s="9">
        <v>29.7</v>
      </c>
      <c r="O176" s="9" t="s">
        <v>255</v>
      </c>
      <c r="P176" s="10">
        <v>46072</v>
      </c>
    </row>
    <row r="177" spans="1:16">
      <c r="A177" s="8" t="s">
        <v>250</v>
      </c>
      <c r="B177" s="9" t="s">
        <v>367</v>
      </c>
      <c r="C177" s="9">
        <v>2025</v>
      </c>
      <c r="D177" s="9" t="s">
        <v>438</v>
      </c>
      <c r="E177" s="9" t="s">
        <v>458</v>
      </c>
      <c r="F177" s="9" t="s">
        <v>254</v>
      </c>
      <c r="G177" s="9">
        <v>49.9</v>
      </c>
      <c r="H177" s="9">
        <v>28.6</v>
      </c>
      <c r="I177" s="9">
        <v>587</v>
      </c>
      <c r="J177" s="9">
        <v>4.4000000000000004</v>
      </c>
      <c r="K177" s="9">
        <v>2.7</v>
      </c>
      <c r="L177" s="9">
        <v>2.1999999999999999E-2</v>
      </c>
      <c r="M177" s="9">
        <v>33.200000000000003</v>
      </c>
      <c r="N177" s="9">
        <v>30.7</v>
      </c>
      <c r="O177" s="9" t="s">
        <v>255</v>
      </c>
      <c r="P177" s="10">
        <v>46072</v>
      </c>
    </row>
    <row r="178" spans="1:16">
      <c r="A178" s="8" t="s">
        <v>250</v>
      </c>
      <c r="B178" s="9" t="s">
        <v>367</v>
      </c>
      <c r="C178" s="9">
        <v>2025</v>
      </c>
      <c r="D178" s="9" t="s">
        <v>438</v>
      </c>
      <c r="E178" s="9" t="s">
        <v>459</v>
      </c>
      <c r="F178" s="9" t="s">
        <v>254</v>
      </c>
      <c r="G178" s="9">
        <v>41.8</v>
      </c>
      <c r="H178" s="9">
        <v>14.8</v>
      </c>
      <c r="I178" s="9">
        <v>612.5</v>
      </c>
      <c r="J178" s="9">
        <v>4</v>
      </c>
      <c r="K178" s="9">
        <v>2.5</v>
      </c>
      <c r="L178" s="9">
        <v>0.02</v>
      </c>
      <c r="M178" s="9">
        <v>2.4</v>
      </c>
      <c r="N178" s="9">
        <v>11.5</v>
      </c>
      <c r="O178" s="9" t="s">
        <v>255</v>
      </c>
      <c r="P178" s="10">
        <v>46072</v>
      </c>
    </row>
    <row r="179" spans="1:16">
      <c r="A179" s="8" t="s">
        <v>250</v>
      </c>
      <c r="B179" s="9" t="s">
        <v>367</v>
      </c>
      <c r="C179" s="9">
        <v>2025</v>
      </c>
      <c r="D179" s="9" t="s">
        <v>438</v>
      </c>
      <c r="E179" s="9" t="s">
        <v>460</v>
      </c>
      <c r="F179" s="9" t="s">
        <v>254</v>
      </c>
      <c r="G179" s="9">
        <v>42.5</v>
      </c>
      <c r="H179" s="9">
        <v>31</v>
      </c>
      <c r="I179" s="9">
        <v>488</v>
      </c>
      <c r="J179" s="9">
        <v>5</v>
      </c>
      <c r="K179" s="9">
        <v>1.7</v>
      </c>
      <c r="L179" s="9">
        <v>1.6E-2</v>
      </c>
      <c r="M179" s="9">
        <v>69.900000000000006</v>
      </c>
      <c r="N179" s="9">
        <v>9.5</v>
      </c>
      <c r="O179" s="9" t="s">
        <v>255</v>
      </c>
      <c r="P179" s="10">
        <v>46072</v>
      </c>
    </row>
    <row r="180" spans="1:16">
      <c r="A180" s="8" t="s">
        <v>250</v>
      </c>
      <c r="B180" s="9" t="s">
        <v>251</v>
      </c>
      <c r="C180" s="9">
        <v>2025</v>
      </c>
      <c r="D180" s="9" t="s">
        <v>438</v>
      </c>
      <c r="E180" s="9" t="s">
        <v>461</v>
      </c>
      <c r="F180" s="9" t="s">
        <v>254</v>
      </c>
      <c r="G180" s="9">
        <v>45.9</v>
      </c>
      <c r="H180" s="9">
        <v>24.6</v>
      </c>
      <c r="I180" s="9">
        <v>488</v>
      </c>
      <c r="J180" s="9">
        <v>6.1</v>
      </c>
      <c r="K180" s="9">
        <v>1.7</v>
      </c>
      <c r="L180" s="9">
        <v>1.6E-2</v>
      </c>
      <c r="M180" s="9">
        <v>12.1</v>
      </c>
      <c r="N180" s="9">
        <v>47</v>
      </c>
      <c r="O180" s="9" t="s">
        <v>255</v>
      </c>
      <c r="P180" s="10">
        <v>46072</v>
      </c>
    </row>
    <row r="181" spans="1:16">
      <c r="A181" s="8" t="s">
        <v>250</v>
      </c>
      <c r="B181" s="9" t="s">
        <v>251</v>
      </c>
      <c r="C181" s="9">
        <v>2025</v>
      </c>
      <c r="D181" s="9" t="s">
        <v>438</v>
      </c>
      <c r="E181" s="9" t="s">
        <v>462</v>
      </c>
      <c r="F181" s="9" t="s">
        <v>254</v>
      </c>
      <c r="G181" s="9">
        <v>52</v>
      </c>
      <c r="H181" s="9">
        <v>34.4</v>
      </c>
      <c r="I181" s="9">
        <v>488</v>
      </c>
      <c r="J181" s="9">
        <v>4.4000000000000004</v>
      </c>
      <c r="K181" s="9">
        <v>1.7</v>
      </c>
      <c r="L181" s="9">
        <v>1.6E-2</v>
      </c>
      <c r="M181" s="9">
        <v>57.5</v>
      </c>
      <c r="N181" s="9">
        <v>37</v>
      </c>
      <c r="O181" s="9" t="s">
        <v>255</v>
      </c>
      <c r="P181" s="10">
        <v>46072</v>
      </c>
    </row>
    <row r="182" spans="1:16">
      <c r="A182" s="8" t="s">
        <v>250</v>
      </c>
      <c r="B182" s="9" t="s">
        <v>251</v>
      </c>
      <c r="C182" s="9">
        <v>2025</v>
      </c>
      <c r="D182" s="9" t="s">
        <v>438</v>
      </c>
      <c r="E182" s="9" t="s">
        <v>463</v>
      </c>
      <c r="F182" s="9" t="s">
        <v>254</v>
      </c>
      <c r="G182" s="9">
        <v>42.3</v>
      </c>
      <c r="H182" s="9">
        <v>27.8</v>
      </c>
      <c r="I182" s="9">
        <v>539.5</v>
      </c>
      <c r="J182" s="9">
        <v>5.3</v>
      </c>
      <c r="K182" s="9">
        <v>2.7</v>
      </c>
      <c r="L182" s="9">
        <v>2.5999999999999999E-2</v>
      </c>
      <c r="M182" s="9">
        <v>62.5</v>
      </c>
      <c r="N182" s="9">
        <v>13</v>
      </c>
      <c r="O182" s="9" t="s">
        <v>255</v>
      </c>
      <c r="P182" s="10">
        <v>46072</v>
      </c>
    </row>
    <row r="183" spans="1:16">
      <c r="A183" s="8" t="s">
        <v>250</v>
      </c>
      <c r="B183" s="9" t="s">
        <v>251</v>
      </c>
      <c r="C183" s="9">
        <v>2025</v>
      </c>
      <c r="D183" s="9" t="s">
        <v>438</v>
      </c>
      <c r="E183" s="9" t="s">
        <v>464</v>
      </c>
      <c r="F183" s="9" t="s">
        <v>254</v>
      </c>
      <c r="G183" s="9">
        <v>46.7</v>
      </c>
      <c r="H183" s="9">
        <v>29</v>
      </c>
      <c r="I183" s="9">
        <v>561.70000000000005</v>
      </c>
      <c r="J183" s="9">
        <v>8.3000000000000007</v>
      </c>
      <c r="K183" s="9">
        <v>2.8</v>
      </c>
      <c r="L183" s="9">
        <v>2.4E-2</v>
      </c>
      <c r="M183" s="9">
        <v>63.6</v>
      </c>
      <c r="N183" s="9">
        <v>23.7</v>
      </c>
      <c r="O183" s="9" t="s">
        <v>255</v>
      </c>
      <c r="P183" s="10">
        <v>46072</v>
      </c>
    </row>
    <row r="184" spans="1:16">
      <c r="A184" s="8" t="s">
        <v>250</v>
      </c>
      <c r="B184" s="9" t="s">
        <v>257</v>
      </c>
      <c r="C184" s="9">
        <v>2025</v>
      </c>
      <c r="D184" s="9" t="s">
        <v>438</v>
      </c>
      <c r="E184" s="9" t="s">
        <v>465</v>
      </c>
      <c r="F184" s="9" t="s">
        <v>254</v>
      </c>
      <c r="G184" s="9">
        <v>42.1</v>
      </c>
      <c r="H184" s="9">
        <v>28.7</v>
      </c>
      <c r="I184" s="9">
        <v>621.70000000000005</v>
      </c>
      <c r="J184" s="9">
        <v>6.2</v>
      </c>
      <c r="K184" s="9">
        <v>2.6</v>
      </c>
      <c r="L184" s="9">
        <v>2.9000000000000001E-2</v>
      </c>
      <c r="M184" s="9">
        <v>34.1</v>
      </c>
      <c r="N184" s="9">
        <v>45.3</v>
      </c>
      <c r="O184" s="9" t="s">
        <v>255</v>
      </c>
      <c r="P184" s="10">
        <v>46072</v>
      </c>
    </row>
    <row r="185" spans="1:16">
      <c r="A185" s="8" t="s">
        <v>250</v>
      </c>
      <c r="B185" s="9" t="s">
        <v>257</v>
      </c>
      <c r="C185" s="9">
        <v>2025</v>
      </c>
      <c r="D185" s="9" t="s">
        <v>438</v>
      </c>
      <c r="E185" s="9" t="s">
        <v>466</v>
      </c>
      <c r="F185" s="9" t="s">
        <v>254</v>
      </c>
      <c r="G185" s="9">
        <v>45</v>
      </c>
      <c r="H185" s="9">
        <v>35.9</v>
      </c>
      <c r="I185" s="9">
        <v>510</v>
      </c>
      <c r="J185" s="9">
        <v>6.3</v>
      </c>
      <c r="K185" s="9">
        <v>2.2000000000000002</v>
      </c>
      <c r="L185" s="9">
        <v>2.7E-2</v>
      </c>
      <c r="M185" s="9">
        <v>24.2</v>
      </c>
      <c r="N185" s="9">
        <v>42</v>
      </c>
      <c r="O185" s="9" t="s">
        <v>255</v>
      </c>
      <c r="P185" s="10">
        <v>46072</v>
      </c>
    </row>
    <row r="186" spans="1:16">
      <c r="A186" s="8" t="s">
        <v>250</v>
      </c>
      <c r="B186" s="9" t="s">
        <v>357</v>
      </c>
      <c r="C186" s="9">
        <v>2025</v>
      </c>
      <c r="D186" s="9" t="s">
        <v>438</v>
      </c>
      <c r="E186" s="9" t="s">
        <v>467</v>
      </c>
      <c r="F186" s="9" t="s">
        <v>254</v>
      </c>
      <c r="G186" s="9">
        <v>44</v>
      </c>
      <c r="H186" s="9">
        <v>27.2</v>
      </c>
      <c r="I186" s="9">
        <v>612.5</v>
      </c>
      <c r="J186" s="9">
        <v>7.9</v>
      </c>
      <c r="K186" s="9">
        <v>2.7</v>
      </c>
      <c r="L186" s="9">
        <v>0.03</v>
      </c>
      <c r="M186" s="9">
        <v>29.4</v>
      </c>
      <c r="N186" s="9">
        <v>46.5</v>
      </c>
      <c r="O186" s="9" t="s">
        <v>255</v>
      </c>
      <c r="P186" s="10">
        <v>46072</v>
      </c>
    </row>
    <row r="187" spans="1:16">
      <c r="A187" s="8" t="s">
        <v>250</v>
      </c>
      <c r="B187" s="9" t="s">
        <v>357</v>
      </c>
      <c r="C187" s="9">
        <v>2025</v>
      </c>
      <c r="D187" s="9" t="s">
        <v>438</v>
      </c>
      <c r="E187" s="9" t="s">
        <v>468</v>
      </c>
      <c r="F187" s="9" t="s">
        <v>254</v>
      </c>
      <c r="G187" s="9">
        <v>39.9</v>
      </c>
      <c r="H187" s="9">
        <v>26.5</v>
      </c>
      <c r="I187" s="9">
        <v>600.5</v>
      </c>
      <c r="J187" s="9">
        <v>10.1</v>
      </c>
      <c r="K187" s="9">
        <v>2.2000000000000002</v>
      </c>
      <c r="L187" s="9">
        <v>0.02</v>
      </c>
      <c r="M187" s="9">
        <v>25</v>
      </c>
      <c r="N187" s="9">
        <v>26.5</v>
      </c>
      <c r="O187" s="9" t="s">
        <v>255</v>
      </c>
      <c r="P187" s="10">
        <v>46072</v>
      </c>
    </row>
    <row r="188" spans="1:16">
      <c r="A188" s="8" t="s">
        <v>250</v>
      </c>
      <c r="B188" s="9" t="s">
        <v>357</v>
      </c>
      <c r="C188" s="9">
        <v>2025</v>
      </c>
      <c r="D188" s="9" t="s">
        <v>438</v>
      </c>
      <c r="E188" s="9" t="s">
        <v>469</v>
      </c>
      <c r="F188" s="9" t="s">
        <v>254</v>
      </c>
      <c r="G188" s="9">
        <v>38</v>
      </c>
      <c r="H188" s="9">
        <v>20.2</v>
      </c>
      <c r="I188" s="9">
        <v>499.5</v>
      </c>
      <c r="J188" s="9">
        <v>6.4</v>
      </c>
      <c r="K188" s="9">
        <v>2.4</v>
      </c>
      <c r="L188" s="9">
        <v>3.4000000000000002E-2</v>
      </c>
      <c r="M188" s="9">
        <v>63.4</v>
      </c>
      <c r="N188" s="9">
        <v>26.5</v>
      </c>
      <c r="O188" s="9" t="s">
        <v>255</v>
      </c>
      <c r="P188" s="10">
        <v>46072</v>
      </c>
    </row>
    <row r="189" spans="1:16">
      <c r="A189" s="8" t="s">
        <v>250</v>
      </c>
      <c r="B189" s="9" t="s">
        <v>357</v>
      </c>
      <c r="C189" s="9">
        <v>2025</v>
      </c>
      <c r="D189" s="9" t="s">
        <v>438</v>
      </c>
      <c r="E189" s="9" t="s">
        <v>470</v>
      </c>
      <c r="F189" s="9" t="s">
        <v>254</v>
      </c>
      <c r="G189" s="9">
        <v>50.4</v>
      </c>
      <c r="H189" s="9">
        <v>34.799999999999997</v>
      </c>
      <c r="I189" s="9">
        <v>570.5</v>
      </c>
      <c r="J189" s="9">
        <v>7.1</v>
      </c>
      <c r="K189" s="9">
        <v>3.3</v>
      </c>
      <c r="L189" s="9">
        <v>4.5999999999999999E-2</v>
      </c>
      <c r="M189" s="9">
        <v>77.7</v>
      </c>
      <c r="N189" s="9">
        <v>12</v>
      </c>
      <c r="O189" s="9" t="s">
        <v>255</v>
      </c>
      <c r="P189" s="10">
        <v>46072</v>
      </c>
    </row>
    <row r="190" spans="1:16">
      <c r="A190" s="8" t="s">
        <v>250</v>
      </c>
      <c r="B190" s="9" t="s">
        <v>357</v>
      </c>
      <c r="C190" s="9">
        <v>2025</v>
      </c>
      <c r="D190" s="9" t="s">
        <v>438</v>
      </c>
      <c r="E190" s="9" t="s">
        <v>471</v>
      </c>
      <c r="F190" s="9" t="s">
        <v>254</v>
      </c>
      <c r="G190" s="9">
        <v>43.1</v>
      </c>
      <c r="H190" s="9">
        <v>28.1</v>
      </c>
      <c r="I190" s="9">
        <v>503.5</v>
      </c>
      <c r="J190" s="9">
        <v>8.1999999999999993</v>
      </c>
      <c r="K190" s="9">
        <v>2.8</v>
      </c>
      <c r="L190" s="9">
        <v>3.7999999999999999E-2</v>
      </c>
      <c r="M190" s="9">
        <v>34</v>
      </c>
      <c r="N190" s="9">
        <v>33.5</v>
      </c>
      <c r="O190" s="9" t="s">
        <v>255</v>
      </c>
      <c r="P190" s="10">
        <v>46072</v>
      </c>
    </row>
    <row r="191" spans="1:16">
      <c r="A191" s="8" t="s">
        <v>250</v>
      </c>
      <c r="B191" s="9" t="s">
        <v>357</v>
      </c>
      <c r="C191" s="9">
        <v>2025</v>
      </c>
      <c r="D191" s="9" t="s">
        <v>438</v>
      </c>
      <c r="E191" s="9" t="s">
        <v>472</v>
      </c>
      <c r="F191" s="9" t="s">
        <v>254</v>
      </c>
      <c r="G191" s="9">
        <v>52.1</v>
      </c>
      <c r="H191" s="9">
        <v>26.9</v>
      </c>
      <c r="I191" s="9">
        <v>488.5</v>
      </c>
      <c r="J191" s="9">
        <v>6.4</v>
      </c>
      <c r="K191" s="9">
        <v>3</v>
      </c>
      <c r="L191" s="9">
        <v>3.9E-2</v>
      </c>
      <c r="M191" s="9">
        <v>197.7</v>
      </c>
      <c r="N191" s="9">
        <v>33.5</v>
      </c>
      <c r="O191" s="9" t="s">
        <v>255</v>
      </c>
      <c r="P191" s="10">
        <v>46072</v>
      </c>
    </row>
    <row r="192" spans="1:16">
      <c r="A192" s="8" t="s">
        <v>250</v>
      </c>
      <c r="B192" s="9" t="s">
        <v>473</v>
      </c>
      <c r="C192" s="9">
        <v>2025</v>
      </c>
      <c r="D192" s="9" t="s">
        <v>438</v>
      </c>
      <c r="E192" s="9" t="s">
        <v>474</v>
      </c>
      <c r="F192" s="9" t="s">
        <v>254</v>
      </c>
      <c r="G192" s="9">
        <v>57.3</v>
      </c>
      <c r="H192" s="9">
        <v>26.8</v>
      </c>
      <c r="I192" s="9">
        <v>506.7</v>
      </c>
      <c r="J192" s="9">
        <v>7.5</v>
      </c>
      <c r="K192" s="9">
        <v>2.4</v>
      </c>
      <c r="L192" s="9">
        <v>3.5999999999999997E-2</v>
      </c>
      <c r="M192" s="9">
        <v>70.599999999999994</v>
      </c>
      <c r="N192" s="9">
        <v>15</v>
      </c>
      <c r="O192" s="9" t="s">
        <v>255</v>
      </c>
      <c r="P192" s="10">
        <v>46072</v>
      </c>
    </row>
    <row r="193" spans="1:16">
      <c r="A193" s="8" t="s">
        <v>250</v>
      </c>
      <c r="B193" s="9" t="s">
        <v>473</v>
      </c>
      <c r="C193" s="9">
        <v>2025</v>
      </c>
      <c r="D193" s="9" t="s">
        <v>438</v>
      </c>
      <c r="E193" s="9" t="s">
        <v>475</v>
      </c>
      <c r="F193" s="9" t="s">
        <v>254</v>
      </c>
      <c r="G193" s="9">
        <v>52.6</v>
      </c>
      <c r="H193" s="9">
        <v>28.9</v>
      </c>
      <c r="I193" s="9">
        <v>558.29999999999995</v>
      </c>
      <c r="J193" s="9">
        <v>4.5</v>
      </c>
      <c r="K193" s="9">
        <v>3</v>
      </c>
      <c r="L193" s="9">
        <v>3.6999999999999998E-2</v>
      </c>
      <c r="M193" s="9">
        <v>55.5</v>
      </c>
      <c r="N193" s="9">
        <v>25</v>
      </c>
      <c r="O193" s="9" t="s">
        <v>255</v>
      </c>
      <c r="P193" s="10">
        <v>46072</v>
      </c>
    </row>
    <row r="194" spans="1:16">
      <c r="A194" s="8" t="s">
        <v>250</v>
      </c>
      <c r="B194" s="9" t="s">
        <v>473</v>
      </c>
      <c r="C194" s="9">
        <v>2025</v>
      </c>
      <c r="D194" s="9" t="s">
        <v>438</v>
      </c>
      <c r="E194" s="9" t="s">
        <v>476</v>
      </c>
      <c r="F194" s="9" t="s">
        <v>254</v>
      </c>
      <c r="G194" s="9">
        <v>47.4</v>
      </c>
      <c r="H194" s="9">
        <v>31.1</v>
      </c>
      <c r="I194" s="9">
        <v>448.7</v>
      </c>
      <c r="J194" s="9">
        <v>3.2</v>
      </c>
      <c r="K194" s="9">
        <v>2.4</v>
      </c>
      <c r="L194" s="9">
        <v>1.4E-2</v>
      </c>
      <c r="M194" s="9">
        <v>51</v>
      </c>
      <c r="N194" s="9">
        <v>54</v>
      </c>
      <c r="O194" s="9" t="s">
        <v>255</v>
      </c>
      <c r="P194" s="10">
        <v>46072</v>
      </c>
    </row>
    <row r="195" spans="1:16">
      <c r="A195" s="8" t="s">
        <v>250</v>
      </c>
      <c r="B195" s="9" t="s">
        <v>477</v>
      </c>
      <c r="C195" s="9">
        <v>2025</v>
      </c>
      <c r="D195" s="9" t="s">
        <v>438</v>
      </c>
      <c r="E195" s="9" t="s">
        <v>478</v>
      </c>
      <c r="F195" s="9" t="s">
        <v>254</v>
      </c>
      <c r="G195" s="9">
        <v>41.5</v>
      </c>
      <c r="H195" s="9">
        <v>29.2</v>
      </c>
      <c r="I195" s="9">
        <v>450</v>
      </c>
      <c r="J195" s="9">
        <v>4</v>
      </c>
      <c r="K195" s="9">
        <v>2.4</v>
      </c>
      <c r="L195" s="9">
        <v>1.4999999999999999E-2</v>
      </c>
      <c r="M195" s="9">
        <v>36.299999999999997</v>
      </c>
      <c r="N195" s="9">
        <v>17</v>
      </c>
      <c r="O195" s="9" t="s">
        <v>255</v>
      </c>
      <c r="P195" s="10">
        <v>46072</v>
      </c>
    </row>
    <row r="196" spans="1:16">
      <c r="A196" s="8" t="s">
        <v>250</v>
      </c>
      <c r="B196" s="9" t="s">
        <v>473</v>
      </c>
      <c r="C196" s="9">
        <v>2025</v>
      </c>
      <c r="D196" s="9" t="s">
        <v>479</v>
      </c>
      <c r="E196" s="9" t="s">
        <v>480</v>
      </c>
      <c r="F196" s="9" t="s">
        <v>254</v>
      </c>
      <c r="G196" s="9">
        <v>48.7</v>
      </c>
      <c r="H196" s="9">
        <v>28.5</v>
      </c>
      <c r="I196" s="9">
        <v>526</v>
      </c>
      <c r="J196" s="9">
        <v>3.2</v>
      </c>
      <c r="K196" s="9">
        <v>3.2</v>
      </c>
      <c r="L196" s="9">
        <v>4.9000000000000002E-2</v>
      </c>
      <c r="M196" s="9">
        <v>42.3</v>
      </c>
      <c r="N196" s="9">
        <v>38.299999999999997</v>
      </c>
      <c r="O196" s="9" t="s">
        <v>255</v>
      </c>
      <c r="P196" s="10">
        <v>46072</v>
      </c>
    </row>
    <row r="197" spans="1:16">
      <c r="A197" s="8" t="s">
        <v>250</v>
      </c>
      <c r="B197" s="9" t="s">
        <v>473</v>
      </c>
      <c r="C197" s="9">
        <v>2025</v>
      </c>
      <c r="D197" s="9" t="s">
        <v>479</v>
      </c>
      <c r="E197" s="9" t="s">
        <v>481</v>
      </c>
      <c r="F197" s="9" t="s">
        <v>254</v>
      </c>
      <c r="G197" s="9">
        <v>46.4</v>
      </c>
      <c r="H197" s="9">
        <v>25.5</v>
      </c>
      <c r="I197" s="9">
        <v>524.5</v>
      </c>
      <c r="J197" s="9">
        <v>5.9</v>
      </c>
      <c r="K197" s="9">
        <v>3.5</v>
      </c>
      <c r="L197" s="9">
        <v>2.5000000000000001E-2</v>
      </c>
      <c r="M197" s="9">
        <v>30.2</v>
      </c>
      <c r="N197" s="9">
        <v>28</v>
      </c>
      <c r="O197" s="9" t="s">
        <v>255</v>
      </c>
      <c r="P197" s="10">
        <v>46072</v>
      </c>
    </row>
    <row r="198" spans="1:16">
      <c r="A198" s="8" t="s">
        <v>250</v>
      </c>
      <c r="B198" s="9" t="s">
        <v>473</v>
      </c>
      <c r="C198" s="9">
        <v>2025</v>
      </c>
      <c r="D198" s="9" t="s">
        <v>479</v>
      </c>
      <c r="E198" s="9" t="s">
        <v>482</v>
      </c>
      <c r="F198" s="9" t="s">
        <v>254</v>
      </c>
      <c r="G198" s="9">
        <v>49.5</v>
      </c>
      <c r="H198" s="9">
        <v>27.3</v>
      </c>
      <c r="I198" s="9">
        <v>496.3</v>
      </c>
      <c r="J198" s="9">
        <v>8.3000000000000007</v>
      </c>
      <c r="K198" s="9">
        <v>3.1</v>
      </c>
      <c r="L198" s="9">
        <v>2.5000000000000001E-2</v>
      </c>
      <c r="M198" s="9">
        <v>16</v>
      </c>
      <c r="N198" s="9">
        <v>42.3</v>
      </c>
      <c r="O198" s="9" t="s">
        <v>255</v>
      </c>
      <c r="P198" s="10">
        <v>46072</v>
      </c>
    </row>
    <row r="199" spans="1:16">
      <c r="A199" s="8" t="s">
        <v>250</v>
      </c>
      <c r="B199" s="9" t="s">
        <v>473</v>
      </c>
      <c r="C199" s="9">
        <v>2025</v>
      </c>
      <c r="D199" s="9" t="s">
        <v>479</v>
      </c>
      <c r="E199" s="9" t="s">
        <v>483</v>
      </c>
      <c r="F199" s="9" t="s">
        <v>254</v>
      </c>
      <c r="G199" s="9">
        <v>49.2</v>
      </c>
      <c r="H199" s="9">
        <v>23.3</v>
      </c>
      <c r="I199" s="9">
        <v>544</v>
      </c>
      <c r="J199" s="9">
        <v>4.5</v>
      </c>
      <c r="K199" s="9">
        <v>3.3</v>
      </c>
      <c r="L199" s="9">
        <v>2.3E-2</v>
      </c>
      <c r="M199" s="9">
        <v>26.2</v>
      </c>
      <c r="N199" s="9">
        <v>51.5</v>
      </c>
      <c r="O199" s="9" t="s">
        <v>255</v>
      </c>
      <c r="P199" s="10">
        <v>46072</v>
      </c>
    </row>
    <row r="200" spans="1:16">
      <c r="A200" s="8" t="s">
        <v>250</v>
      </c>
      <c r="B200" s="9" t="s">
        <v>473</v>
      </c>
      <c r="C200" s="9">
        <v>2025</v>
      </c>
      <c r="D200" s="9" t="s">
        <v>479</v>
      </c>
      <c r="E200" s="9" t="s">
        <v>484</v>
      </c>
      <c r="F200" s="9" t="s">
        <v>254</v>
      </c>
      <c r="G200" s="9">
        <v>54.2</v>
      </c>
      <c r="H200" s="9">
        <v>26.8</v>
      </c>
      <c r="I200" s="9">
        <v>569</v>
      </c>
      <c r="J200" s="9">
        <v>9.9</v>
      </c>
      <c r="K200" s="9">
        <v>3.3</v>
      </c>
      <c r="L200" s="9">
        <v>2.9000000000000001E-2</v>
      </c>
      <c r="M200" s="9">
        <v>286.7</v>
      </c>
      <c r="N200" s="9">
        <v>30.5</v>
      </c>
      <c r="O200" s="9" t="s">
        <v>255</v>
      </c>
      <c r="P200" s="10">
        <v>46072</v>
      </c>
    </row>
    <row r="201" spans="1:16">
      <c r="A201" s="8" t="s">
        <v>250</v>
      </c>
      <c r="B201" s="9" t="s">
        <v>473</v>
      </c>
      <c r="C201" s="9">
        <v>2025</v>
      </c>
      <c r="D201" s="9" t="s">
        <v>479</v>
      </c>
      <c r="E201" s="9" t="s">
        <v>485</v>
      </c>
      <c r="F201" s="9" t="s">
        <v>254</v>
      </c>
      <c r="G201" s="9">
        <v>42.2</v>
      </c>
      <c r="H201" s="9">
        <v>20.7</v>
      </c>
      <c r="I201" s="9">
        <v>617.5</v>
      </c>
      <c r="J201" s="9">
        <v>7.7</v>
      </c>
      <c r="K201" s="9">
        <v>3.3</v>
      </c>
      <c r="L201" s="9">
        <v>4.2999999999999997E-2</v>
      </c>
      <c r="M201" s="9">
        <v>28.2</v>
      </c>
      <c r="N201" s="9">
        <v>26.5</v>
      </c>
      <c r="O201" s="9" t="s">
        <v>255</v>
      </c>
      <c r="P201" s="10">
        <v>46072</v>
      </c>
    </row>
    <row r="202" spans="1:16">
      <c r="A202" s="8" t="s">
        <v>250</v>
      </c>
      <c r="B202" s="9" t="s">
        <v>473</v>
      </c>
      <c r="C202" s="9">
        <v>2025</v>
      </c>
      <c r="D202" s="9" t="s">
        <v>479</v>
      </c>
      <c r="E202" s="9" t="s">
        <v>486</v>
      </c>
      <c r="F202" s="9" t="s">
        <v>254</v>
      </c>
      <c r="G202" s="9">
        <v>54.6</v>
      </c>
      <c r="H202" s="9">
        <v>30.5</v>
      </c>
      <c r="I202" s="9">
        <v>546.70000000000005</v>
      </c>
      <c r="J202" s="9">
        <v>8.1999999999999993</v>
      </c>
      <c r="K202" s="9">
        <v>2.8</v>
      </c>
      <c r="L202" s="9">
        <v>2.8000000000000001E-2</v>
      </c>
      <c r="M202" s="9">
        <v>42.9</v>
      </c>
      <c r="N202" s="9">
        <v>25.3</v>
      </c>
      <c r="O202" s="9" t="s">
        <v>255</v>
      </c>
      <c r="P202" s="10">
        <v>46072</v>
      </c>
    </row>
    <row r="203" spans="1:16">
      <c r="A203" s="8" t="s">
        <v>250</v>
      </c>
      <c r="B203" s="9" t="s">
        <v>477</v>
      </c>
      <c r="C203" s="9">
        <v>2025</v>
      </c>
      <c r="D203" s="9" t="s">
        <v>479</v>
      </c>
      <c r="E203" s="9" t="s">
        <v>487</v>
      </c>
      <c r="F203" s="9" t="s">
        <v>254</v>
      </c>
      <c r="G203" s="9">
        <v>49.3</v>
      </c>
      <c r="H203" s="9">
        <v>30</v>
      </c>
      <c r="I203" s="9">
        <v>591</v>
      </c>
      <c r="J203" s="9">
        <v>7.6</v>
      </c>
      <c r="K203" s="9">
        <v>3.2</v>
      </c>
      <c r="L203" s="9">
        <v>3.5999999999999997E-2</v>
      </c>
      <c r="M203" s="9">
        <v>40.1</v>
      </c>
      <c r="N203" s="9">
        <v>22.5</v>
      </c>
      <c r="O203" s="9" t="s">
        <v>255</v>
      </c>
      <c r="P203" s="10">
        <v>46072</v>
      </c>
    </row>
    <row r="204" spans="1:16">
      <c r="A204" s="8" t="s">
        <v>250</v>
      </c>
      <c r="B204" s="9" t="s">
        <v>477</v>
      </c>
      <c r="C204" s="9">
        <v>2025</v>
      </c>
      <c r="D204" s="9" t="s">
        <v>479</v>
      </c>
      <c r="E204" s="9" t="s">
        <v>488</v>
      </c>
      <c r="F204" s="9" t="s">
        <v>254</v>
      </c>
      <c r="G204" s="9">
        <v>47.8</v>
      </c>
      <c r="H204" s="9">
        <v>27.7</v>
      </c>
      <c r="I204" s="9">
        <v>568.5</v>
      </c>
      <c r="J204" s="9">
        <v>9</v>
      </c>
      <c r="K204" s="9">
        <v>2.7</v>
      </c>
      <c r="L204" s="9">
        <v>3.1E-2</v>
      </c>
      <c r="M204" s="9">
        <v>29</v>
      </c>
      <c r="N204" s="9">
        <v>18</v>
      </c>
      <c r="O204" s="9" t="s">
        <v>255</v>
      </c>
      <c r="P204" s="10">
        <v>46072</v>
      </c>
    </row>
    <row r="205" spans="1:16">
      <c r="A205" s="8" t="s">
        <v>250</v>
      </c>
      <c r="B205" s="9" t="s">
        <v>477</v>
      </c>
      <c r="C205" s="9">
        <v>2025</v>
      </c>
      <c r="D205" s="9" t="s">
        <v>479</v>
      </c>
      <c r="E205" s="9" t="s">
        <v>489</v>
      </c>
      <c r="F205" s="9" t="s">
        <v>254</v>
      </c>
      <c r="G205" s="9">
        <v>52.4</v>
      </c>
      <c r="H205" s="9">
        <v>29.5</v>
      </c>
      <c r="I205" s="9">
        <v>683</v>
      </c>
      <c r="J205" s="9">
        <v>9.3000000000000007</v>
      </c>
      <c r="K205" s="9">
        <v>2.9</v>
      </c>
      <c r="L205" s="9">
        <v>4.2000000000000003E-2</v>
      </c>
      <c r="M205" s="9">
        <v>142.9</v>
      </c>
      <c r="N205" s="9">
        <v>40.5</v>
      </c>
      <c r="O205" s="9" t="s">
        <v>255</v>
      </c>
      <c r="P205" s="10">
        <v>46072</v>
      </c>
    </row>
    <row r="206" spans="1:16">
      <c r="A206" s="8" t="s">
        <v>250</v>
      </c>
      <c r="B206" s="9" t="s">
        <v>477</v>
      </c>
      <c r="C206" s="9">
        <v>2025</v>
      </c>
      <c r="D206" s="9" t="s">
        <v>479</v>
      </c>
      <c r="E206" s="9" t="s">
        <v>490</v>
      </c>
      <c r="F206" s="9" t="s">
        <v>254</v>
      </c>
      <c r="G206" s="9">
        <v>50.2</v>
      </c>
      <c r="H206" s="9">
        <v>18.399999999999999</v>
      </c>
      <c r="I206" s="9">
        <v>524</v>
      </c>
      <c r="J206" s="9">
        <v>24</v>
      </c>
      <c r="K206" s="9">
        <v>2.5</v>
      </c>
      <c r="L206" s="9">
        <v>2.5999999999999999E-2</v>
      </c>
      <c r="M206" s="9">
        <v>47.6</v>
      </c>
      <c r="N206" s="9">
        <v>29</v>
      </c>
      <c r="O206" s="9" t="s">
        <v>255</v>
      </c>
      <c r="P206" s="10">
        <v>46072</v>
      </c>
    </row>
    <row r="207" spans="1:16">
      <c r="A207" s="8" t="s">
        <v>250</v>
      </c>
      <c r="B207" s="9" t="s">
        <v>477</v>
      </c>
      <c r="C207" s="9">
        <v>2025</v>
      </c>
      <c r="D207" s="9" t="s">
        <v>479</v>
      </c>
      <c r="E207" s="9" t="s">
        <v>491</v>
      </c>
      <c r="F207" s="9" t="s">
        <v>254</v>
      </c>
      <c r="G207" s="9">
        <v>48.6</v>
      </c>
      <c r="H207" s="9">
        <v>36.9</v>
      </c>
      <c r="I207" s="9">
        <v>691.5</v>
      </c>
      <c r="J207" s="9">
        <v>14.4</v>
      </c>
      <c r="K207" s="9">
        <v>3.1</v>
      </c>
      <c r="L207" s="9">
        <v>2.9000000000000001E-2</v>
      </c>
      <c r="M207" s="9">
        <v>34.1</v>
      </c>
      <c r="N207" s="9">
        <v>21</v>
      </c>
      <c r="O207" s="9" t="s">
        <v>255</v>
      </c>
      <c r="P207" s="10">
        <v>46072</v>
      </c>
    </row>
    <row r="208" spans="1:16">
      <c r="A208" s="8" t="s">
        <v>250</v>
      </c>
      <c r="B208" s="9" t="s">
        <v>477</v>
      </c>
      <c r="C208" s="9">
        <v>2025</v>
      </c>
      <c r="D208" s="9" t="s">
        <v>479</v>
      </c>
      <c r="E208" s="9" t="s">
        <v>492</v>
      </c>
      <c r="F208" s="9" t="s">
        <v>254</v>
      </c>
      <c r="G208" s="9">
        <v>56.6</v>
      </c>
      <c r="H208" s="9">
        <v>29.6</v>
      </c>
      <c r="I208" s="9">
        <v>629</v>
      </c>
      <c r="J208" s="9">
        <v>6.2</v>
      </c>
      <c r="K208" s="9">
        <v>2.7</v>
      </c>
      <c r="L208" s="9">
        <v>3.1E-2</v>
      </c>
      <c r="M208" s="9">
        <v>404.3</v>
      </c>
      <c r="N208" s="9">
        <v>32.5</v>
      </c>
      <c r="O208" s="9" t="s">
        <v>255</v>
      </c>
      <c r="P208" s="10">
        <v>46072</v>
      </c>
    </row>
    <row r="209" spans="1:16">
      <c r="A209" s="8" t="s">
        <v>250</v>
      </c>
      <c r="B209" s="9" t="s">
        <v>412</v>
      </c>
      <c r="C209" s="9">
        <v>2025</v>
      </c>
      <c r="D209" s="9" t="s">
        <v>479</v>
      </c>
      <c r="E209" s="9" t="s">
        <v>493</v>
      </c>
      <c r="F209" s="9" t="s">
        <v>254</v>
      </c>
      <c r="G209" s="9">
        <v>46.1</v>
      </c>
      <c r="H209" s="9">
        <v>29.3</v>
      </c>
      <c r="I209" s="9">
        <v>574.5</v>
      </c>
      <c r="J209" s="9">
        <v>7</v>
      </c>
      <c r="K209" s="9">
        <v>3.3</v>
      </c>
      <c r="L209" s="9">
        <v>3.2000000000000001E-2</v>
      </c>
      <c r="M209" s="9">
        <v>427.8</v>
      </c>
      <c r="N209" s="9">
        <v>14</v>
      </c>
      <c r="O209" s="9" t="s">
        <v>255</v>
      </c>
      <c r="P209" s="10">
        <v>46072</v>
      </c>
    </row>
    <row r="210" spans="1:16">
      <c r="A210" s="8" t="s">
        <v>250</v>
      </c>
      <c r="B210" s="9" t="s">
        <v>412</v>
      </c>
      <c r="C210" s="9">
        <v>2025</v>
      </c>
      <c r="D210" s="9" t="s">
        <v>479</v>
      </c>
      <c r="E210" s="9" t="s">
        <v>494</v>
      </c>
      <c r="F210" s="9" t="s">
        <v>254</v>
      </c>
      <c r="G210" s="9">
        <v>57</v>
      </c>
      <c r="H210" s="9">
        <v>30.2</v>
      </c>
      <c r="I210" s="9">
        <v>613.5</v>
      </c>
      <c r="J210" s="9">
        <v>5.6</v>
      </c>
      <c r="K210" s="9">
        <v>3</v>
      </c>
      <c r="L210" s="9">
        <v>0.03</v>
      </c>
      <c r="M210" s="9">
        <v>53.2</v>
      </c>
      <c r="N210" s="9">
        <v>13</v>
      </c>
      <c r="O210" s="9" t="s">
        <v>255</v>
      </c>
      <c r="P210" s="10">
        <v>46072</v>
      </c>
    </row>
    <row r="211" spans="1:16">
      <c r="A211" s="8" t="s">
        <v>250</v>
      </c>
      <c r="B211" s="9" t="s">
        <v>412</v>
      </c>
      <c r="C211" s="9">
        <v>2025</v>
      </c>
      <c r="D211" s="9" t="s">
        <v>479</v>
      </c>
      <c r="E211" s="9" t="s">
        <v>495</v>
      </c>
      <c r="F211" s="9" t="s">
        <v>254</v>
      </c>
      <c r="G211" s="9">
        <v>46</v>
      </c>
      <c r="H211" s="9">
        <v>26.7</v>
      </c>
      <c r="I211" s="9">
        <v>516</v>
      </c>
      <c r="J211" s="9">
        <v>8</v>
      </c>
      <c r="K211" s="9">
        <v>2.7</v>
      </c>
      <c r="L211" s="9">
        <v>3.7999999999999999E-2</v>
      </c>
      <c r="M211" s="9">
        <v>40</v>
      </c>
      <c r="N211" s="9">
        <v>4.5</v>
      </c>
      <c r="O211" s="9" t="s">
        <v>255</v>
      </c>
      <c r="P211" s="10">
        <v>46072</v>
      </c>
    </row>
    <row r="212" spans="1:16">
      <c r="A212" s="8" t="s">
        <v>250</v>
      </c>
      <c r="B212" s="9" t="s">
        <v>412</v>
      </c>
      <c r="C212" s="9">
        <v>2025</v>
      </c>
      <c r="D212" s="9" t="s">
        <v>479</v>
      </c>
      <c r="E212" s="9" t="s">
        <v>496</v>
      </c>
      <c r="F212" s="9" t="s">
        <v>254</v>
      </c>
      <c r="G212" s="9">
        <v>49</v>
      </c>
      <c r="H212" s="9">
        <v>27</v>
      </c>
      <c r="I212" s="9">
        <v>613</v>
      </c>
      <c r="J212" s="9">
        <v>6.8</v>
      </c>
      <c r="K212" s="9">
        <v>3</v>
      </c>
      <c r="L212" s="9">
        <v>2.5000000000000001E-2</v>
      </c>
      <c r="M212" s="9">
        <v>43.5</v>
      </c>
      <c r="N212" s="9">
        <v>18.3</v>
      </c>
      <c r="O212" s="9" t="s">
        <v>255</v>
      </c>
      <c r="P212" s="10">
        <v>46072</v>
      </c>
    </row>
    <row r="213" spans="1:16">
      <c r="A213" s="8" t="s">
        <v>250</v>
      </c>
      <c r="B213" s="9" t="s">
        <v>281</v>
      </c>
      <c r="C213" s="9">
        <v>2025</v>
      </c>
      <c r="D213" s="9" t="s">
        <v>479</v>
      </c>
      <c r="E213" s="9" t="s">
        <v>497</v>
      </c>
      <c r="F213" s="9" t="s">
        <v>254</v>
      </c>
      <c r="G213" s="9">
        <v>47.3</v>
      </c>
      <c r="H213" s="9">
        <v>26</v>
      </c>
      <c r="I213" s="9">
        <v>517.29999999999995</v>
      </c>
      <c r="J213" s="9">
        <v>11.5</v>
      </c>
      <c r="K213" s="9">
        <v>3.5</v>
      </c>
      <c r="L213" s="9">
        <v>3.7999999999999999E-2</v>
      </c>
      <c r="M213" s="9">
        <v>96.6</v>
      </c>
      <c r="N213" s="9">
        <v>18.3</v>
      </c>
      <c r="O213" s="9" t="s">
        <v>255</v>
      </c>
      <c r="P213" s="10">
        <v>46072</v>
      </c>
    </row>
    <row r="214" spans="1:16">
      <c r="A214" s="8" t="s">
        <v>250</v>
      </c>
      <c r="B214" s="9" t="s">
        <v>281</v>
      </c>
      <c r="C214" s="9">
        <v>2025</v>
      </c>
      <c r="D214" s="9" t="s">
        <v>479</v>
      </c>
      <c r="E214" s="9" t="s">
        <v>498</v>
      </c>
      <c r="F214" s="9" t="s">
        <v>254</v>
      </c>
      <c r="G214" s="9">
        <v>48.4</v>
      </c>
      <c r="H214" s="9">
        <v>26.9</v>
      </c>
      <c r="I214" s="9">
        <v>456.7</v>
      </c>
      <c r="J214" s="9">
        <v>15.5</v>
      </c>
      <c r="K214" s="9">
        <v>2.9</v>
      </c>
      <c r="L214" s="9">
        <v>3.4000000000000002E-2</v>
      </c>
      <c r="M214" s="9">
        <v>20.8</v>
      </c>
      <c r="N214" s="9">
        <v>31.3</v>
      </c>
      <c r="O214" s="9" t="s">
        <v>255</v>
      </c>
      <c r="P214" s="10">
        <v>46072</v>
      </c>
    </row>
    <row r="215" spans="1:16">
      <c r="A215" s="8" t="s">
        <v>250</v>
      </c>
      <c r="B215" s="9" t="s">
        <v>281</v>
      </c>
      <c r="C215" s="9">
        <v>2025</v>
      </c>
      <c r="D215" s="9" t="s">
        <v>479</v>
      </c>
      <c r="E215" s="9" t="s">
        <v>499</v>
      </c>
      <c r="F215" s="9" t="s">
        <v>254</v>
      </c>
      <c r="G215" s="9">
        <v>43.6</v>
      </c>
      <c r="H215" s="9">
        <v>29.5</v>
      </c>
      <c r="I215" s="9">
        <v>490.5</v>
      </c>
      <c r="J215" s="9">
        <v>7.3</v>
      </c>
      <c r="K215" s="9">
        <v>2.5</v>
      </c>
      <c r="L215" s="9">
        <v>2.9000000000000001E-2</v>
      </c>
      <c r="M215" s="9">
        <v>30.2</v>
      </c>
      <c r="N215" s="9">
        <v>12.5</v>
      </c>
      <c r="O215" s="9" t="s">
        <v>255</v>
      </c>
      <c r="P215" s="10">
        <v>46072</v>
      </c>
    </row>
    <row r="216" spans="1:16">
      <c r="A216" s="8" t="s">
        <v>250</v>
      </c>
      <c r="B216" s="9" t="s">
        <v>281</v>
      </c>
      <c r="C216" s="9">
        <v>2025</v>
      </c>
      <c r="D216" s="9" t="s">
        <v>479</v>
      </c>
      <c r="E216" s="9" t="s">
        <v>500</v>
      </c>
      <c r="F216" s="9" t="s">
        <v>254</v>
      </c>
      <c r="G216" s="9">
        <v>48.3</v>
      </c>
      <c r="H216" s="9">
        <v>27.7</v>
      </c>
      <c r="I216" s="9">
        <v>486</v>
      </c>
      <c r="J216" s="9">
        <v>6.4</v>
      </c>
      <c r="K216" s="9">
        <v>3</v>
      </c>
      <c r="L216" s="9">
        <v>2.1000000000000001E-2</v>
      </c>
      <c r="M216" s="9">
        <v>15.8</v>
      </c>
      <c r="N216" s="9">
        <v>17.3</v>
      </c>
      <c r="O216" s="9" t="s">
        <v>255</v>
      </c>
      <c r="P216" s="10">
        <v>46072</v>
      </c>
    </row>
    <row r="217" spans="1:16">
      <c r="A217" s="8" t="s">
        <v>250</v>
      </c>
      <c r="B217" s="9" t="s">
        <v>286</v>
      </c>
      <c r="C217" s="9">
        <v>2025</v>
      </c>
      <c r="D217" s="9" t="s">
        <v>479</v>
      </c>
      <c r="E217" s="9" t="s">
        <v>501</v>
      </c>
      <c r="F217" s="9" t="s">
        <v>254</v>
      </c>
      <c r="G217" s="9">
        <v>48.5</v>
      </c>
      <c r="H217" s="9">
        <v>26.1</v>
      </c>
      <c r="I217" s="9">
        <v>615.70000000000005</v>
      </c>
      <c r="J217" s="9">
        <v>9.3000000000000007</v>
      </c>
      <c r="K217" s="9">
        <v>3.2</v>
      </c>
      <c r="L217" s="9">
        <v>0.03</v>
      </c>
      <c r="M217" s="9">
        <v>147.19999999999999</v>
      </c>
      <c r="N217" s="9">
        <v>17.3</v>
      </c>
      <c r="O217" s="9" t="s">
        <v>255</v>
      </c>
      <c r="P217" s="10">
        <v>46072</v>
      </c>
    </row>
    <row r="218" spans="1:16">
      <c r="A218" s="8" t="s">
        <v>250</v>
      </c>
      <c r="B218" s="9" t="s">
        <v>286</v>
      </c>
      <c r="C218" s="9">
        <v>2025</v>
      </c>
      <c r="D218" s="9" t="s">
        <v>479</v>
      </c>
      <c r="E218" s="9" t="s">
        <v>502</v>
      </c>
      <c r="F218" s="9" t="s">
        <v>254</v>
      </c>
      <c r="G218" s="9">
        <v>43.8</v>
      </c>
      <c r="H218" s="9">
        <v>28.5</v>
      </c>
      <c r="I218" s="9">
        <v>599</v>
      </c>
      <c r="J218" s="9">
        <v>17.7</v>
      </c>
      <c r="K218" s="9">
        <v>2.7</v>
      </c>
      <c r="L218" s="9">
        <v>3.5999999999999997E-2</v>
      </c>
      <c r="M218" s="9">
        <v>381</v>
      </c>
      <c r="N218" s="9">
        <v>14.7</v>
      </c>
      <c r="O218" s="9" t="s">
        <v>255</v>
      </c>
      <c r="P218" s="10">
        <v>46072</v>
      </c>
    </row>
    <row r="219" spans="1:16">
      <c r="A219" s="8" t="s">
        <v>250</v>
      </c>
      <c r="B219" s="9" t="s">
        <v>286</v>
      </c>
      <c r="C219" s="9">
        <v>2025</v>
      </c>
      <c r="D219" s="9" t="s">
        <v>479</v>
      </c>
      <c r="E219" s="9" t="s">
        <v>503</v>
      </c>
      <c r="F219" s="9" t="s">
        <v>254</v>
      </c>
      <c r="G219" s="9">
        <v>50.8</v>
      </c>
      <c r="H219" s="9">
        <v>27.9</v>
      </c>
      <c r="I219" s="9">
        <v>494.5</v>
      </c>
      <c r="J219" s="9">
        <v>7.8</v>
      </c>
      <c r="K219" s="9">
        <v>3.1</v>
      </c>
      <c r="L219" s="9">
        <v>3.6999999999999998E-2</v>
      </c>
      <c r="M219" s="9">
        <v>24.2</v>
      </c>
      <c r="N219" s="9">
        <v>24</v>
      </c>
      <c r="O219" s="9" t="s">
        <v>255</v>
      </c>
      <c r="P219" s="10">
        <v>46072</v>
      </c>
    </row>
    <row r="220" spans="1:16">
      <c r="A220" s="8" t="s">
        <v>250</v>
      </c>
      <c r="B220" s="9" t="s">
        <v>290</v>
      </c>
      <c r="C220" s="9">
        <v>2025</v>
      </c>
      <c r="D220" s="9" t="s">
        <v>479</v>
      </c>
      <c r="E220" s="9" t="s">
        <v>504</v>
      </c>
      <c r="F220" s="9" t="s">
        <v>254</v>
      </c>
      <c r="G220" s="9">
        <v>50.2</v>
      </c>
      <c r="H220" s="9">
        <v>28.1</v>
      </c>
      <c r="I220" s="9">
        <v>613</v>
      </c>
      <c r="J220" s="9">
        <v>8.1999999999999993</v>
      </c>
      <c r="K220" s="9">
        <v>2.9</v>
      </c>
      <c r="L220" s="9">
        <v>3.5999999999999997E-2</v>
      </c>
      <c r="M220" s="9">
        <v>410.5</v>
      </c>
      <c r="N220" s="9">
        <v>10</v>
      </c>
      <c r="O220" s="9" t="s">
        <v>255</v>
      </c>
      <c r="P220" s="10">
        <v>46072</v>
      </c>
    </row>
    <row r="221" spans="1:16">
      <c r="A221" s="8" t="s">
        <v>250</v>
      </c>
      <c r="B221" s="9" t="s">
        <v>290</v>
      </c>
      <c r="C221" s="9">
        <v>2025</v>
      </c>
      <c r="D221" s="9" t="s">
        <v>479</v>
      </c>
      <c r="E221" s="9" t="s">
        <v>505</v>
      </c>
      <c r="F221" s="9" t="s">
        <v>254</v>
      </c>
      <c r="G221" s="9">
        <v>47.9</v>
      </c>
      <c r="H221" s="9">
        <v>28.4</v>
      </c>
      <c r="I221" s="9">
        <v>525.5</v>
      </c>
      <c r="J221" s="9">
        <v>7</v>
      </c>
      <c r="K221" s="9">
        <v>3.2</v>
      </c>
      <c r="L221" s="9">
        <v>2.9000000000000001E-2</v>
      </c>
      <c r="M221" s="9">
        <v>35.9</v>
      </c>
      <c r="N221" s="9">
        <v>11.5</v>
      </c>
      <c r="O221" s="9" t="s">
        <v>255</v>
      </c>
      <c r="P221" s="10">
        <v>46072</v>
      </c>
    </row>
    <row r="222" spans="1:16">
      <c r="A222" s="8" t="s">
        <v>250</v>
      </c>
      <c r="B222" s="9" t="s">
        <v>290</v>
      </c>
      <c r="C222" s="9">
        <v>2025</v>
      </c>
      <c r="D222" s="9" t="s">
        <v>479</v>
      </c>
      <c r="E222" s="9" t="s">
        <v>506</v>
      </c>
      <c r="F222" s="9" t="s">
        <v>254</v>
      </c>
      <c r="G222" s="9">
        <v>50</v>
      </c>
      <c r="H222" s="9">
        <v>27.9</v>
      </c>
      <c r="I222" s="9">
        <v>560</v>
      </c>
      <c r="J222" s="9">
        <v>15</v>
      </c>
      <c r="K222" s="9">
        <v>2.8</v>
      </c>
      <c r="L222" s="9">
        <v>3.5000000000000003E-2</v>
      </c>
      <c r="M222" s="9">
        <v>84.5</v>
      </c>
      <c r="N222" s="9">
        <v>15.5</v>
      </c>
      <c r="O222" s="9" t="s">
        <v>255</v>
      </c>
      <c r="P222" s="10">
        <v>46072</v>
      </c>
    </row>
    <row r="223" spans="1:16">
      <c r="A223" s="8" t="s">
        <v>250</v>
      </c>
      <c r="B223" s="9" t="s">
        <v>290</v>
      </c>
      <c r="C223" s="9">
        <v>2025</v>
      </c>
      <c r="D223" s="9" t="s">
        <v>479</v>
      </c>
      <c r="E223" s="9" t="s">
        <v>507</v>
      </c>
      <c r="F223" s="9" t="s">
        <v>254</v>
      </c>
      <c r="G223" s="9">
        <v>45.9</v>
      </c>
      <c r="H223" s="9">
        <v>24.6</v>
      </c>
      <c r="I223" s="9">
        <v>493</v>
      </c>
      <c r="J223" s="9">
        <v>17.899999999999999</v>
      </c>
      <c r="K223" s="9">
        <v>3.3</v>
      </c>
      <c r="L223" s="9">
        <v>3.5999999999999997E-2</v>
      </c>
      <c r="M223" s="9">
        <v>333.3</v>
      </c>
      <c r="N223" s="9">
        <v>18</v>
      </c>
      <c r="O223" s="9" t="s">
        <v>255</v>
      </c>
      <c r="P223" s="10">
        <v>46072</v>
      </c>
    </row>
    <row r="224" spans="1:16">
      <c r="A224" s="8" t="s">
        <v>250</v>
      </c>
      <c r="B224" s="9" t="s">
        <v>290</v>
      </c>
      <c r="C224" s="9">
        <v>2025</v>
      </c>
      <c r="D224" s="9" t="s">
        <v>479</v>
      </c>
      <c r="E224" s="9" t="s">
        <v>508</v>
      </c>
      <c r="F224" s="9" t="s">
        <v>254</v>
      </c>
      <c r="G224" s="9">
        <v>46.6</v>
      </c>
      <c r="H224" s="9">
        <v>25.8</v>
      </c>
      <c r="I224" s="9">
        <v>472</v>
      </c>
      <c r="J224" s="9">
        <v>7.2</v>
      </c>
      <c r="K224" s="9">
        <v>2.9</v>
      </c>
      <c r="L224" s="9">
        <v>3.2000000000000001E-2</v>
      </c>
      <c r="M224" s="9">
        <v>14.9</v>
      </c>
      <c r="N224" s="9">
        <v>20</v>
      </c>
      <c r="O224" s="9" t="s">
        <v>255</v>
      </c>
      <c r="P224" s="10">
        <v>46072</v>
      </c>
    </row>
    <row r="225" spans="1:16">
      <c r="A225" s="8" t="s">
        <v>250</v>
      </c>
      <c r="B225" s="9" t="s">
        <v>290</v>
      </c>
      <c r="C225" s="9">
        <v>2025</v>
      </c>
      <c r="D225" s="9" t="s">
        <v>479</v>
      </c>
      <c r="E225" s="9" t="s">
        <v>509</v>
      </c>
      <c r="F225" s="9" t="s">
        <v>254</v>
      </c>
      <c r="G225" s="9">
        <v>47.7</v>
      </c>
      <c r="H225" s="9">
        <v>23.7</v>
      </c>
      <c r="I225" s="9">
        <v>517</v>
      </c>
      <c r="J225" s="9">
        <v>8.1</v>
      </c>
      <c r="K225" s="9">
        <v>3.1</v>
      </c>
      <c r="L225" s="9">
        <v>3.1E-2</v>
      </c>
      <c r="M225" s="9">
        <v>20.100000000000001</v>
      </c>
      <c r="N225" s="9">
        <v>31</v>
      </c>
      <c r="O225" s="9" t="s">
        <v>255</v>
      </c>
      <c r="P225" s="10">
        <v>46072</v>
      </c>
    </row>
    <row r="226" spans="1:16">
      <c r="A226" s="8" t="s">
        <v>250</v>
      </c>
      <c r="B226" s="9" t="s">
        <v>290</v>
      </c>
      <c r="C226" s="9">
        <v>2025</v>
      </c>
      <c r="D226" s="9" t="s">
        <v>479</v>
      </c>
      <c r="E226" s="9" t="s">
        <v>510</v>
      </c>
      <c r="F226" s="9" t="s">
        <v>254</v>
      </c>
      <c r="G226" s="9">
        <v>49.7</v>
      </c>
      <c r="H226" s="9">
        <v>27.8</v>
      </c>
      <c r="I226" s="9">
        <v>529.5</v>
      </c>
      <c r="J226" s="9">
        <v>6.7</v>
      </c>
      <c r="K226" s="9">
        <v>2.6</v>
      </c>
      <c r="L226" s="9">
        <v>3.5000000000000003E-2</v>
      </c>
      <c r="M226" s="9">
        <v>73.2</v>
      </c>
      <c r="N226" s="9">
        <v>11</v>
      </c>
      <c r="O226" s="9" t="s">
        <v>255</v>
      </c>
      <c r="P226" s="10">
        <v>46072</v>
      </c>
    </row>
    <row r="227" spans="1:16">
      <c r="A227" s="8" t="s">
        <v>250</v>
      </c>
      <c r="B227" s="9" t="s">
        <v>299</v>
      </c>
      <c r="C227" s="9">
        <v>2025</v>
      </c>
      <c r="D227" s="9" t="s">
        <v>479</v>
      </c>
      <c r="E227" s="9" t="s">
        <v>511</v>
      </c>
      <c r="F227" s="9" t="s">
        <v>254</v>
      </c>
      <c r="G227" s="9">
        <v>43.1</v>
      </c>
      <c r="H227" s="9">
        <v>26.6</v>
      </c>
      <c r="I227" s="9">
        <v>463</v>
      </c>
      <c r="J227" s="9">
        <v>4.7</v>
      </c>
      <c r="K227" s="9">
        <v>2.4</v>
      </c>
      <c r="L227" s="9">
        <v>2.1999999999999999E-2</v>
      </c>
      <c r="M227" s="9">
        <v>147</v>
      </c>
      <c r="N227" s="9">
        <v>19</v>
      </c>
      <c r="O227" s="9" t="s">
        <v>255</v>
      </c>
      <c r="P227" s="10">
        <v>46072</v>
      </c>
    </row>
    <row r="228" spans="1:16">
      <c r="A228" s="8" t="s">
        <v>250</v>
      </c>
      <c r="B228" s="9" t="s">
        <v>297</v>
      </c>
      <c r="C228" s="9">
        <v>2025</v>
      </c>
      <c r="D228" s="9" t="s">
        <v>479</v>
      </c>
      <c r="E228" s="9" t="s">
        <v>512</v>
      </c>
      <c r="F228" s="9" t="s">
        <v>254</v>
      </c>
      <c r="G228" s="9">
        <v>45.5</v>
      </c>
      <c r="H228" s="9">
        <v>21.9</v>
      </c>
      <c r="I228" s="9">
        <v>488</v>
      </c>
      <c r="J228" s="9">
        <v>7.8</v>
      </c>
      <c r="K228" s="9">
        <v>2.9</v>
      </c>
      <c r="L228" s="9">
        <v>3.3000000000000002E-2</v>
      </c>
      <c r="M228" s="9">
        <v>271.5</v>
      </c>
      <c r="N228" s="9">
        <v>17.5</v>
      </c>
      <c r="O228" s="9" t="s">
        <v>255</v>
      </c>
      <c r="P228" s="10">
        <v>46072</v>
      </c>
    </row>
    <row r="229" spans="1:16">
      <c r="A229" s="8" t="s">
        <v>250</v>
      </c>
      <c r="B229" s="9" t="s">
        <v>297</v>
      </c>
      <c r="C229" s="9">
        <v>2025</v>
      </c>
      <c r="D229" s="9" t="s">
        <v>479</v>
      </c>
      <c r="E229" s="9" t="s">
        <v>513</v>
      </c>
      <c r="F229" s="9" t="s">
        <v>254</v>
      </c>
      <c r="G229" s="9">
        <v>46.3</v>
      </c>
      <c r="H229" s="9">
        <v>25.1</v>
      </c>
      <c r="I229" s="9">
        <v>539.5</v>
      </c>
      <c r="J229" s="9">
        <v>7</v>
      </c>
      <c r="K229" s="9">
        <v>3.8</v>
      </c>
      <c r="L229" s="9">
        <v>2.8000000000000001E-2</v>
      </c>
      <c r="M229" s="9">
        <v>212</v>
      </c>
      <c r="N229" s="9">
        <v>23</v>
      </c>
      <c r="O229" s="9" t="s">
        <v>255</v>
      </c>
      <c r="P229" s="10">
        <v>46072</v>
      </c>
    </row>
    <row r="230" spans="1:16">
      <c r="A230" s="8" t="s">
        <v>250</v>
      </c>
      <c r="B230" s="9" t="s">
        <v>514</v>
      </c>
      <c r="C230" s="9">
        <v>2025</v>
      </c>
      <c r="D230" s="9" t="s">
        <v>479</v>
      </c>
      <c r="E230" s="9" t="s">
        <v>515</v>
      </c>
      <c r="F230" s="9" t="s">
        <v>254</v>
      </c>
      <c r="G230" s="9">
        <v>47.3</v>
      </c>
      <c r="H230" s="9">
        <v>24.2</v>
      </c>
      <c r="I230" s="9">
        <v>550.29999999999995</v>
      </c>
      <c r="J230" s="9">
        <v>10</v>
      </c>
      <c r="K230" s="9">
        <v>3</v>
      </c>
      <c r="L230" s="9">
        <v>2.4E-2</v>
      </c>
      <c r="M230" s="9">
        <v>30.8</v>
      </c>
      <c r="N230" s="9">
        <v>11.7</v>
      </c>
      <c r="O230" s="9" t="s">
        <v>255</v>
      </c>
      <c r="P230" s="10">
        <v>46072</v>
      </c>
    </row>
    <row r="231" spans="1:16">
      <c r="A231" s="8" t="s">
        <v>425</v>
      </c>
      <c r="B231" s="9" t="s">
        <v>516</v>
      </c>
      <c r="C231" s="9">
        <v>2025</v>
      </c>
      <c r="D231" s="9" t="s">
        <v>479</v>
      </c>
      <c r="E231" s="9" t="s">
        <v>517</v>
      </c>
      <c r="F231" s="9" t="s">
        <v>254</v>
      </c>
      <c r="G231" s="9">
        <v>45.7</v>
      </c>
      <c r="H231" s="9">
        <v>23.4</v>
      </c>
      <c r="I231" s="9">
        <v>463</v>
      </c>
      <c r="J231" s="9">
        <v>5.4</v>
      </c>
      <c r="K231" s="9">
        <v>2.4</v>
      </c>
      <c r="L231" s="9">
        <v>2.1999999999999999E-2</v>
      </c>
      <c r="M231" s="9">
        <v>22.1</v>
      </c>
      <c r="N231" s="9">
        <v>18</v>
      </c>
      <c r="O231" s="9" t="s">
        <v>255</v>
      </c>
      <c r="P231" s="10">
        <v>46072</v>
      </c>
    </row>
    <row r="232" spans="1:16">
      <c r="A232" s="8" t="s">
        <v>425</v>
      </c>
      <c r="B232" s="9" t="s">
        <v>516</v>
      </c>
      <c r="C232" s="9">
        <v>2025</v>
      </c>
      <c r="D232" s="9" t="s">
        <v>479</v>
      </c>
      <c r="E232" s="9" t="s">
        <v>518</v>
      </c>
      <c r="F232" s="9" t="s">
        <v>254</v>
      </c>
      <c r="G232" s="9">
        <v>46</v>
      </c>
      <c r="H232" s="9">
        <v>25.1</v>
      </c>
      <c r="I232" s="9">
        <v>488</v>
      </c>
      <c r="J232" s="9">
        <v>12</v>
      </c>
      <c r="K232" s="9">
        <v>2.9</v>
      </c>
      <c r="L232" s="9">
        <v>3.3000000000000002E-2</v>
      </c>
      <c r="M232" s="9">
        <v>74.8</v>
      </c>
      <c r="N232" s="9">
        <v>17.5</v>
      </c>
      <c r="O232" s="9" t="s">
        <v>255</v>
      </c>
      <c r="P232" s="10">
        <v>46072</v>
      </c>
    </row>
    <row r="233" spans="1:16">
      <c r="A233" s="8" t="s">
        <v>250</v>
      </c>
      <c r="B233" s="9" t="s">
        <v>297</v>
      </c>
      <c r="C233" s="9">
        <v>2025</v>
      </c>
      <c r="D233" s="9" t="s">
        <v>479</v>
      </c>
      <c r="E233" s="9" t="s">
        <v>519</v>
      </c>
      <c r="F233" s="9" t="s">
        <v>254</v>
      </c>
      <c r="G233" s="9">
        <v>43.7</v>
      </c>
      <c r="H233" s="9">
        <v>24</v>
      </c>
      <c r="I233" s="9">
        <v>530.70000000000005</v>
      </c>
      <c r="J233" s="9">
        <v>9.1</v>
      </c>
      <c r="K233" s="9">
        <v>3.7</v>
      </c>
      <c r="L233" s="9">
        <v>0.03</v>
      </c>
      <c r="M233" s="9">
        <v>63.6</v>
      </c>
      <c r="N233" s="9">
        <v>15.7</v>
      </c>
      <c r="O233" s="9" t="s">
        <v>255</v>
      </c>
      <c r="P233" s="10">
        <v>46072</v>
      </c>
    </row>
    <row r="234" spans="1:16">
      <c r="A234" s="8" t="s">
        <v>250</v>
      </c>
      <c r="B234" s="9" t="s">
        <v>297</v>
      </c>
      <c r="C234" s="9">
        <v>2025</v>
      </c>
      <c r="D234" s="9" t="s">
        <v>479</v>
      </c>
      <c r="E234" s="9" t="s">
        <v>520</v>
      </c>
      <c r="F234" s="9" t="s">
        <v>254</v>
      </c>
      <c r="G234" s="9">
        <v>48.1</v>
      </c>
      <c r="H234" s="9">
        <v>26.3</v>
      </c>
      <c r="I234" s="9">
        <v>495.7</v>
      </c>
      <c r="J234" s="9">
        <v>7.2</v>
      </c>
      <c r="K234" s="9">
        <v>3.2</v>
      </c>
      <c r="L234" s="9">
        <v>3.5000000000000003E-2</v>
      </c>
      <c r="M234" s="9">
        <v>63.4</v>
      </c>
      <c r="N234" s="9">
        <v>22.3</v>
      </c>
      <c r="O234" s="9" t="s">
        <v>255</v>
      </c>
      <c r="P234" s="10">
        <v>46072</v>
      </c>
    </row>
    <row r="235" spans="1:16">
      <c r="A235" s="8" t="s">
        <v>250</v>
      </c>
      <c r="B235" s="9" t="s">
        <v>416</v>
      </c>
      <c r="C235" s="9">
        <v>2025</v>
      </c>
      <c r="D235" s="9" t="s">
        <v>521</v>
      </c>
      <c r="E235" s="9" t="s">
        <v>522</v>
      </c>
      <c r="F235" s="9" t="s">
        <v>254</v>
      </c>
      <c r="G235" s="9">
        <v>48.3</v>
      </c>
      <c r="H235" s="9">
        <v>26.9</v>
      </c>
      <c r="I235" s="9">
        <v>459.5</v>
      </c>
      <c r="J235" s="9">
        <v>17.8</v>
      </c>
      <c r="K235" s="9">
        <v>4.0999999999999996</v>
      </c>
      <c r="L235" s="9">
        <v>5.3999999999999999E-2</v>
      </c>
      <c r="M235" s="9">
        <v>310.7</v>
      </c>
      <c r="N235" s="9">
        <v>9.5</v>
      </c>
      <c r="O235" s="9" t="s">
        <v>255</v>
      </c>
      <c r="P235" s="10">
        <v>46072</v>
      </c>
    </row>
    <row r="236" spans="1:16">
      <c r="A236" s="8" t="s">
        <v>250</v>
      </c>
      <c r="B236" s="9" t="s">
        <v>416</v>
      </c>
      <c r="C236" s="9">
        <v>2025</v>
      </c>
      <c r="D236" s="9" t="s">
        <v>521</v>
      </c>
      <c r="E236" s="9" t="s">
        <v>523</v>
      </c>
      <c r="F236" s="9" t="s">
        <v>254</v>
      </c>
      <c r="G236" s="9">
        <v>54.5</v>
      </c>
      <c r="H236" s="9">
        <v>28.7</v>
      </c>
      <c r="I236" s="9">
        <v>524.5</v>
      </c>
      <c r="J236" s="9">
        <v>16.899999999999999</v>
      </c>
      <c r="K236" s="9">
        <v>4</v>
      </c>
      <c r="L236" s="9">
        <v>3.5000000000000003E-2</v>
      </c>
      <c r="M236" s="9">
        <v>300.89999999999998</v>
      </c>
      <c r="N236" s="9">
        <v>33.5</v>
      </c>
      <c r="O236" s="9" t="s">
        <v>255</v>
      </c>
      <c r="P236" s="10">
        <v>46072</v>
      </c>
    </row>
    <row r="237" spans="1:16">
      <c r="A237" s="8" t="s">
        <v>250</v>
      </c>
      <c r="B237" s="9" t="s">
        <v>416</v>
      </c>
      <c r="C237" s="9">
        <v>2025</v>
      </c>
      <c r="D237" s="9" t="s">
        <v>521</v>
      </c>
      <c r="E237" s="9" t="s">
        <v>417</v>
      </c>
      <c r="F237" s="9" t="s">
        <v>254</v>
      </c>
      <c r="G237" s="9">
        <v>46.1</v>
      </c>
      <c r="H237" s="9">
        <v>24.9</v>
      </c>
      <c r="I237" s="9">
        <v>488.5</v>
      </c>
      <c r="J237" s="9">
        <v>43.7</v>
      </c>
      <c r="K237" s="9">
        <v>4.3</v>
      </c>
      <c r="L237" s="9">
        <v>3.6999999999999998E-2</v>
      </c>
      <c r="M237" s="9">
        <v>311.89999999999998</v>
      </c>
      <c r="N237" s="9">
        <v>39</v>
      </c>
      <c r="O237" s="9" t="s">
        <v>255</v>
      </c>
      <c r="P237" s="10">
        <v>46072</v>
      </c>
    </row>
    <row r="238" spans="1:16">
      <c r="A238" s="8" t="s">
        <v>250</v>
      </c>
      <c r="B238" s="9" t="s">
        <v>416</v>
      </c>
      <c r="C238" s="9">
        <v>2025</v>
      </c>
      <c r="D238" s="9" t="s">
        <v>521</v>
      </c>
      <c r="E238" s="9" t="s">
        <v>524</v>
      </c>
      <c r="F238" s="9" t="s">
        <v>254</v>
      </c>
      <c r="G238" s="9">
        <v>48.8</v>
      </c>
      <c r="H238" s="9">
        <v>27.3</v>
      </c>
      <c r="I238" s="9">
        <v>443</v>
      </c>
      <c r="J238" s="9">
        <v>48</v>
      </c>
      <c r="K238" s="9">
        <v>4.0999999999999996</v>
      </c>
      <c r="L238" s="9">
        <v>2.5999999999999999E-2</v>
      </c>
      <c r="M238" s="9">
        <v>296.5</v>
      </c>
      <c r="N238" s="9">
        <v>58</v>
      </c>
      <c r="O238" s="9" t="s">
        <v>255</v>
      </c>
      <c r="P238" s="10">
        <v>46072</v>
      </c>
    </row>
    <row r="239" spans="1:16">
      <c r="A239" s="8" t="s">
        <v>250</v>
      </c>
      <c r="B239" s="9" t="s">
        <v>277</v>
      </c>
      <c r="C239" s="9">
        <v>2025</v>
      </c>
      <c r="D239" s="9" t="s">
        <v>521</v>
      </c>
      <c r="E239" s="9" t="s">
        <v>525</v>
      </c>
      <c r="F239" s="9" t="s">
        <v>254</v>
      </c>
      <c r="G239" s="9">
        <v>44.5</v>
      </c>
      <c r="H239" s="9">
        <v>26.3</v>
      </c>
      <c r="I239" s="9">
        <v>469.5</v>
      </c>
      <c r="J239" s="9">
        <v>35.6</v>
      </c>
      <c r="K239" s="9">
        <v>4</v>
      </c>
      <c r="L239" s="9">
        <v>0.04</v>
      </c>
      <c r="M239" s="9">
        <v>294.7</v>
      </c>
      <c r="N239" s="9">
        <v>23.5</v>
      </c>
      <c r="O239" s="9" t="s">
        <v>255</v>
      </c>
      <c r="P239" s="10">
        <v>46072</v>
      </c>
    </row>
    <row r="240" spans="1:16">
      <c r="A240" s="8" t="s">
        <v>250</v>
      </c>
      <c r="B240" s="9" t="s">
        <v>277</v>
      </c>
      <c r="C240" s="9">
        <v>2025</v>
      </c>
      <c r="D240" s="9" t="s">
        <v>521</v>
      </c>
      <c r="E240" s="9" t="s">
        <v>526</v>
      </c>
      <c r="F240" s="9" t="s">
        <v>254</v>
      </c>
      <c r="G240" s="9">
        <v>47.4</v>
      </c>
      <c r="H240" s="9">
        <v>25</v>
      </c>
      <c r="I240" s="9">
        <v>715.7</v>
      </c>
      <c r="J240" s="9">
        <v>35.200000000000003</v>
      </c>
      <c r="K240" s="9">
        <v>4</v>
      </c>
      <c r="L240" s="9">
        <v>2.1999999999999999E-2</v>
      </c>
      <c r="M240" s="9">
        <v>293.7</v>
      </c>
      <c r="N240" s="9">
        <v>10</v>
      </c>
      <c r="O240" s="9" t="s">
        <v>255</v>
      </c>
      <c r="P240" s="10">
        <v>46072</v>
      </c>
    </row>
    <row r="241" spans="1:16">
      <c r="A241" s="8" t="s">
        <v>250</v>
      </c>
      <c r="B241" s="9" t="s">
        <v>277</v>
      </c>
      <c r="C241" s="9">
        <v>2025</v>
      </c>
      <c r="D241" s="9" t="s">
        <v>521</v>
      </c>
      <c r="E241" s="9" t="s">
        <v>527</v>
      </c>
      <c r="F241" s="9" t="s">
        <v>254</v>
      </c>
      <c r="G241" s="9">
        <v>49.4</v>
      </c>
      <c r="H241" s="9">
        <v>28.4</v>
      </c>
      <c r="I241" s="9">
        <v>625.5</v>
      </c>
      <c r="J241" s="9">
        <v>25.6</v>
      </c>
      <c r="K241" s="9">
        <v>3.6</v>
      </c>
      <c r="L241" s="9">
        <v>2.5000000000000001E-2</v>
      </c>
      <c r="M241" s="9">
        <v>315.8</v>
      </c>
      <c r="N241" s="9">
        <v>19.5</v>
      </c>
      <c r="O241" s="9" t="s">
        <v>255</v>
      </c>
      <c r="P241" s="10">
        <v>46072</v>
      </c>
    </row>
    <row r="242" spans="1:16">
      <c r="A242" s="8" t="s">
        <v>250</v>
      </c>
      <c r="B242" s="9" t="s">
        <v>277</v>
      </c>
      <c r="C242" s="9">
        <v>2025</v>
      </c>
      <c r="D242" s="9" t="s">
        <v>521</v>
      </c>
      <c r="E242" s="9" t="s">
        <v>528</v>
      </c>
      <c r="F242" s="9" t="s">
        <v>254</v>
      </c>
      <c r="G242" s="9">
        <v>45.1</v>
      </c>
      <c r="H242" s="9">
        <v>24</v>
      </c>
      <c r="I242" s="9">
        <v>512.5</v>
      </c>
      <c r="J242" s="9">
        <v>32.299999999999997</v>
      </c>
      <c r="K242" s="9">
        <v>3.4</v>
      </c>
      <c r="L242" s="9">
        <v>2.3E-2</v>
      </c>
      <c r="M242" s="9">
        <v>303.39999999999998</v>
      </c>
      <c r="N242" s="9">
        <v>18</v>
      </c>
      <c r="O242" s="9" t="s">
        <v>255</v>
      </c>
      <c r="P242" s="10">
        <v>46072</v>
      </c>
    </row>
    <row r="243" spans="1:16">
      <c r="A243" s="8" t="s">
        <v>250</v>
      </c>
      <c r="B243" s="9" t="s">
        <v>277</v>
      </c>
      <c r="C243" s="9">
        <v>2025</v>
      </c>
      <c r="D243" s="9" t="s">
        <v>521</v>
      </c>
      <c r="E243" s="9" t="s">
        <v>529</v>
      </c>
      <c r="F243" s="9" t="s">
        <v>254</v>
      </c>
      <c r="G243" s="9">
        <v>48.5</v>
      </c>
      <c r="H243" s="9">
        <v>27.9</v>
      </c>
      <c r="I243" s="9">
        <v>453</v>
      </c>
      <c r="J243" s="9">
        <v>60.3</v>
      </c>
      <c r="K243" s="9">
        <v>3.3</v>
      </c>
      <c r="L243" s="9">
        <v>2.5000000000000001E-2</v>
      </c>
      <c r="M243" s="9">
        <v>295.2</v>
      </c>
      <c r="N243" s="9">
        <v>7.5</v>
      </c>
      <c r="O243" s="9" t="s">
        <v>255</v>
      </c>
      <c r="P243" s="10">
        <v>46072</v>
      </c>
    </row>
    <row r="244" spans="1:16">
      <c r="A244" s="8" t="s">
        <v>250</v>
      </c>
      <c r="B244" s="9" t="s">
        <v>277</v>
      </c>
      <c r="C244" s="9">
        <v>2025</v>
      </c>
      <c r="D244" s="9" t="s">
        <v>521</v>
      </c>
      <c r="E244" s="9" t="s">
        <v>530</v>
      </c>
      <c r="F244" s="9" t="s">
        <v>254</v>
      </c>
      <c r="G244" s="9">
        <v>48.6</v>
      </c>
      <c r="H244" s="9">
        <v>25.5</v>
      </c>
      <c r="I244" s="9">
        <v>520</v>
      </c>
      <c r="J244" s="9">
        <v>26.4</v>
      </c>
      <c r="K244" s="9">
        <v>3.4</v>
      </c>
      <c r="L244" s="9">
        <v>0.03</v>
      </c>
      <c r="M244" s="9">
        <v>250.3</v>
      </c>
      <c r="N244" s="9">
        <v>14.5</v>
      </c>
      <c r="O244" s="9" t="s">
        <v>255</v>
      </c>
      <c r="P244" s="10">
        <v>46072</v>
      </c>
    </row>
    <row r="245" spans="1:16">
      <c r="A245" s="8" t="s">
        <v>250</v>
      </c>
      <c r="B245" s="9" t="s">
        <v>277</v>
      </c>
      <c r="C245" s="9">
        <v>2025</v>
      </c>
      <c r="D245" s="9" t="s">
        <v>521</v>
      </c>
      <c r="E245" s="9" t="s">
        <v>531</v>
      </c>
      <c r="F245" s="9" t="s">
        <v>254</v>
      </c>
      <c r="G245" s="9">
        <v>48.4</v>
      </c>
      <c r="H245" s="9">
        <v>28.1</v>
      </c>
      <c r="I245" s="9">
        <v>483.5</v>
      </c>
      <c r="J245" s="9">
        <v>54.5</v>
      </c>
      <c r="K245" s="9">
        <v>3</v>
      </c>
      <c r="L245" s="9">
        <v>2.1000000000000001E-2</v>
      </c>
      <c r="M245" s="9">
        <v>320.7</v>
      </c>
      <c r="N245" s="9">
        <v>17</v>
      </c>
      <c r="O245" s="9" t="s">
        <v>255</v>
      </c>
      <c r="P245" s="10">
        <v>46072</v>
      </c>
    </row>
    <row r="246" spans="1:16">
      <c r="A246" s="8" t="s">
        <v>250</v>
      </c>
      <c r="B246" s="9" t="s">
        <v>277</v>
      </c>
      <c r="C246" s="9">
        <v>2025</v>
      </c>
      <c r="D246" s="9" t="s">
        <v>521</v>
      </c>
      <c r="E246" s="9" t="s">
        <v>532</v>
      </c>
      <c r="F246" s="9" t="s">
        <v>254</v>
      </c>
      <c r="G246" s="9">
        <v>49.9</v>
      </c>
      <c r="H246" s="9">
        <v>26.8</v>
      </c>
      <c r="I246" s="9">
        <v>540</v>
      </c>
      <c r="J246" s="9">
        <v>44.3</v>
      </c>
      <c r="K246" s="9">
        <v>3.6</v>
      </c>
      <c r="L246" s="9">
        <v>1.9E-2</v>
      </c>
      <c r="M246" s="9">
        <v>221.6</v>
      </c>
      <c r="N246" s="9">
        <v>22.5</v>
      </c>
      <c r="O246" s="9" t="s">
        <v>255</v>
      </c>
      <c r="P246" s="10">
        <v>46072</v>
      </c>
    </row>
    <row r="247" spans="1:16">
      <c r="A247" s="8" t="s">
        <v>425</v>
      </c>
      <c r="B247" s="9" t="s">
        <v>533</v>
      </c>
      <c r="C247" s="9">
        <v>2025</v>
      </c>
      <c r="D247" s="9" t="s">
        <v>521</v>
      </c>
      <c r="E247" s="9" t="s">
        <v>534</v>
      </c>
      <c r="F247" s="9" t="s">
        <v>254</v>
      </c>
      <c r="G247" s="9">
        <v>45.3</v>
      </c>
      <c r="H247" s="9">
        <v>26.5</v>
      </c>
      <c r="I247" s="9">
        <v>477</v>
      </c>
      <c r="J247" s="9">
        <v>36.299999999999997</v>
      </c>
      <c r="K247" s="9">
        <v>3.4</v>
      </c>
      <c r="L247" s="9">
        <v>2.5000000000000001E-2</v>
      </c>
      <c r="M247" s="9">
        <v>323.2</v>
      </c>
      <c r="N247" s="9">
        <v>17</v>
      </c>
      <c r="O247" s="9" t="s">
        <v>255</v>
      </c>
      <c r="P247" s="10">
        <v>46072</v>
      </c>
    </row>
    <row r="248" spans="1:16">
      <c r="A248" s="8" t="s">
        <v>425</v>
      </c>
      <c r="B248" s="9" t="s">
        <v>533</v>
      </c>
      <c r="C248" s="9">
        <v>2025</v>
      </c>
      <c r="D248" s="9" t="s">
        <v>521</v>
      </c>
      <c r="E248" s="9" t="s">
        <v>535</v>
      </c>
      <c r="F248" s="9" t="s">
        <v>254</v>
      </c>
      <c r="G248" s="9">
        <v>50.8</v>
      </c>
      <c r="H248" s="9">
        <v>27.5</v>
      </c>
      <c r="I248" s="9">
        <v>494</v>
      </c>
      <c r="J248" s="9">
        <v>10.1</v>
      </c>
      <c r="K248" s="9">
        <v>3.5</v>
      </c>
      <c r="L248" s="9">
        <v>2.3E-2</v>
      </c>
      <c r="M248" s="9">
        <v>183</v>
      </c>
      <c r="N248" s="9">
        <v>26.5</v>
      </c>
      <c r="O248" s="9" t="s">
        <v>255</v>
      </c>
      <c r="P248" s="10">
        <v>46072</v>
      </c>
    </row>
    <row r="249" spans="1:16">
      <c r="A249" s="8" t="s">
        <v>425</v>
      </c>
      <c r="B249" s="9" t="s">
        <v>533</v>
      </c>
      <c r="C249" s="9">
        <v>2025</v>
      </c>
      <c r="D249" s="9" t="s">
        <v>521</v>
      </c>
      <c r="E249" s="9" t="s">
        <v>536</v>
      </c>
      <c r="F249" s="9" t="s">
        <v>254</v>
      </c>
      <c r="G249" s="9">
        <v>51.3</v>
      </c>
      <c r="H249" s="9">
        <v>27.4</v>
      </c>
      <c r="I249" s="9">
        <v>473</v>
      </c>
      <c r="J249" s="9">
        <v>4.8</v>
      </c>
      <c r="K249" s="9">
        <v>4.4000000000000004</v>
      </c>
      <c r="L249" s="9">
        <v>4.9000000000000002E-2</v>
      </c>
      <c r="M249" s="9">
        <v>172.8</v>
      </c>
      <c r="N249" s="9">
        <v>18.5</v>
      </c>
      <c r="O249" s="9" t="s">
        <v>255</v>
      </c>
      <c r="P249" s="10">
        <v>46072</v>
      </c>
    </row>
    <row r="250" spans="1:16">
      <c r="A250" s="8" t="s">
        <v>425</v>
      </c>
      <c r="B250" s="9" t="s">
        <v>533</v>
      </c>
      <c r="C250" s="9">
        <v>2025</v>
      </c>
      <c r="D250" s="9" t="s">
        <v>521</v>
      </c>
      <c r="E250" s="9" t="s">
        <v>537</v>
      </c>
      <c r="F250" s="9" t="s">
        <v>254</v>
      </c>
      <c r="G250" s="9">
        <v>51.1</v>
      </c>
      <c r="H250" s="9">
        <v>26.4</v>
      </c>
      <c r="I250" s="9">
        <v>554</v>
      </c>
      <c r="J250" s="9">
        <v>13.2</v>
      </c>
      <c r="K250" s="9">
        <v>3.7</v>
      </c>
      <c r="L250" s="9">
        <v>3.7999999999999999E-2</v>
      </c>
      <c r="M250" s="9">
        <v>203.9</v>
      </c>
      <c r="N250" s="9">
        <v>20</v>
      </c>
      <c r="O250" s="9" t="s">
        <v>255</v>
      </c>
      <c r="P250" s="10">
        <v>46072</v>
      </c>
    </row>
    <row r="251" spans="1:16">
      <c r="A251" s="8" t="s">
        <v>425</v>
      </c>
      <c r="B251" s="9" t="s">
        <v>533</v>
      </c>
      <c r="C251" s="9">
        <v>2025</v>
      </c>
      <c r="D251" s="9" t="s">
        <v>521</v>
      </c>
      <c r="E251" s="9" t="s">
        <v>538</v>
      </c>
      <c r="F251" s="9" t="s">
        <v>254</v>
      </c>
      <c r="G251" s="9">
        <v>51.5</v>
      </c>
      <c r="H251" s="9">
        <v>26.5</v>
      </c>
      <c r="I251" s="9">
        <v>489.5</v>
      </c>
      <c r="J251" s="9">
        <v>9.6999999999999993</v>
      </c>
      <c r="K251" s="9">
        <v>3.6</v>
      </c>
      <c r="L251" s="9">
        <v>3.9E-2</v>
      </c>
      <c r="M251" s="9">
        <v>200</v>
      </c>
      <c r="N251" s="9">
        <v>17.5</v>
      </c>
      <c r="O251" s="9" t="s">
        <v>255</v>
      </c>
      <c r="P251" s="10">
        <v>46072</v>
      </c>
    </row>
    <row r="252" spans="1:16">
      <c r="A252" s="8" t="s">
        <v>425</v>
      </c>
      <c r="B252" s="9" t="s">
        <v>533</v>
      </c>
      <c r="C252" s="9">
        <v>2025</v>
      </c>
      <c r="D252" s="9" t="s">
        <v>521</v>
      </c>
      <c r="E252" s="9" t="s">
        <v>539</v>
      </c>
      <c r="F252" s="9" t="s">
        <v>254</v>
      </c>
      <c r="G252" s="9">
        <v>58.4</v>
      </c>
      <c r="H252" s="9">
        <v>31.6</v>
      </c>
      <c r="I252" s="9">
        <v>456.5</v>
      </c>
      <c r="J252" s="9">
        <v>8.5</v>
      </c>
      <c r="K252" s="9">
        <v>3.3</v>
      </c>
      <c r="L252" s="9">
        <v>3.4000000000000002E-2</v>
      </c>
      <c r="M252" s="9">
        <v>270.7</v>
      </c>
      <c r="N252" s="9">
        <v>21</v>
      </c>
      <c r="O252" s="9" t="s">
        <v>255</v>
      </c>
      <c r="P252" s="10">
        <v>46072</v>
      </c>
    </row>
    <row r="253" spans="1:16">
      <c r="A253" s="8" t="s">
        <v>250</v>
      </c>
      <c r="B253" s="9" t="s">
        <v>281</v>
      </c>
      <c r="C253" s="9">
        <v>2025</v>
      </c>
      <c r="D253" s="9" t="s">
        <v>540</v>
      </c>
      <c r="E253" s="9" t="s">
        <v>541</v>
      </c>
      <c r="F253" s="9" t="s">
        <v>254</v>
      </c>
      <c r="G253" s="9">
        <v>38.1</v>
      </c>
      <c r="H253" s="9">
        <v>17.8</v>
      </c>
      <c r="I253" s="9">
        <v>536</v>
      </c>
      <c r="J253" s="9">
        <v>7.6</v>
      </c>
      <c r="K253" s="9">
        <v>3.6</v>
      </c>
      <c r="L253" s="9">
        <v>2.5999999999999999E-2</v>
      </c>
      <c r="M253" s="9">
        <v>64.599999999999994</v>
      </c>
      <c r="N253" s="9">
        <v>17.3</v>
      </c>
      <c r="O253" s="9" t="s">
        <v>255</v>
      </c>
      <c r="P253" s="10">
        <v>46072</v>
      </c>
    </row>
    <row r="254" spans="1:16">
      <c r="A254" s="8" t="s">
        <v>250</v>
      </c>
      <c r="B254" s="9" t="s">
        <v>281</v>
      </c>
      <c r="C254" s="9">
        <v>2025</v>
      </c>
      <c r="D254" s="9" t="s">
        <v>540</v>
      </c>
      <c r="E254" s="9" t="s">
        <v>542</v>
      </c>
      <c r="F254" s="9" t="s">
        <v>254</v>
      </c>
      <c r="G254" s="9">
        <v>35.200000000000003</v>
      </c>
      <c r="H254" s="9">
        <v>16.899999999999999</v>
      </c>
      <c r="I254" s="9">
        <v>605</v>
      </c>
      <c r="J254" s="9">
        <v>4.2</v>
      </c>
      <c r="K254" s="9">
        <v>2.8</v>
      </c>
      <c r="L254" s="9">
        <v>2.1000000000000001E-2</v>
      </c>
      <c r="M254" s="9">
        <v>207.5</v>
      </c>
      <c r="N254" s="9">
        <v>22.4</v>
      </c>
      <c r="O254" s="9" t="s">
        <v>255</v>
      </c>
      <c r="P254" s="10">
        <v>46072</v>
      </c>
    </row>
    <row r="255" spans="1:16">
      <c r="A255" s="8" t="s">
        <v>250</v>
      </c>
      <c r="B255" s="9" t="s">
        <v>281</v>
      </c>
      <c r="C255" s="9">
        <v>2025</v>
      </c>
      <c r="D255" s="9" t="s">
        <v>540</v>
      </c>
      <c r="E255" s="9" t="s">
        <v>543</v>
      </c>
      <c r="F255" s="9" t="s">
        <v>254</v>
      </c>
      <c r="G255" s="9">
        <v>62.2</v>
      </c>
      <c r="H255" s="9">
        <v>29.7</v>
      </c>
      <c r="I255" s="9">
        <v>543</v>
      </c>
      <c r="J255" s="9">
        <v>8</v>
      </c>
      <c r="K255" s="9">
        <v>3</v>
      </c>
      <c r="L255" s="9">
        <v>1.2999999999999999E-2</v>
      </c>
      <c r="M255" s="9">
        <v>163.9</v>
      </c>
      <c r="N255" s="9">
        <v>31.1</v>
      </c>
      <c r="O255" s="9" t="s">
        <v>255</v>
      </c>
      <c r="P255" s="10">
        <v>46072</v>
      </c>
    </row>
    <row r="256" spans="1:16">
      <c r="A256" s="8" t="s">
        <v>250</v>
      </c>
      <c r="B256" s="9" t="s">
        <v>281</v>
      </c>
      <c r="C256" s="9">
        <v>2025</v>
      </c>
      <c r="D256" s="9" t="s">
        <v>540</v>
      </c>
      <c r="E256" s="9" t="s">
        <v>544</v>
      </c>
      <c r="F256" s="9" t="s">
        <v>254</v>
      </c>
      <c r="G256" s="9">
        <v>32.4</v>
      </c>
      <c r="H256" s="9">
        <v>13.9</v>
      </c>
      <c r="I256" s="9">
        <v>611</v>
      </c>
      <c r="J256" s="9">
        <v>7.7</v>
      </c>
      <c r="K256" s="9">
        <v>1.5</v>
      </c>
      <c r="L256" s="9">
        <v>2.1000000000000001E-2</v>
      </c>
      <c r="M256" s="9">
        <v>151.4</v>
      </c>
      <c r="N256" s="9">
        <v>15.8</v>
      </c>
      <c r="O256" s="9" t="s">
        <v>255</v>
      </c>
      <c r="P256" s="10">
        <v>46072</v>
      </c>
    </row>
    <row r="257" spans="1:16">
      <c r="A257" s="8" t="s">
        <v>250</v>
      </c>
      <c r="B257" s="9" t="s">
        <v>277</v>
      </c>
      <c r="C257" s="9">
        <v>2025</v>
      </c>
      <c r="D257" s="9" t="s">
        <v>540</v>
      </c>
      <c r="E257" s="9" t="s">
        <v>545</v>
      </c>
      <c r="F257" s="9" t="s">
        <v>254</v>
      </c>
      <c r="G257" s="9">
        <v>60.9</v>
      </c>
      <c r="H257" s="9">
        <v>27.8</v>
      </c>
      <c r="I257" s="9">
        <v>654</v>
      </c>
      <c r="J257" s="9">
        <v>6.2</v>
      </c>
      <c r="K257" s="9">
        <v>1.8</v>
      </c>
      <c r="L257" s="9">
        <v>1.0999999999999999E-2</v>
      </c>
      <c r="M257" s="9">
        <v>114.6</v>
      </c>
      <c r="N257" s="9">
        <v>58.4</v>
      </c>
      <c r="O257" s="9" t="s">
        <v>255</v>
      </c>
      <c r="P257" s="10">
        <v>46072</v>
      </c>
    </row>
    <row r="258" spans="1:16">
      <c r="A258" s="8" t="s">
        <v>250</v>
      </c>
      <c r="B258" s="9" t="s">
        <v>277</v>
      </c>
      <c r="C258" s="9">
        <v>2025</v>
      </c>
      <c r="D258" s="9" t="s">
        <v>540</v>
      </c>
      <c r="E258" s="9" t="s">
        <v>546</v>
      </c>
      <c r="F258" s="9" t="s">
        <v>254</v>
      </c>
      <c r="G258" s="9">
        <v>38.9</v>
      </c>
      <c r="H258" s="9">
        <v>17.3</v>
      </c>
      <c r="I258" s="9">
        <v>477</v>
      </c>
      <c r="J258" s="9">
        <v>3.5</v>
      </c>
      <c r="K258" s="9">
        <v>2.4</v>
      </c>
      <c r="L258" s="9">
        <v>1.4E-2</v>
      </c>
      <c r="M258" s="9">
        <v>36.6</v>
      </c>
      <c r="N258" s="9">
        <v>15</v>
      </c>
      <c r="O258" s="9" t="s">
        <v>255</v>
      </c>
      <c r="P258" s="10">
        <v>46072</v>
      </c>
    </row>
    <row r="259" spans="1:16">
      <c r="A259" s="8" t="s">
        <v>250</v>
      </c>
      <c r="B259" s="9" t="s">
        <v>277</v>
      </c>
      <c r="C259" s="9">
        <v>2025</v>
      </c>
      <c r="D259" s="9" t="s">
        <v>540</v>
      </c>
      <c r="E259" s="9" t="s">
        <v>547</v>
      </c>
      <c r="F259" s="9" t="s">
        <v>254</v>
      </c>
      <c r="G259" s="9">
        <v>71.5</v>
      </c>
      <c r="H259" s="9">
        <v>33</v>
      </c>
      <c r="I259" s="9">
        <v>487</v>
      </c>
      <c r="J259" s="9">
        <v>3.9</v>
      </c>
      <c r="K259" s="9">
        <v>1.4</v>
      </c>
      <c r="L259" s="9">
        <v>1.7000000000000001E-2</v>
      </c>
      <c r="M259" s="9">
        <v>29.2</v>
      </c>
      <c r="N259" s="9">
        <v>20.5</v>
      </c>
      <c r="O259" s="9" t="s">
        <v>255</v>
      </c>
      <c r="P259" s="10">
        <v>46072</v>
      </c>
    </row>
    <row r="260" spans="1:16">
      <c r="A260" s="8" t="s">
        <v>250</v>
      </c>
      <c r="B260" s="9" t="s">
        <v>277</v>
      </c>
      <c r="C260" s="9">
        <v>2025</v>
      </c>
      <c r="D260" s="9" t="s">
        <v>540</v>
      </c>
      <c r="E260" s="9" t="s">
        <v>548</v>
      </c>
      <c r="F260" s="9" t="s">
        <v>254</v>
      </c>
      <c r="G260" s="9">
        <v>63.2</v>
      </c>
      <c r="H260" s="9">
        <v>29.4</v>
      </c>
      <c r="I260" s="9">
        <v>571</v>
      </c>
      <c r="J260" s="9">
        <v>5.0999999999999996</v>
      </c>
      <c r="K260" s="9">
        <v>1.8</v>
      </c>
      <c r="L260" s="9">
        <v>2.1999999999999999E-2</v>
      </c>
      <c r="M260" s="9">
        <v>39.1</v>
      </c>
      <c r="N260" s="9">
        <v>20</v>
      </c>
      <c r="O260" s="9" t="s">
        <v>255</v>
      </c>
      <c r="P260" s="10">
        <v>46072</v>
      </c>
    </row>
    <row r="261" spans="1:16">
      <c r="A261" s="8" t="s">
        <v>250</v>
      </c>
      <c r="B261" s="9" t="s">
        <v>277</v>
      </c>
      <c r="C261" s="9">
        <v>2025</v>
      </c>
      <c r="D261" s="9" t="s">
        <v>540</v>
      </c>
      <c r="E261" s="9" t="s">
        <v>549</v>
      </c>
      <c r="F261" s="9" t="s">
        <v>254</v>
      </c>
      <c r="G261" s="9">
        <v>84.9</v>
      </c>
      <c r="H261" s="9">
        <v>46.1</v>
      </c>
      <c r="I261" s="9">
        <v>539</v>
      </c>
      <c r="J261" s="9">
        <v>4.4000000000000004</v>
      </c>
      <c r="K261" s="9">
        <v>1.9</v>
      </c>
      <c r="L261" s="9">
        <v>2.1999999999999999E-2</v>
      </c>
      <c r="M261" s="9">
        <v>64.400000000000006</v>
      </c>
      <c r="N261" s="9">
        <v>16.8</v>
      </c>
      <c r="O261" s="9" t="s">
        <v>255</v>
      </c>
      <c r="P261" s="10">
        <v>46072</v>
      </c>
    </row>
    <row r="262" spans="1:16">
      <c r="A262" s="8" t="s">
        <v>250</v>
      </c>
      <c r="B262" s="9" t="s">
        <v>277</v>
      </c>
      <c r="C262" s="9">
        <v>2025</v>
      </c>
      <c r="D262" s="9" t="s">
        <v>540</v>
      </c>
      <c r="E262" s="9" t="s">
        <v>550</v>
      </c>
      <c r="F262" s="9" t="s">
        <v>254</v>
      </c>
      <c r="G262" s="9">
        <v>66</v>
      </c>
      <c r="H262" s="9">
        <v>25.9</v>
      </c>
      <c r="I262" s="9">
        <v>487</v>
      </c>
      <c r="J262" s="9">
        <v>5.7</v>
      </c>
      <c r="K262" s="9">
        <v>1.7</v>
      </c>
      <c r="L262" s="9">
        <v>1.7999999999999999E-2</v>
      </c>
      <c r="M262" s="9">
        <v>47.1</v>
      </c>
      <c r="N262" s="9">
        <v>21</v>
      </c>
      <c r="O262" s="9" t="s">
        <v>255</v>
      </c>
      <c r="P262" s="10">
        <v>46072</v>
      </c>
    </row>
    <row r="263" spans="1:16">
      <c r="A263" s="8" t="s">
        <v>250</v>
      </c>
      <c r="B263" s="9" t="s">
        <v>277</v>
      </c>
      <c r="C263" s="9">
        <v>2025</v>
      </c>
      <c r="D263" s="9" t="s">
        <v>540</v>
      </c>
      <c r="E263" s="9" t="s">
        <v>551</v>
      </c>
      <c r="F263" s="9" t="s">
        <v>254</v>
      </c>
      <c r="G263" s="9">
        <v>47.8</v>
      </c>
      <c r="H263" s="9">
        <v>21</v>
      </c>
      <c r="I263" s="9">
        <v>521</v>
      </c>
      <c r="J263" s="9">
        <v>6.7</v>
      </c>
      <c r="K263" s="9">
        <v>1.8</v>
      </c>
      <c r="L263" s="9">
        <v>1.6E-2</v>
      </c>
      <c r="M263" s="9">
        <v>54.2</v>
      </c>
      <c r="N263" s="9">
        <v>22.2</v>
      </c>
      <c r="O263" s="9" t="s">
        <v>255</v>
      </c>
      <c r="P263" s="10">
        <v>46072</v>
      </c>
    </row>
    <row r="264" spans="1:16">
      <c r="A264" s="8" t="s">
        <v>250</v>
      </c>
      <c r="B264" s="9" t="s">
        <v>416</v>
      </c>
      <c r="C264" s="9">
        <v>2025</v>
      </c>
      <c r="D264" s="9" t="s">
        <v>540</v>
      </c>
      <c r="E264" s="9" t="s">
        <v>552</v>
      </c>
      <c r="F264" s="9" t="s">
        <v>254</v>
      </c>
      <c r="G264" s="9">
        <v>57.8</v>
      </c>
      <c r="H264" s="9">
        <v>26.9</v>
      </c>
      <c r="I264" s="9">
        <v>491</v>
      </c>
      <c r="J264" s="9">
        <v>4.5</v>
      </c>
      <c r="K264" s="9">
        <v>2.1</v>
      </c>
      <c r="L264" s="9">
        <v>2.1999999999999999E-2</v>
      </c>
      <c r="M264" s="9">
        <v>38.9</v>
      </c>
      <c r="N264" s="9">
        <v>23.3</v>
      </c>
      <c r="O264" s="9" t="s">
        <v>255</v>
      </c>
      <c r="P264" s="10">
        <v>46072</v>
      </c>
    </row>
    <row r="265" spans="1:16">
      <c r="A265" s="8" t="s">
        <v>250</v>
      </c>
      <c r="B265" s="9" t="s">
        <v>416</v>
      </c>
      <c r="C265" s="9">
        <v>2025</v>
      </c>
      <c r="D265" s="9" t="s">
        <v>540</v>
      </c>
      <c r="E265" s="9" t="s">
        <v>553</v>
      </c>
      <c r="F265" s="9" t="s">
        <v>254</v>
      </c>
      <c r="G265" s="9">
        <v>56.8</v>
      </c>
      <c r="H265" s="9">
        <v>21.6</v>
      </c>
      <c r="I265" s="9">
        <v>486</v>
      </c>
      <c r="J265" s="9">
        <v>3.3</v>
      </c>
      <c r="K265" s="9">
        <v>1.9</v>
      </c>
      <c r="L265" s="9">
        <v>0.01</v>
      </c>
      <c r="M265" s="9">
        <v>47.4</v>
      </c>
      <c r="N265" s="9">
        <v>20.3</v>
      </c>
      <c r="O265" s="9" t="s">
        <v>255</v>
      </c>
      <c r="P265" s="10">
        <v>46072</v>
      </c>
    </row>
    <row r="266" spans="1:16">
      <c r="A266" s="8" t="s">
        <v>554</v>
      </c>
      <c r="B266" s="9"/>
      <c r="C266" s="9"/>
      <c r="D266" s="9"/>
      <c r="E266" s="9"/>
      <c r="F266" s="9"/>
      <c r="G266" s="9">
        <f>SUBTOTAL(101,표2[미세먼지])</f>
        <v>52.76628787878785</v>
      </c>
      <c r="H266" s="9">
        <f>SUBTOTAL(101,표2[초미세먼지])</f>
        <v>26.245075757575744</v>
      </c>
      <c r="I266" s="9">
        <f>SUBTOTAL(101,표2[이산화탄소])</f>
        <v>554.74090909090921</v>
      </c>
      <c r="J266" s="9">
        <f>SUBTOTAL(101,표2[폼알데하이드])</f>
        <v>10.11856060606061</v>
      </c>
      <c r="K266" s="9">
        <f>SUBTOTAL(101,표2[일산화탄소])</f>
        <v>2.322348484848483</v>
      </c>
      <c r="L266" s="9">
        <f>SUBTOTAL(101,표2[이산화질소])</f>
        <v>3.0049242424242409E-2</v>
      </c>
      <c r="M266" s="9">
        <f>SUBTOTAL(101,표2[라돈])</f>
        <v>121.20454545454547</v>
      </c>
      <c r="N266" s="9">
        <f>SUBTOTAL(101,표2[휘발성유기화합물])</f>
        <v>24.10227272727273</v>
      </c>
      <c r="O266" s="9"/>
      <c r="P266" s="9">
        <f>SUBTOTAL(103,표2[데이터기준일자])</f>
        <v>264</v>
      </c>
    </row>
    <row r="268" spans="1:16">
      <c r="A268" s="4" t="s">
        <v>555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CASE_01</vt:lpstr>
      <vt:lpstr>CASE_01_pivot</vt:lpstr>
      <vt:lpstr>CASE_02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현진 배</dc:creator>
  <cp:keywords/>
  <dc:description/>
  <cp:lastModifiedBy>현진 배</cp:lastModifiedBy>
  <cp:revision/>
  <dcterms:created xsi:type="dcterms:W3CDTF">2026-03-30T02:22:04Z</dcterms:created>
  <dcterms:modified xsi:type="dcterms:W3CDTF">2026-04-01T13:00:24Z</dcterms:modified>
  <cp:category/>
  <cp:contentStatus/>
</cp:coreProperties>
</file>